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drawings/drawing1.xml" ContentType="application/vnd.openxmlformats-officedocument.drawing+xml"/>
  <Override PartName="/xl/drawings/drawing2.xml" ContentType="application/vnd.openxmlformats-officedocument.drawing+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10.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s/slicer1.xml" ContentType="application/vnd.ms-excel.slicer+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hidePivotFieldList="1"/>
  <bookViews>
    <workbookView windowWidth="18350" windowHeight="6800" firstSheet="12" activeTab="15"/>
  </bookViews>
  <sheets>
    <sheet name="DAY1-Data Formating" sheetId="5" r:id="rId1"/>
    <sheet name="DAY2-Conditional Formating " sheetId="7" r:id="rId2"/>
    <sheet name="DAY3-Conditional Formating" sheetId="9" r:id="rId3"/>
    <sheet name="DAY4-Data Cleaning" sheetId="10" r:id="rId4"/>
    <sheet name="DAY5-Basic Formulas" sheetId="11" r:id="rId5"/>
    <sheet name="DAY6-Logical Formulas " sheetId="12" r:id="rId6"/>
    <sheet name="DAY7-Conditional Formulas " sheetId="13" r:id="rId7"/>
    <sheet name="DAY8-Text Formulas" sheetId="14" r:id="rId8"/>
    <sheet name="DAY9-Date Formulas" sheetId="15" r:id="rId9"/>
    <sheet name="DAY10-Dynamic Array Formulas" sheetId="16" r:id="rId10"/>
    <sheet name="DAY11-LOOKUP-Reference Formulas" sheetId="17" r:id="rId11"/>
    <sheet name="DAY12-Statistical Formulas" sheetId="18" r:id="rId12"/>
    <sheet name="DAY13-Pivot Table" sheetId="19" r:id="rId13"/>
    <sheet name="DAY14-Pivot Charts" sheetId="20" r:id="rId14"/>
    <sheet name="DAY15-Project" sheetId="21" r:id="rId15"/>
    <sheet name="DASHBOARD" sheetId="22" r:id="rId16"/>
  </sheets>
  <definedNames>
    <definedName name="Slicer_Region">#N/A</definedName>
    <definedName name="FEB">'DAY11-LOOKUP-Reference Formulas'!$D$301:$F$311</definedName>
    <definedName name="JAN">'DAY11-LOOKUP-Reference Formulas'!$A$301:$C$311</definedName>
    <definedName name="MAR">'DAY11-LOOKUP-Reference Formulas'!$G$301:$I$311</definedName>
  </definedNames>
  <calcPr calcId="191029"/>
  <pivotCaches>
    <pivotCache cacheId="0" r:id="rId17"/>
    <pivotCache cacheId="1" r:id="rId18"/>
  </pivotCaches>
  <extLst>
    <ext xmlns:x14="http://schemas.microsoft.com/office/spreadsheetml/2009/9/main" uri="{BBE1A952-AA13-448e-AADC-164F8A28A991}">
      <x14:slicerCaches>
        <x14:slicerCache r:id="rId19"/>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<sst xmlns="http://schemas.openxmlformats.org/spreadsheetml/2006/main" count="29889" uniqueCount="2431">
  <si>
    <t>Employee ID</t>
  </si>
  <si>
    <t>Name</t>
  </si>
  <si>
    <t>Department</t>
  </si>
  <si>
    <t>Salary</t>
  </si>
  <si>
    <t>Joining Date</t>
  </si>
  <si>
    <t>EMP001</t>
  </si>
  <si>
    <t>Employee_1</t>
  </si>
  <si>
    <t>Finance</t>
  </si>
  <si>
    <t>EMP002</t>
  </si>
  <si>
    <t>Employee_2</t>
  </si>
  <si>
    <t>Operations</t>
  </si>
  <si>
    <t>EMP003</t>
  </si>
  <si>
    <t>Employee_3</t>
  </si>
  <si>
    <t>Sales</t>
  </si>
  <si>
    <t>EMP004</t>
  </si>
  <si>
    <t>Employee_4</t>
  </si>
  <si>
    <t>EMP005</t>
  </si>
  <si>
    <t>Employee_5</t>
  </si>
  <si>
    <t>EMP006</t>
  </si>
  <si>
    <t>EMP007</t>
  </si>
  <si>
    <t>Employee_7</t>
  </si>
  <si>
    <t>EMP008</t>
  </si>
  <si>
    <t>Employee_8</t>
  </si>
  <si>
    <t>EMP009</t>
  </si>
  <si>
    <t>Employee_9</t>
  </si>
  <si>
    <t>EMP010</t>
  </si>
  <si>
    <t>Employee_10</t>
  </si>
  <si>
    <t>EMP011</t>
  </si>
  <si>
    <t>Employee_11</t>
  </si>
  <si>
    <t>EMP012</t>
  </si>
  <si>
    <t>Employee_12</t>
  </si>
  <si>
    <t>EMP013</t>
  </si>
  <si>
    <t>Employee_13</t>
  </si>
  <si>
    <t>IT</t>
  </si>
  <si>
    <t>EMP014</t>
  </si>
  <si>
    <t>Employee_14</t>
  </si>
  <si>
    <t>EMP015</t>
  </si>
  <si>
    <t>Employee_15</t>
  </si>
  <si>
    <t>EMP016</t>
  </si>
  <si>
    <t>Employee_16</t>
  </si>
  <si>
    <t>EMP017</t>
  </si>
  <si>
    <t>Employee_17</t>
  </si>
  <si>
    <t>EMP018</t>
  </si>
  <si>
    <t>Employee_18</t>
  </si>
  <si>
    <t>HR</t>
  </si>
  <si>
    <t>₹  54,752.00</t>
  </si>
  <si>
    <t>EMP019</t>
  </si>
  <si>
    <t>Employee_19</t>
  </si>
  <si>
    <t>₹  89,685.00</t>
  </si>
  <si>
    <t>EMP020</t>
  </si>
  <si>
    <t>Employee_20</t>
  </si>
  <si>
    <t>₹  97,208.00</t>
  </si>
  <si>
    <t>EMP021</t>
  </si>
  <si>
    <t>Employee_21</t>
  </si>
  <si>
    <t>₹  57,149.00</t>
  </si>
  <si>
    <t>EMP022</t>
  </si>
  <si>
    <t>Employee_22</t>
  </si>
  <si>
    <t>₹  90,050.00</t>
  </si>
  <si>
    <t>EMP023</t>
  </si>
  <si>
    <t>Employee_23</t>
  </si>
  <si>
    <t>₹  36,298.00</t>
  </si>
  <si>
    <t>EMP024</t>
  </si>
  <si>
    <t>Employee_24</t>
  </si>
  <si>
    <t>₹  88,430.00</t>
  </si>
  <si>
    <t>EMP025</t>
  </si>
  <si>
    <t>Employee_25</t>
  </si>
  <si>
    <t>₹  82,602.00</t>
  </si>
  <si>
    <t>EMP026</t>
  </si>
  <si>
    <t>Employee_26</t>
  </si>
  <si>
    <t>₹  64,727.00</t>
  </si>
  <si>
    <t>EMP027</t>
  </si>
  <si>
    <t>Employee_27</t>
  </si>
  <si>
    <t>₹  95,590.00</t>
  </si>
  <si>
    <t>EMP028</t>
  </si>
  <si>
    <t>Employee_28</t>
  </si>
  <si>
    <t>₹  68,202.00</t>
  </si>
  <si>
    <t>EMP029</t>
  </si>
  <si>
    <t>Employee_29</t>
  </si>
  <si>
    <t>₹  85,761.00</t>
  </si>
  <si>
    <t>EMP030</t>
  </si>
  <si>
    <t>Employee_30</t>
  </si>
  <si>
    <t>₹  49,399.00</t>
  </si>
  <si>
    <t>EMP031</t>
  </si>
  <si>
    <t>Employee_31</t>
  </si>
  <si>
    <t>₹  69,554.00</t>
  </si>
  <si>
    <t>EMP032</t>
  </si>
  <si>
    <t>Employee_32</t>
  </si>
  <si>
    <t>₹  83,146.00</t>
  </si>
  <si>
    <t>EMP033</t>
  </si>
  <si>
    <t>Employee_33</t>
  </si>
  <si>
    <t>₹  44,383.00</t>
  </si>
  <si>
    <t>EMP034</t>
  </si>
  <si>
    <t>Employee_34</t>
  </si>
  <si>
    <t>₹  66,495.00</t>
  </si>
  <si>
    <t>EMP035</t>
  </si>
  <si>
    <t>Employee_35</t>
  </si>
  <si>
    <t>₹  88,111.00</t>
  </si>
  <si>
    <t>EMP036</t>
  </si>
  <si>
    <t>Employee_36</t>
  </si>
  <si>
    <t>₹  76,319.00</t>
  </si>
  <si>
    <t>EMP037</t>
  </si>
  <si>
    <t>Employee_37</t>
  </si>
  <si>
    <t>₹  76,486.00</t>
  </si>
  <si>
    <t>EMP038</t>
  </si>
  <si>
    <t>Employee_38</t>
  </si>
  <si>
    <t>₹  87,642.00</t>
  </si>
  <si>
    <t>EMP039</t>
  </si>
  <si>
    <t>Employee_39</t>
  </si>
  <si>
    <t>₹  35,215.00</t>
  </si>
  <si>
    <t>EMP040</t>
  </si>
  <si>
    <t>Employee_40</t>
  </si>
  <si>
    <t>₹  92,570.00</t>
  </si>
  <si>
    <t>EMP041</t>
  </si>
  <si>
    <t>Employee_41</t>
  </si>
  <si>
    <t>₹  41,892.00</t>
  </si>
  <si>
    <t>EMP042</t>
  </si>
  <si>
    <t>Employee_42</t>
  </si>
  <si>
    <t>₹  67,821.00</t>
  </si>
  <si>
    <t>EMP043</t>
  </si>
  <si>
    <t>Employee_43</t>
  </si>
  <si>
    <t>₹  82,560.00</t>
  </si>
  <si>
    <t>EMP044</t>
  </si>
  <si>
    <t>Employee_44</t>
  </si>
  <si>
    <t>₹  53,324.00</t>
  </si>
  <si>
    <t>EMP045</t>
  </si>
  <si>
    <t>Employee_45</t>
  </si>
  <si>
    <t>₹  80,107.00</t>
  </si>
  <si>
    <t>EMP046</t>
  </si>
  <si>
    <t>Employee_46</t>
  </si>
  <si>
    <t>₹  87,517.00</t>
  </si>
  <si>
    <t>EMP047</t>
  </si>
  <si>
    <t>Employee_47</t>
  </si>
  <si>
    <t>₹  85,636.00</t>
  </si>
  <si>
    <t>EMP048</t>
  </si>
  <si>
    <t>Employee_48</t>
  </si>
  <si>
    <t>₹  56,908.00</t>
  </si>
  <si>
    <t>EMP049</t>
  </si>
  <si>
    <t>Employee_49</t>
  </si>
  <si>
    <t>₹  88,072.00</t>
  </si>
  <si>
    <t>EMP050</t>
  </si>
  <si>
    <t>Employee_50</t>
  </si>
  <si>
    <t>₹  80,813.00</t>
  </si>
  <si>
    <t>EMP051</t>
  </si>
  <si>
    <t>Employee_51</t>
  </si>
  <si>
    <t>₹  89,083.00</t>
  </si>
  <si>
    <t>EMP052</t>
  </si>
  <si>
    <t>Employee_52</t>
  </si>
  <si>
    <t>₹  73,443.00</t>
  </si>
  <si>
    <t>EMP053</t>
  </si>
  <si>
    <t>Employee_53</t>
  </si>
  <si>
    <t>₹  69,633.00</t>
  </si>
  <si>
    <t>EMP054</t>
  </si>
  <si>
    <t>Employee_54</t>
  </si>
  <si>
    <t>₹  97,712.00</t>
  </si>
  <si>
    <t>EMP055</t>
  </si>
  <si>
    <t>Employee_55</t>
  </si>
  <si>
    <t>₹  40,753.00</t>
  </si>
  <si>
    <t>EMP056</t>
  </si>
  <si>
    <t>Employee_56</t>
  </si>
  <si>
    <t>₹  91,535.00</t>
  </si>
  <si>
    <t>EMP057</t>
  </si>
  <si>
    <t>Employee_57</t>
  </si>
  <si>
    <t>₹  34,899.00</t>
  </si>
  <si>
    <t>EMP058</t>
  </si>
  <si>
    <t>Employee_58</t>
  </si>
  <si>
    <t>₹  83,090.00</t>
  </si>
  <si>
    <t>EMP059</t>
  </si>
  <si>
    <t>Employee_59</t>
  </si>
  <si>
    <t>₹  58,057.00</t>
  </si>
  <si>
    <t>EMP060</t>
  </si>
  <si>
    <t>Employee_60</t>
  </si>
  <si>
    <t>₹  40,253.00</t>
  </si>
  <si>
    <t>EMP061</t>
  </si>
  <si>
    <t>Employee_61</t>
  </si>
  <si>
    <t>₹  83,023.00</t>
  </si>
  <si>
    <t>EMP062</t>
  </si>
  <si>
    <t>Employee_62</t>
  </si>
  <si>
    <t>₹  91,209.00</t>
  </si>
  <si>
    <t>EMP063</t>
  </si>
  <si>
    <t>Employee_63</t>
  </si>
  <si>
    <t>₹  57,966.00</t>
  </si>
  <si>
    <t>EMP064</t>
  </si>
  <si>
    <t>Employee_64</t>
  </si>
  <si>
    <t>₹  62,242.00</t>
  </si>
  <si>
    <t>EMP065</t>
  </si>
  <si>
    <t>Employee_65</t>
  </si>
  <si>
    <t>₹  90,557.00</t>
  </si>
  <si>
    <t>EMP066</t>
  </si>
  <si>
    <t>Employee_66</t>
  </si>
  <si>
    <t>₹  50,230.00</t>
  </si>
  <si>
    <t>EMP067</t>
  </si>
  <si>
    <t>Employee_67</t>
  </si>
  <si>
    <t>₹  68,110.00</t>
  </si>
  <si>
    <t>EMP068</t>
  </si>
  <si>
    <t>Employee_68</t>
  </si>
  <si>
    <t>₹  82,443.00</t>
  </si>
  <si>
    <t>EMP069</t>
  </si>
  <si>
    <t>Employee_69</t>
  </si>
  <si>
    <t>₹  47,057.00</t>
  </si>
  <si>
    <t>EMP070</t>
  </si>
  <si>
    <t>Employee_70</t>
  </si>
  <si>
    <t>₹  32,425.00</t>
  </si>
  <si>
    <t>EMP071</t>
  </si>
  <si>
    <t>Employee_71</t>
  </si>
  <si>
    <t>₹  80,828.00</t>
  </si>
  <si>
    <t>EMP072</t>
  </si>
  <si>
    <t>Employee_72</t>
  </si>
  <si>
    <t>₹  49,548.00</t>
  </si>
  <si>
    <t>EMP073</t>
  </si>
  <si>
    <t>Employee_73</t>
  </si>
  <si>
    <t>₹  78,130.00</t>
  </si>
  <si>
    <t>EMP074</t>
  </si>
  <si>
    <t>Employee_74</t>
  </si>
  <si>
    <t>₹  84,910.00</t>
  </si>
  <si>
    <t>EMP075</t>
  </si>
  <si>
    <t>Employee_75</t>
  </si>
  <si>
    <t>₹  60,703.00</t>
  </si>
  <si>
    <t>EMP076</t>
  </si>
  <si>
    <t>Employee_76</t>
  </si>
  <si>
    <t>₹  40,726.00</t>
  </si>
  <si>
    <t>EMP077</t>
  </si>
  <si>
    <t>Employee_77</t>
  </si>
  <si>
    <t>₹  99,243.00</t>
  </si>
  <si>
    <t>EMP078</t>
  </si>
  <si>
    <t>Employee_78</t>
  </si>
  <si>
    <t>₹  39,776.00</t>
  </si>
  <si>
    <t>EMP079</t>
  </si>
  <si>
    <t>Employee_79</t>
  </si>
  <si>
    <t>₹  94,701.00</t>
  </si>
  <si>
    <t>EMP080</t>
  </si>
  <si>
    <t>Employee_80</t>
  </si>
  <si>
    <t>₹  31,035.00</t>
  </si>
  <si>
    <t>EMP081</t>
  </si>
  <si>
    <t>Employee_81</t>
  </si>
  <si>
    <t>₹  61,449.00</t>
  </si>
  <si>
    <t>EMP082</t>
  </si>
  <si>
    <t>Employee_82</t>
  </si>
  <si>
    <t>₹  37,950.00</t>
  </si>
  <si>
    <t>EMP083</t>
  </si>
  <si>
    <t>Employee_83</t>
  </si>
  <si>
    <t>₹  97,260.00</t>
  </si>
  <si>
    <t>EMP084</t>
  </si>
  <si>
    <t>Employee_84</t>
  </si>
  <si>
    <t>₹  83,535.00</t>
  </si>
  <si>
    <t>EMP085</t>
  </si>
  <si>
    <t>Employee_85</t>
  </si>
  <si>
    <t>₹  68,970.00</t>
  </si>
  <si>
    <t>EMP086</t>
  </si>
  <si>
    <t>Employee_86</t>
  </si>
  <si>
    <t>₹  74,637.00</t>
  </si>
  <si>
    <t>EMP087</t>
  </si>
  <si>
    <t>Employee_87</t>
  </si>
  <si>
    <t>₹  68,350.00</t>
  </si>
  <si>
    <t>EMP088</t>
  </si>
  <si>
    <t>Employee_88</t>
  </si>
  <si>
    <t>₹  88,774.00</t>
  </si>
  <si>
    <t>EMP089</t>
  </si>
  <si>
    <t>Employee_89</t>
  </si>
  <si>
    <t>₹  61,854.00</t>
  </si>
  <si>
    <t>EMP090</t>
  </si>
  <si>
    <t>Employee_90</t>
  </si>
  <si>
    <t>₹  92,596.00</t>
  </si>
  <si>
    <t>EMP091</t>
  </si>
  <si>
    <t>Employee_91</t>
  </si>
  <si>
    <t>₹  43,849.00</t>
  </si>
  <si>
    <t>EMP092</t>
  </si>
  <si>
    <t>Employee_92</t>
  </si>
  <si>
    <t>₹  45,185.00</t>
  </si>
  <si>
    <t>EMP093</t>
  </si>
  <si>
    <t>Employee_93</t>
  </si>
  <si>
    <t>₹  30,608.00</t>
  </si>
  <si>
    <t>EMP094</t>
  </si>
  <si>
    <t>Employee_94</t>
  </si>
  <si>
    <t>₹  55,236.00</t>
  </si>
  <si>
    <t>EMP095</t>
  </si>
  <si>
    <t>Employee_95</t>
  </si>
  <si>
    <t>₹  94,519.00</t>
  </si>
  <si>
    <t>EMP096</t>
  </si>
  <si>
    <t>Employee_96</t>
  </si>
  <si>
    <t>₹  65,864.00</t>
  </si>
  <si>
    <t>EMP097</t>
  </si>
  <si>
    <t>Employee_97</t>
  </si>
  <si>
    <t>₹  30,336.00</t>
  </si>
  <si>
    <t>EMP098</t>
  </si>
  <si>
    <t>Employee_98</t>
  </si>
  <si>
    <t>₹  42,351.00</t>
  </si>
  <si>
    <t>EMP099</t>
  </si>
  <si>
    <t>Employee_99</t>
  </si>
  <si>
    <t>₹  76,360.00</t>
  </si>
  <si>
    <t>EMP100</t>
  </si>
  <si>
    <t>Employee_100</t>
  </si>
  <si>
    <t>₹  50,478.00</t>
  </si>
  <si>
    <t>EMP101</t>
  </si>
  <si>
    <t>Employee_101</t>
  </si>
  <si>
    <t>₹  39,072.00</t>
  </si>
  <si>
    <t>EMP102</t>
  </si>
  <si>
    <t>Employee_102</t>
  </si>
  <si>
    <t>₹  76,249.00</t>
  </si>
  <si>
    <t>EMP103</t>
  </si>
  <si>
    <t>Employee_103</t>
  </si>
  <si>
    <t>₹  50,574.00</t>
  </si>
  <si>
    <t>EMP104</t>
  </si>
  <si>
    <t>Employee_104</t>
  </si>
  <si>
    <t>₹  71,785.00</t>
  </si>
  <si>
    <t>EMP105</t>
  </si>
  <si>
    <t>Employee_105</t>
  </si>
  <si>
    <t>₹  87,816.00</t>
  </si>
  <si>
    <t>EMP106</t>
  </si>
  <si>
    <t>Employee_106</t>
  </si>
  <si>
    <t>₹  59,629.00</t>
  </si>
  <si>
    <t>EMP107</t>
  </si>
  <si>
    <t>Employee_107</t>
  </si>
  <si>
    <t>₹  77,397.00</t>
  </si>
  <si>
    <t>EMP108</t>
  </si>
  <si>
    <t>Employee_108</t>
  </si>
  <si>
    <t>₹  76,856.00</t>
  </si>
  <si>
    <t>EMP109</t>
  </si>
  <si>
    <t>Employee_109</t>
  </si>
  <si>
    <t>₹  97,312.00</t>
  </si>
  <si>
    <t>EMP110</t>
  </si>
  <si>
    <t>Employee_110</t>
  </si>
  <si>
    <t>₹  77,636.00</t>
  </si>
  <si>
    <t>EMP111</t>
  </si>
  <si>
    <t>Employee_111</t>
  </si>
  <si>
    <t>₹  77,049.00</t>
  </si>
  <si>
    <t>EMP112</t>
  </si>
  <si>
    <t>Employee_112</t>
  </si>
  <si>
    <t>₹  30,086.00</t>
  </si>
  <si>
    <t>EMP113</t>
  </si>
  <si>
    <t>Employee_113</t>
  </si>
  <si>
    <t>₹  57,542.00</t>
  </si>
  <si>
    <t>EMP114</t>
  </si>
  <si>
    <t>Employee_114</t>
  </si>
  <si>
    <t>₹  40,755.00</t>
  </si>
  <si>
    <t>EMP115</t>
  </si>
  <si>
    <t>Employee_115</t>
  </si>
  <si>
    <t>₹  54,585.00</t>
  </si>
  <si>
    <t>EMP116</t>
  </si>
  <si>
    <t>Employee_116</t>
  </si>
  <si>
    <t>₹  40,312.00</t>
  </si>
  <si>
    <t>EMP117</t>
  </si>
  <si>
    <t>Employee_117</t>
  </si>
  <si>
    <t>₹  97,147.00</t>
  </si>
  <si>
    <t>EMP118</t>
  </si>
  <si>
    <t>Employee_118</t>
  </si>
  <si>
    <t>₹  30,899.00</t>
  </si>
  <si>
    <t>EMP119</t>
  </si>
  <si>
    <t>Employee_119</t>
  </si>
  <si>
    <t>₹  68,412.00</t>
  </si>
  <si>
    <t>EMP120</t>
  </si>
  <si>
    <t>Employee_120</t>
  </si>
  <si>
    <t>₹  70,378.00</t>
  </si>
  <si>
    <t>EMP121</t>
  </si>
  <si>
    <t>Employee_121</t>
  </si>
  <si>
    <t>₹  75,713.00</t>
  </si>
  <si>
    <t>EMP122</t>
  </si>
  <si>
    <t>Employee_122</t>
  </si>
  <si>
    <t>₹  59,280.00</t>
  </si>
  <si>
    <t>EMP123</t>
  </si>
  <si>
    <t>Employee_123</t>
  </si>
  <si>
    <t>₹  93,951.00</t>
  </si>
  <si>
    <t>EMP124</t>
  </si>
  <si>
    <t>Employee_124</t>
  </si>
  <si>
    <t>₹  60,459.00</t>
  </si>
  <si>
    <t>EMP125</t>
  </si>
  <si>
    <t>Employee_125</t>
  </si>
  <si>
    <t>₹  89,347.00</t>
  </si>
  <si>
    <t>EMP126</t>
  </si>
  <si>
    <t>Employee_126</t>
  </si>
  <si>
    <t>₹  82,581.00</t>
  </si>
  <si>
    <t>EMP127</t>
  </si>
  <si>
    <t>Employee_127</t>
  </si>
  <si>
    <t>₹  33,751.00</t>
  </si>
  <si>
    <t>EMP128</t>
  </si>
  <si>
    <t>Employee_128</t>
  </si>
  <si>
    <t>₹  36,488.00</t>
  </si>
  <si>
    <t>EMP129</t>
  </si>
  <si>
    <t>Employee_129</t>
  </si>
  <si>
    <t>₹  65,255.00</t>
  </si>
  <si>
    <t>EMP130</t>
  </si>
  <si>
    <t>Employee_130</t>
  </si>
  <si>
    <t>₹  89,281.00</t>
  </si>
  <si>
    <t>EMP131</t>
  </si>
  <si>
    <t>Employee_131</t>
  </si>
  <si>
    <t>₹  62,444.00</t>
  </si>
  <si>
    <t>EMP132</t>
  </si>
  <si>
    <t>Employee_132</t>
  </si>
  <si>
    <t>₹  54,798.00</t>
  </si>
  <si>
    <t>EMP133</t>
  </si>
  <si>
    <t>Employee_133</t>
  </si>
  <si>
    <t>₹  64,389.00</t>
  </si>
  <si>
    <t>EMP134</t>
  </si>
  <si>
    <t>Employee_134</t>
  </si>
  <si>
    <t>₹  41,130.00</t>
  </si>
  <si>
    <t>EMP135</t>
  </si>
  <si>
    <t>Employee_135</t>
  </si>
  <si>
    <t>₹  76,314.00</t>
  </si>
  <si>
    <t>EMP136</t>
  </si>
  <si>
    <t>Employee_136</t>
  </si>
  <si>
    <t>₹  92,961.00</t>
  </si>
  <si>
    <t>EMP137</t>
  </si>
  <si>
    <t>Employee_137</t>
  </si>
  <si>
    <t>₹  81,927.00</t>
  </si>
  <si>
    <t>EMP138</t>
  </si>
  <si>
    <t>Employee_138</t>
  </si>
  <si>
    <t>₹  78,227.00</t>
  </si>
  <si>
    <t>EMP139</t>
  </si>
  <si>
    <t>Employee_139</t>
  </si>
  <si>
    <t>₹  58,677.00</t>
  </si>
  <si>
    <t>EMP140</t>
  </si>
  <si>
    <t>Employee_140</t>
  </si>
  <si>
    <t>₹  33,307.00</t>
  </si>
  <si>
    <t>EMP141</t>
  </si>
  <si>
    <t>Employee_141</t>
  </si>
  <si>
    <t>₹  86,530.00</t>
  </si>
  <si>
    <t>EMP142</t>
  </si>
  <si>
    <t>Employee_142</t>
  </si>
  <si>
    <t>₹  53,893.00</t>
  </si>
  <si>
    <t>EMP143</t>
  </si>
  <si>
    <t>Employee_143</t>
  </si>
  <si>
    <t>₹  39,378.00</t>
  </si>
  <si>
    <t>EMP144</t>
  </si>
  <si>
    <t>Employee_144</t>
  </si>
  <si>
    <t>₹  84,402.00</t>
  </si>
  <si>
    <t>EMP145</t>
  </si>
  <si>
    <t>Employee_145</t>
  </si>
  <si>
    <t>₹  40,895.00</t>
  </si>
  <si>
    <t>EMP146</t>
  </si>
  <si>
    <t>Employee_146</t>
  </si>
  <si>
    <t>₹  30,479.00</t>
  </si>
  <si>
    <t>EMP147</t>
  </si>
  <si>
    <t>Employee_147</t>
  </si>
  <si>
    <t>₹  41,508.00</t>
  </si>
  <si>
    <t>EMP148</t>
  </si>
  <si>
    <t>Employee_148</t>
  </si>
  <si>
    <t>₹  90,433.00</t>
  </si>
  <si>
    <t>EMP149</t>
  </si>
  <si>
    <t>Employee_149</t>
  </si>
  <si>
    <t>₹  79,230.00</t>
  </si>
  <si>
    <t>EMP150</t>
  </si>
  <si>
    <t>Employee_150</t>
  </si>
  <si>
    <t>₹  83,173.00</t>
  </si>
  <si>
    <t>EMP151</t>
  </si>
  <si>
    <t>Employee_151</t>
  </si>
  <si>
    <t>₹  81,963.00</t>
  </si>
  <si>
    <t>EMP152</t>
  </si>
  <si>
    <t>Employee_152</t>
  </si>
  <si>
    <t>₹  95,475.00</t>
  </si>
  <si>
    <t>EMP153</t>
  </si>
  <si>
    <t>Employee_153</t>
  </si>
  <si>
    <t>₹  83,639.00</t>
  </si>
  <si>
    <t>EMP154</t>
  </si>
  <si>
    <t>Employee_154</t>
  </si>
  <si>
    <t>₹  74,150.00</t>
  </si>
  <si>
    <t>EMP155</t>
  </si>
  <si>
    <t>Employee_155</t>
  </si>
  <si>
    <t>₹  75,670.00</t>
  </si>
  <si>
    <t>EMP156</t>
  </si>
  <si>
    <t>Employee_156</t>
  </si>
  <si>
    <t>₹  51,417.00</t>
  </si>
  <si>
    <t>EMP157</t>
  </si>
  <si>
    <t>Employee_157</t>
  </si>
  <si>
    <t>₹  83,925.00</t>
  </si>
  <si>
    <t>EMP158</t>
  </si>
  <si>
    <t>Employee_158</t>
  </si>
  <si>
    <t>₹  54,908.00</t>
  </si>
  <si>
    <t>EMP159</t>
  </si>
  <si>
    <t>Employee_159</t>
  </si>
  <si>
    <t>₹  89,617.00</t>
  </si>
  <si>
    <t>EMP160</t>
  </si>
  <si>
    <t>Employee_160</t>
  </si>
  <si>
    <t>₹  70,446.00</t>
  </si>
  <si>
    <t>EMP161</t>
  </si>
  <si>
    <t>Employee_161</t>
  </si>
  <si>
    <t>₹  66,031.00</t>
  </si>
  <si>
    <t>EMP162</t>
  </si>
  <si>
    <t>Employee_162</t>
  </si>
  <si>
    <t>₹  91,440.00</t>
  </si>
  <si>
    <t>EMP163</t>
  </si>
  <si>
    <t>Employee_163</t>
  </si>
  <si>
    <t>₹  32,754.00</t>
  </si>
  <si>
    <t>EMP164</t>
  </si>
  <si>
    <t>Employee_164</t>
  </si>
  <si>
    <t>₹  45,611.00</t>
  </si>
  <si>
    <t>EMP165</t>
  </si>
  <si>
    <t>Employee_165</t>
  </si>
  <si>
    <t>₹  96,242.00</t>
  </si>
  <si>
    <t>EMP166</t>
  </si>
  <si>
    <t>Employee_166</t>
  </si>
  <si>
    <t>₹  92,741.00</t>
  </si>
  <si>
    <t>EMP167</t>
  </si>
  <si>
    <t>Employee_167</t>
  </si>
  <si>
    <t>₹  72,522.00</t>
  </si>
  <si>
    <t>EMP168</t>
  </si>
  <si>
    <t>Employee_168</t>
  </si>
  <si>
    <t>₹  62,078.00</t>
  </si>
  <si>
    <t>EMP169</t>
  </si>
  <si>
    <t>Employee_169</t>
  </si>
  <si>
    <t>₹  92,616.00</t>
  </si>
  <si>
    <t>EMP170</t>
  </si>
  <si>
    <t>Employee_170</t>
  </si>
  <si>
    <t>₹  43,383.00</t>
  </si>
  <si>
    <t>EMP171</t>
  </si>
  <si>
    <t>Employee_171</t>
  </si>
  <si>
    <t>₹  39,121.00</t>
  </si>
  <si>
    <t>EMP172</t>
  </si>
  <si>
    <t>Employee_172</t>
  </si>
  <si>
    <t>₹  70,153.00</t>
  </si>
  <si>
    <t>EMP173</t>
  </si>
  <si>
    <t>Employee_173</t>
  </si>
  <si>
    <t>₹  76,545.00</t>
  </si>
  <si>
    <t>EMP174</t>
  </si>
  <si>
    <t>Employee_174</t>
  </si>
  <si>
    <t>₹  56,903.00</t>
  </si>
  <si>
    <t>EMP175</t>
  </si>
  <si>
    <t>Employee_175</t>
  </si>
  <si>
    <t>₹  85,358.00</t>
  </si>
  <si>
    <t>EMP176</t>
  </si>
  <si>
    <t>Employee_176</t>
  </si>
  <si>
    <t>₹  93,831.00</t>
  </si>
  <si>
    <t>EMP177</t>
  </si>
  <si>
    <t>Employee_177</t>
  </si>
  <si>
    <t>₹  81,047.00</t>
  </si>
  <si>
    <t>EMP178</t>
  </si>
  <si>
    <t>Employee_178</t>
  </si>
  <si>
    <t>₹  48,862.00</t>
  </si>
  <si>
    <t>EMP179</t>
  </si>
  <si>
    <t>Employee_179</t>
  </si>
  <si>
    <t>₹  98,927.00</t>
  </si>
  <si>
    <t>EMP180</t>
  </si>
  <si>
    <t>Employee_180</t>
  </si>
  <si>
    <t>₹  68,059.00</t>
  </si>
  <si>
    <t>EMP181</t>
  </si>
  <si>
    <t>Employee_181</t>
  </si>
  <si>
    <t>₹  79,939.00</t>
  </si>
  <si>
    <t>EMP182</t>
  </si>
  <si>
    <t>Employee_182</t>
  </si>
  <si>
    <t>₹  47,313.00</t>
  </si>
  <si>
    <t>EMP183</t>
  </si>
  <si>
    <t>Employee_183</t>
  </si>
  <si>
    <t>₹  97,664.00</t>
  </si>
  <si>
    <t>EMP184</t>
  </si>
  <si>
    <t>Employee_184</t>
  </si>
  <si>
    <t>₹  91,049.00</t>
  </si>
  <si>
    <t>EMP185</t>
  </si>
  <si>
    <t>Employee_185</t>
  </si>
  <si>
    <t>₹  30,061.00</t>
  </si>
  <si>
    <t>EMP186</t>
  </si>
  <si>
    <t>Employee_186</t>
  </si>
  <si>
    <t>₹  59,420.00</t>
  </si>
  <si>
    <t>EMP187</t>
  </si>
  <si>
    <t>Employee_187</t>
  </si>
  <si>
    <t>₹  74,612.00</t>
  </si>
  <si>
    <t>EMP188</t>
  </si>
  <si>
    <t>Employee_188</t>
  </si>
  <si>
    <t>₹  86,408.00</t>
  </si>
  <si>
    <t>EMP189</t>
  </si>
  <si>
    <t>Employee_189</t>
  </si>
  <si>
    <t>₹  54,198.00</t>
  </si>
  <si>
    <t>EMP190</t>
  </si>
  <si>
    <t>Employee_190</t>
  </si>
  <si>
    <t>₹  41,661.00</t>
  </si>
  <si>
    <t>EMP191</t>
  </si>
  <si>
    <t>Employee_191</t>
  </si>
  <si>
    <t>₹  57,879.00</t>
  </si>
  <si>
    <t>EMP192</t>
  </si>
  <si>
    <t>Employee_192</t>
  </si>
  <si>
    <t>₹  81,417.00</t>
  </si>
  <si>
    <t>EMP193</t>
  </si>
  <si>
    <t>Employee_193</t>
  </si>
  <si>
    <t>₹  87,702.00</t>
  </si>
  <si>
    <t>EMP194</t>
  </si>
  <si>
    <t>Employee_194</t>
  </si>
  <si>
    <t>₹  56,427.00</t>
  </si>
  <si>
    <t>EMP195</t>
  </si>
  <si>
    <t>Employee_195</t>
  </si>
  <si>
    <t>₹  30,915.00</t>
  </si>
  <si>
    <t>EMP196</t>
  </si>
  <si>
    <t>Employee_196</t>
  </si>
  <si>
    <t>₹  61,665.00</t>
  </si>
  <si>
    <t>EMP197</t>
  </si>
  <si>
    <t>Employee_197</t>
  </si>
  <si>
    <t>₹  52,389.00</t>
  </si>
  <si>
    <t>EMP198</t>
  </si>
  <si>
    <t>Employee_198</t>
  </si>
  <si>
    <t>₹  31,822.00</t>
  </si>
  <si>
    <t>EMP199</t>
  </si>
  <si>
    <t>Employee_199</t>
  </si>
  <si>
    <t>₹  37,131.00</t>
  </si>
  <si>
    <t>EMP200</t>
  </si>
  <si>
    <t>Employee_200</t>
  </si>
  <si>
    <t>₹  34,738.00</t>
  </si>
  <si>
    <t>EMP201</t>
  </si>
  <si>
    <t>Employee_201</t>
  </si>
  <si>
    <t>₹  56,268.00</t>
  </si>
  <si>
    <t>EMP202</t>
  </si>
  <si>
    <t>Employee_202</t>
  </si>
  <si>
    <t>₹  59,862.00</t>
  </si>
  <si>
    <t>EMP203</t>
  </si>
  <si>
    <t>Employee_203</t>
  </si>
  <si>
    <t>₹  59,155.00</t>
  </si>
  <si>
    <t>EMP204</t>
  </si>
  <si>
    <t>Employee_204</t>
  </si>
  <si>
    <t>₹  40,231.00</t>
  </si>
  <si>
    <t>EMP205</t>
  </si>
  <si>
    <t>Employee_205</t>
  </si>
  <si>
    <t>₹  41,413.00</t>
  </si>
  <si>
    <t>EMP206</t>
  </si>
  <si>
    <t>Employee_206</t>
  </si>
  <si>
    <t>₹  98,712.00</t>
  </si>
  <si>
    <t>EMP207</t>
  </si>
  <si>
    <t>Employee_207</t>
  </si>
  <si>
    <t>₹  41,145.00</t>
  </si>
  <si>
    <t>EMP208</t>
  </si>
  <si>
    <t>Employee_208</t>
  </si>
  <si>
    <t>₹  52,219.00</t>
  </si>
  <si>
    <t>EMP209</t>
  </si>
  <si>
    <t>Employee_209</t>
  </si>
  <si>
    <t>₹  57,143.00</t>
  </si>
  <si>
    <t>EMP210</t>
  </si>
  <si>
    <t>Employee_210</t>
  </si>
  <si>
    <t>₹  74,451.00</t>
  </si>
  <si>
    <t>EMP211</t>
  </si>
  <si>
    <t>Employee_211</t>
  </si>
  <si>
    <t>₹  99,392.00</t>
  </si>
  <si>
    <t>EMP212</t>
  </si>
  <si>
    <t>Employee_212</t>
  </si>
  <si>
    <t>₹  95,072.00</t>
  </si>
  <si>
    <t>EMP213</t>
  </si>
  <si>
    <t>Employee_213</t>
  </si>
  <si>
    <t>₹  38,566.00</t>
  </si>
  <si>
    <t>EMP214</t>
  </si>
  <si>
    <t>Employee_214</t>
  </si>
  <si>
    <t>₹  47,725.00</t>
  </si>
  <si>
    <t>EMP215</t>
  </si>
  <si>
    <t>Employee_215</t>
  </si>
  <si>
    <t>₹  40,077.00</t>
  </si>
  <si>
    <t>EMP216</t>
  </si>
  <si>
    <t>Employee_216</t>
  </si>
  <si>
    <t>₹  81,234.00</t>
  </si>
  <si>
    <t>EMP217</t>
  </si>
  <si>
    <t>Employee_217</t>
  </si>
  <si>
    <t>₹  68,579.00</t>
  </si>
  <si>
    <t>EMP218</t>
  </si>
  <si>
    <t>Employee_218</t>
  </si>
  <si>
    <t>₹  71,204.00</t>
  </si>
  <si>
    <t>EMP219</t>
  </si>
  <si>
    <t>Employee_219</t>
  </si>
  <si>
    <t>₹  65,102.00</t>
  </si>
  <si>
    <t>EMP220</t>
  </si>
  <si>
    <t>Employee_220</t>
  </si>
  <si>
    <t>₹  62,328.00</t>
  </si>
  <si>
    <t>EMP221</t>
  </si>
  <si>
    <t>Employee_221</t>
  </si>
  <si>
    <t>₹  86,105.00</t>
  </si>
  <si>
    <t>EMP222</t>
  </si>
  <si>
    <t>Employee_222</t>
  </si>
  <si>
    <t>₹  63,323.00</t>
  </si>
  <si>
    <t>EMP223</t>
  </si>
  <si>
    <t>Employee_223</t>
  </si>
  <si>
    <t>₹  47,637.00</t>
  </si>
  <si>
    <t>EMP224</t>
  </si>
  <si>
    <t>Employee_224</t>
  </si>
  <si>
    <t>₹  67,436.00</t>
  </si>
  <si>
    <t>EMP225</t>
  </si>
  <si>
    <t>Employee_225</t>
  </si>
  <si>
    <t>₹  43,635.00</t>
  </si>
  <si>
    <t>EMP226</t>
  </si>
  <si>
    <t>Employee_226</t>
  </si>
  <si>
    <t>₹  36,158.00</t>
  </si>
  <si>
    <t>EMP227</t>
  </si>
  <si>
    <t>Employee_227</t>
  </si>
  <si>
    <t>₹  74,996.00</t>
  </si>
  <si>
    <t>EMP228</t>
  </si>
  <si>
    <t>Employee_228</t>
  </si>
  <si>
    <t>₹  72,159.00</t>
  </si>
  <si>
    <t>EMP229</t>
  </si>
  <si>
    <t>Employee_229</t>
  </si>
  <si>
    <t>₹  52,243.00</t>
  </si>
  <si>
    <t>EMP230</t>
  </si>
  <si>
    <t>Employee_230</t>
  </si>
  <si>
    <t>₹  57,281.00</t>
  </si>
  <si>
    <t>EMP231</t>
  </si>
  <si>
    <t>Employee_231</t>
  </si>
  <si>
    <t>₹  60,009.00</t>
  </si>
  <si>
    <t>EMP232</t>
  </si>
  <si>
    <t>Employee_232</t>
  </si>
  <si>
    <t>₹  88,475.00</t>
  </si>
  <si>
    <t>EMP233</t>
  </si>
  <si>
    <t>Employee_233</t>
  </si>
  <si>
    <t>₹  40,616.00</t>
  </si>
  <si>
    <t>EMP234</t>
  </si>
  <si>
    <t>Employee_234</t>
  </si>
  <si>
    <t>₹  39,883.00</t>
  </si>
  <si>
    <t>EMP235</t>
  </si>
  <si>
    <t>Employee_235</t>
  </si>
  <si>
    <t>₹  68,791.00</t>
  </si>
  <si>
    <t>EMP236</t>
  </si>
  <si>
    <t>Employee_236</t>
  </si>
  <si>
    <t>₹  60,282.00</t>
  </si>
  <si>
    <t>EMP237</t>
  </si>
  <si>
    <t>Employee_237</t>
  </si>
  <si>
    <t>₹  42,214.00</t>
  </si>
  <si>
    <t>EMP238</t>
  </si>
  <si>
    <t>Employee_238</t>
  </si>
  <si>
    <t>₹  86,248.00</t>
  </si>
  <si>
    <t>EMP239</t>
  </si>
  <si>
    <t>Employee_239</t>
  </si>
  <si>
    <t>₹  35,745.00</t>
  </si>
  <si>
    <t>EMP240</t>
  </si>
  <si>
    <t>Employee_240</t>
  </si>
  <si>
    <t>₹  46,724.00</t>
  </si>
  <si>
    <t>EMP241</t>
  </si>
  <si>
    <t>Employee_241</t>
  </si>
  <si>
    <t>₹  84,053.00</t>
  </si>
  <si>
    <t>EMP242</t>
  </si>
  <si>
    <t>Employee_242</t>
  </si>
  <si>
    <t>₹  32,621.00</t>
  </si>
  <si>
    <t>EMP243</t>
  </si>
  <si>
    <t>Employee_243</t>
  </si>
  <si>
    <t>₹  30,353.00</t>
  </si>
  <si>
    <t>EMP244</t>
  </si>
  <si>
    <t>Employee_244</t>
  </si>
  <si>
    <t>₹  56,335.00</t>
  </si>
  <si>
    <t>EMP245</t>
  </si>
  <si>
    <t>Employee_245</t>
  </si>
  <si>
    <t>₹  33,612.00</t>
  </si>
  <si>
    <t>EMP246</t>
  </si>
  <si>
    <t>Employee_246</t>
  </si>
  <si>
    <t>₹  41,500.00</t>
  </si>
  <si>
    <t>EMP247</t>
  </si>
  <si>
    <t>Employee_247</t>
  </si>
  <si>
    <t>₹  64,052.00</t>
  </si>
  <si>
    <t>EMP248</t>
  </si>
  <si>
    <t>Employee_248</t>
  </si>
  <si>
    <t>₹  47,862.00</t>
  </si>
  <si>
    <t>EMP249</t>
  </si>
  <si>
    <t>Employee_249</t>
  </si>
  <si>
    <t>₹  44,595.00</t>
  </si>
  <si>
    <t>EMP250</t>
  </si>
  <si>
    <t>Employee_250</t>
  </si>
  <si>
    <t>₹  56,287.00</t>
  </si>
  <si>
    <t>EMP251</t>
  </si>
  <si>
    <t>Employee_251</t>
  </si>
  <si>
    <t>₹  82,174.00</t>
  </si>
  <si>
    <t>EMP252</t>
  </si>
  <si>
    <t>Employee_252</t>
  </si>
  <si>
    <t>₹  85,100.00</t>
  </si>
  <si>
    <t>EMP253</t>
  </si>
  <si>
    <t>Employee_253</t>
  </si>
  <si>
    <t>₹  70,406.00</t>
  </si>
  <si>
    <t>EMP254</t>
  </si>
  <si>
    <t>Employee_254</t>
  </si>
  <si>
    <t>₹  75,693.00</t>
  </si>
  <si>
    <t>EMP255</t>
  </si>
  <si>
    <t>Employee_255</t>
  </si>
  <si>
    <t>₹  74,029.00</t>
  </si>
  <si>
    <t>EMP256</t>
  </si>
  <si>
    <t>Employee_256</t>
  </si>
  <si>
    <t>₹  53,833.00</t>
  </si>
  <si>
    <t>EMP257</t>
  </si>
  <si>
    <t>Employee_257</t>
  </si>
  <si>
    <t>₹  97,541.00</t>
  </si>
  <si>
    <t>EMP258</t>
  </si>
  <si>
    <t>Employee_258</t>
  </si>
  <si>
    <t>₹  89,777.00</t>
  </si>
  <si>
    <t>EMP259</t>
  </si>
  <si>
    <t>Employee_259</t>
  </si>
  <si>
    <t>₹  99,164.00</t>
  </si>
  <si>
    <t>EMP260</t>
  </si>
  <si>
    <t>Employee_260</t>
  </si>
  <si>
    <t>₹  33,232.00</t>
  </si>
  <si>
    <t>EMP261</t>
  </si>
  <si>
    <t>Employee_261</t>
  </si>
  <si>
    <t>₹  53,997.00</t>
  </si>
  <si>
    <t>EMP262</t>
  </si>
  <si>
    <t>Employee_262</t>
  </si>
  <si>
    <t>₹  38,408.00</t>
  </si>
  <si>
    <t>EMP263</t>
  </si>
  <si>
    <t>Employee_263</t>
  </si>
  <si>
    <t>₹  97,636.00</t>
  </si>
  <si>
    <t>EMP264</t>
  </si>
  <si>
    <t>Employee_264</t>
  </si>
  <si>
    <t>₹  69,264.00</t>
  </si>
  <si>
    <t>EMP265</t>
  </si>
  <si>
    <t>Employee_265</t>
  </si>
  <si>
    <t>₹  63,330.00</t>
  </si>
  <si>
    <t>EMP266</t>
  </si>
  <si>
    <t>Employee_266</t>
  </si>
  <si>
    <t>₹  40,979.00</t>
  </si>
  <si>
    <t>EMP267</t>
  </si>
  <si>
    <t>Employee_267</t>
  </si>
  <si>
    <t>₹  68,917.00</t>
  </si>
  <si>
    <t>EMP268</t>
  </si>
  <si>
    <t>Employee_268</t>
  </si>
  <si>
    <t>₹  60,809.00</t>
  </si>
  <si>
    <t>EMP269</t>
  </si>
  <si>
    <t>Employee_269</t>
  </si>
  <si>
    <t>₹  84,193.00</t>
  </si>
  <si>
    <t>EMP270</t>
  </si>
  <si>
    <t>Employee_270</t>
  </si>
  <si>
    <t>₹  81,895.00</t>
  </si>
  <si>
    <t>EMP271</t>
  </si>
  <si>
    <t>Employee_271</t>
  </si>
  <si>
    <t>₹  61,673.00</t>
  </si>
  <si>
    <t>EMP272</t>
  </si>
  <si>
    <t>Employee_272</t>
  </si>
  <si>
    <t>₹  58,371.00</t>
  </si>
  <si>
    <t>EMP273</t>
  </si>
  <si>
    <t>Employee_273</t>
  </si>
  <si>
    <t>₹  92,957.00</t>
  </si>
  <si>
    <t>EMP274</t>
  </si>
  <si>
    <t>Employee_274</t>
  </si>
  <si>
    <t>₹  58,623.00</t>
  </si>
  <si>
    <t>EMP275</t>
  </si>
  <si>
    <t>Employee_275</t>
  </si>
  <si>
    <t>₹  86,564.00</t>
  </si>
  <si>
    <t>EMP276</t>
  </si>
  <si>
    <t>Employee_276</t>
  </si>
  <si>
    <t>₹  40,427.00</t>
  </si>
  <si>
    <t>EMP277</t>
  </si>
  <si>
    <t>Employee_277</t>
  </si>
  <si>
    <t>₹  50,440.00</t>
  </si>
  <si>
    <t>EMP278</t>
  </si>
  <si>
    <t>Employee_278</t>
  </si>
  <si>
    <t>₹  61,266.00</t>
  </si>
  <si>
    <t>EMP279</t>
  </si>
  <si>
    <t>Employee_279</t>
  </si>
  <si>
    <t>₹  56,512.00</t>
  </si>
  <si>
    <t>EMP280</t>
  </si>
  <si>
    <t>Employee_280</t>
  </si>
  <si>
    <t>₹  34,722.00</t>
  </si>
  <si>
    <t>EMP281</t>
  </si>
  <si>
    <t>Employee_281</t>
  </si>
  <si>
    <t>₹  38,253.00</t>
  </si>
  <si>
    <t>EMP282</t>
  </si>
  <si>
    <t>Employee_282</t>
  </si>
  <si>
    <t>₹  40,807.00</t>
  </si>
  <si>
    <t>EMP283</t>
  </si>
  <si>
    <t>Employee_283</t>
  </si>
  <si>
    <t>₹  57,130.00</t>
  </si>
  <si>
    <t>EMP284</t>
  </si>
  <si>
    <t>Employee_284</t>
  </si>
  <si>
    <t>₹  74,930.00</t>
  </si>
  <si>
    <t>EMP285</t>
  </si>
  <si>
    <t>Employee_285</t>
  </si>
  <si>
    <t>₹  46,986.00</t>
  </si>
  <si>
    <t>EMP286</t>
  </si>
  <si>
    <t>Employee_286</t>
  </si>
  <si>
    <t>₹  85,685.00</t>
  </si>
  <si>
    <t>EMP287</t>
  </si>
  <si>
    <t>Employee_287</t>
  </si>
  <si>
    <t>₹  93,572.00</t>
  </si>
  <si>
    <t>EMP288</t>
  </si>
  <si>
    <t>Employee_288</t>
  </si>
  <si>
    <t>₹  85,116.00</t>
  </si>
  <si>
    <t>EMP289</t>
  </si>
  <si>
    <t>Employee_289</t>
  </si>
  <si>
    <t>₹  52,722.00</t>
  </si>
  <si>
    <t>EMP290</t>
  </si>
  <si>
    <t>Employee_290</t>
  </si>
  <si>
    <t>₹  84,936.00</t>
  </si>
  <si>
    <t>EMP291</t>
  </si>
  <si>
    <t>Employee_291</t>
  </si>
  <si>
    <t>₹  73,741.00</t>
  </si>
  <si>
    <t>EMP292</t>
  </si>
  <si>
    <t>Employee_292</t>
  </si>
  <si>
    <t>₹  55,028.00</t>
  </si>
  <si>
    <t>EMP293</t>
  </si>
  <si>
    <t>Employee_293</t>
  </si>
  <si>
    <t>₹  83,584.00</t>
  </si>
  <si>
    <t>EMP294</t>
  </si>
  <si>
    <t>Employee_294</t>
  </si>
  <si>
    <t>₹  53,127.00</t>
  </si>
  <si>
    <t>EMP295</t>
  </si>
  <si>
    <t>Employee_295</t>
  </si>
  <si>
    <t>₹  32,007.00</t>
  </si>
  <si>
    <t>EMP296</t>
  </si>
  <si>
    <t>Employee_296</t>
  </si>
  <si>
    <t>₹  37,853.00</t>
  </si>
  <si>
    <t>EMP297</t>
  </si>
  <si>
    <t>Employee_297</t>
  </si>
  <si>
    <t>₹  62,039.00</t>
  </si>
  <si>
    <t>EMP298</t>
  </si>
  <si>
    <t>Employee_298</t>
  </si>
  <si>
    <t>₹  85,293.00</t>
  </si>
  <si>
    <t>EMP299</t>
  </si>
  <si>
    <t>Employee_299</t>
  </si>
  <si>
    <t>₹  79,270.00</t>
  </si>
  <si>
    <t>EMP300</t>
  </si>
  <si>
    <t>Employee_300</t>
  </si>
  <si>
    <t>₹  32,957.00</t>
  </si>
  <si>
    <t>EMP301</t>
  </si>
  <si>
    <t>Employee_301</t>
  </si>
  <si>
    <t>₹  58,931.00</t>
  </si>
  <si>
    <t>EMP302</t>
  </si>
  <si>
    <t>Employee_302</t>
  </si>
  <si>
    <t>₹  86,055.00</t>
  </si>
  <si>
    <t>EMP303</t>
  </si>
  <si>
    <t>Employee_303</t>
  </si>
  <si>
    <t>₹  82,776.00</t>
  </si>
  <si>
    <t>EMP304</t>
  </si>
  <si>
    <t>Employee_304</t>
  </si>
  <si>
    <t>₹  58,946.00</t>
  </si>
  <si>
    <t>EMP305</t>
  </si>
  <si>
    <t>Employee_305</t>
  </si>
  <si>
    <t>₹  96,601.00</t>
  </si>
  <si>
    <t>EMP306</t>
  </si>
  <si>
    <t>Employee_306</t>
  </si>
  <si>
    <t>₹  61,353.00</t>
  </si>
  <si>
    <t>EMP307</t>
  </si>
  <si>
    <t>Employee_307</t>
  </si>
  <si>
    <t>₹  75,962.00</t>
  </si>
  <si>
    <t>EMP308</t>
  </si>
  <si>
    <t>Employee_308</t>
  </si>
  <si>
    <t>₹  54,569.00</t>
  </si>
  <si>
    <t>EMP309</t>
  </si>
  <si>
    <t>Employee_309</t>
  </si>
  <si>
    <t>₹  53,173.00</t>
  </si>
  <si>
    <t>EMP310</t>
  </si>
  <si>
    <t>Employee_310</t>
  </si>
  <si>
    <t>₹  90,312.00</t>
  </si>
  <si>
    <t>EMP311</t>
  </si>
  <si>
    <t>Employee_311</t>
  </si>
  <si>
    <t>₹  85,906.00</t>
  </si>
  <si>
    <t>EMP312</t>
  </si>
  <si>
    <t>Employee_312</t>
  </si>
  <si>
    <t>₹  45,533.00</t>
  </si>
  <si>
    <t>EMP313</t>
  </si>
  <si>
    <t>Employee_313</t>
  </si>
  <si>
    <t>₹  99,343.00</t>
  </si>
  <si>
    <t>EMP314</t>
  </si>
  <si>
    <t>Employee_314</t>
  </si>
  <si>
    <t>₹  56,359.00</t>
  </si>
  <si>
    <t>EMP315</t>
  </si>
  <si>
    <t>Employee_315</t>
  </si>
  <si>
    <t>₹  36,682.00</t>
  </si>
  <si>
    <t>EMP316</t>
  </si>
  <si>
    <t>Employee_316</t>
  </si>
  <si>
    <t>₹  60,291.00</t>
  </si>
  <si>
    <t>EMP317</t>
  </si>
  <si>
    <t>Employee_317</t>
  </si>
  <si>
    <t>₹  39,536.00</t>
  </si>
  <si>
    <t>EMP318</t>
  </si>
  <si>
    <t>Employee_318</t>
  </si>
  <si>
    <t>₹  92,348.00</t>
  </si>
  <si>
    <t>EMP319</t>
  </si>
  <si>
    <t>Employee_319</t>
  </si>
  <si>
    <t>₹  88,982.00</t>
  </si>
  <si>
    <t>EMP320</t>
  </si>
  <si>
    <t>Employee_320</t>
  </si>
  <si>
    <t>₹  61,866.00</t>
  </si>
  <si>
    <t>EMP321</t>
  </si>
  <si>
    <t>Employee_321</t>
  </si>
  <si>
    <t>₹  61,657.00</t>
  </si>
  <si>
    <t>EMP322</t>
  </si>
  <si>
    <t>Employee_322</t>
  </si>
  <si>
    <t>₹  88,608.00</t>
  </si>
  <si>
    <t>EMP323</t>
  </si>
  <si>
    <t>Employee_323</t>
  </si>
  <si>
    <t>₹  69,391.00</t>
  </si>
  <si>
    <t>EMP324</t>
  </si>
  <si>
    <t>Employee_324</t>
  </si>
  <si>
    <t>₹  52,225.00</t>
  </si>
  <si>
    <t>EMP325</t>
  </si>
  <si>
    <t>Employee_325</t>
  </si>
  <si>
    <t>₹  45,384.00</t>
  </si>
  <si>
    <t>EMP326</t>
  </si>
  <si>
    <t>Employee_326</t>
  </si>
  <si>
    <t>₹  62,550.00</t>
  </si>
  <si>
    <t>EMP327</t>
  </si>
  <si>
    <t>Employee_327</t>
  </si>
  <si>
    <t>₹  73,393.00</t>
  </si>
  <si>
    <t>EMP328</t>
  </si>
  <si>
    <t>Employee_328</t>
  </si>
  <si>
    <t>₹  78,593.00</t>
  </si>
  <si>
    <t>EMP329</t>
  </si>
  <si>
    <t>Employee_329</t>
  </si>
  <si>
    <t>₹  53,704.00</t>
  </si>
  <si>
    <t>EMP330</t>
  </si>
  <si>
    <t>Employee_330</t>
  </si>
  <si>
    <t>₹  58,125.00</t>
  </si>
  <si>
    <t>EMP331</t>
  </si>
  <si>
    <t>Employee_331</t>
  </si>
  <si>
    <t>₹  58,988.00</t>
  </si>
  <si>
    <t>EMP332</t>
  </si>
  <si>
    <t>Employee_332</t>
  </si>
  <si>
    <t>₹  56,109.00</t>
  </si>
  <si>
    <t>EMP333</t>
  </si>
  <si>
    <t>Employee_333</t>
  </si>
  <si>
    <t>₹  75,357.00</t>
  </si>
  <si>
    <t>EMP334</t>
  </si>
  <si>
    <t>Employee_334</t>
  </si>
  <si>
    <t>₹  72,922.00</t>
  </si>
  <si>
    <t>EMP335</t>
  </si>
  <si>
    <t>Employee_335</t>
  </si>
  <si>
    <t>₹  35,857.00</t>
  </si>
  <si>
    <t>EMP336</t>
  </si>
  <si>
    <t>Employee_336</t>
  </si>
  <si>
    <t>₹  62,935.00</t>
  </si>
  <si>
    <t>EMP337</t>
  </si>
  <si>
    <t>Employee_337</t>
  </si>
  <si>
    <t>₹  48,788.00</t>
  </si>
  <si>
    <t>EMP338</t>
  </si>
  <si>
    <t>Employee_338</t>
  </si>
  <si>
    <t>₹  95,814.00</t>
  </si>
  <si>
    <t>EMP339</t>
  </si>
  <si>
    <t>Employee_339</t>
  </si>
  <si>
    <t>₹  92,881.00</t>
  </si>
  <si>
    <t>EMP340</t>
  </si>
  <si>
    <t>Employee_340</t>
  </si>
  <si>
    <t>₹  70,734.00</t>
  </si>
  <si>
    <t>EMP341</t>
  </si>
  <si>
    <t>Employee_341</t>
  </si>
  <si>
    <t>₹  72,524.00</t>
  </si>
  <si>
    <t>EMP342</t>
  </si>
  <si>
    <t>Employee_342</t>
  </si>
  <si>
    <t>₹  91,078.00</t>
  </si>
  <si>
    <t>EMP343</t>
  </si>
  <si>
    <t>Employee_343</t>
  </si>
  <si>
    <t>₹  97,383.00</t>
  </si>
  <si>
    <t>EMP344</t>
  </si>
  <si>
    <t>Employee_344</t>
  </si>
  <si>
    <t>₹  88,485.00</t>
  </si>
  <si>
    <t>EMP345</t>
  </si>
  <si>
    <t>Employee_345</t>
  </si>
  <si>
    <t>₹  94,176.00</t>
  </si>
  <si>
    <t>EMP346</t>
  </si>
  <si>
    <t>Employee_346</t>
  </si>
  <si>
    <t>₹  68,258.00</t>
  </si>
  <si>
    <t>EMP347</t>
  </si>
  <si>
    <t>Employee_347</t>
  </si>
  <si>
    <t>₹  31,398.00</t>
  </si>
  <si>
    <t>EMP348</t>
  </si>
  <si>
    <t>Employee_348</t>
  </si>
  <si>
    <t>₹  95,302.00</t>
  </si>
  <si>
    <t>EMP349</t>
  </si>
  <si>
    <t>Employee_349</t>
  </si>
  <si>
    <t>₹  71,264.00</t>
  </si>
  <si>
    <t>EMP350</t>
  </si>
  <si>
    <t>Employee_350</t>
  </si>
  <si>
    <t>₹  59,503.00</t>
  </si>
  <si>
    <t>EMP351</t>
  </si>
  <si>
    <t>Employee_351</t>
  </si>
  <si>
    <t>₹  51,475.00</t>
  </si>
  <si>
    <t>EMP352</t>
  </si>
  <si>
    <t>Employee_352</t>
  </si>
  <si>
    <t>₹  50,003.00</t>
  </si>
  <si>
    <t>EMP353</t>
  </si>
  <si>
    <t>Employee_353</t>
  </si>
  <si>
    <t>₹  37,924.00</t>
  </si>
  <si>
    <t>EMP354</t>
  </si>
  <si>
    <t>Employee_354</t>
  </si>
  <si>
    <t>₹  98,516.00</t>
  </si>
  <si>
    <t>EMP355</t>
  </si>
  <si>
    <t>Employee_355</t>
  </si>
  <si>
    <t>₹  43,282.00</t>
  </si>
  <si>
    <t>EMP356</t>
  </si>
  <si>
    <t>Employee_356</t>
  </si>
  <si>
    <t>₹  34,841.00</t>
  </si>
  <si>
    <t>EMP357</t>
  </si>
  <si>
    <t>Employee_357</t>
  </si>
  <si>
    <t>₹  82,719.00</t>
  </si>
  <si>
    <t>EMP358</t>
  </si>
  <si>
    <t>Employee_358</t>
  </si>
  <si>
    <t>₹  92,425.00</t>
  </si>
  <si>
    <t>EMP359</t>
  </si>
  <si>
    <t>Employee_359</t>
  </si>
  <si>
    <t>₹  46,796.00</t>
  </si>
  <si>
    <t>EMP360</t>
  </si>
  <si>
    <t>Employee_360</t>
  </si>
  <si>
    <t>₹  57,213.00</t>
  </si>
  <si>
    <t>EMP361</t>
  </si>
  <si>
    <t>Employee_361</t>
  </si>
  <si>
    <t>₹  69,926.00</t>
  </si>
  <si>
    <t>EMP362</t>
  </si>
  <si>
    <t>Employee_362</t>
  </si>
  <si>
    <t>₹  62,186.00</t>
  </si>
  <si>
    <t>EMP363</t>
  </si>
  <si>
    <t>Employee_363</t>
  </si>
  <si>
    <t>₹  94,136.00</t>
  </si>
  <si>
    <t>EMP364</t>
  </si>
  <si>
    <t>Employee_364</t>
  </si>
  <si>
    <t>₹  59,759.00</t>
  </si>
  <si>
    <t>EMP365</t>
  </si>
  <si>
    <t>Employee_365</t>
  </si>
  <si>
    <t>₹  98,652.00</t>
  </si>
  <si>
    <t>EMP366</t>
  </si>
  <si>
    <t>Employee_366</t>
  </si>
  <si>
    <t>₹  46,545.00</t>
  </si>
  <si>
    <t>EMP367</t>
  </si>
  <si>
    <t>Employee_367</t>
  </si>
  <si>
    <t>₹  33,457.00</t>
  </si>
  <si>
    <t>EMP368</t>
  </si>
  <si>
    <t>Employee_368</t>
  </si>
  <si>
    <t>₹  84,682.00</t>
  </si>
  <si>
    <t>EMP369</t>
  </si>
  <si>
    <t>Employee_369</t>
  </si>
  <si>
    <t>₹  68,592.00</t>
  </si>
  <si>
    <t>EMP370</t>
  </si>
  <si>
    <t>Employee_370</t>
  </si>
  <si>
    <t>₹  63,032.00</t>
  </si>
  <si>
    <t>EMP371</t>
  </si>
  <si>
    <t>Employee_371</t>
  </si>
  <si>
    <t>₹  76,912.00</t>
  </si>
  <si>
    <t>EMP372</t>
  </si>
  <si>
    <t>Employee_372</t>
  </si>
  <si>
    <t>₹  46,100.00</t>
  </si>
  <si>
    <t>EMP373</t>
  </si>
  <si>
    <t>Employee_373</t>
  </si>
  <si>
    <t>₹  48,865.00</t>
  </si>
  <si>
    <t>EMP374</t>
  </si>
  <si>
    <t>Employee_374</t>
  </si>
  <si>
    <t>₹  70,287.00</t>
  </si>
  <si>
    <t>EMP375</t>
  </si>
  <si>
    <t>Employee_375</t>
  </si>
  <si>
    <t>₹  56,952.00</t>
  </si>
  <si>
    <t>EMP376</t>
  </si>
  <si>
    <t>Employee_376</t>
  </si>
  <si>
    <t>₹  77,045.00</t>
  </si>
  <si>
    <t>EMP377</t>
  </si>
  <si>
    <t>Employee_377</t>
  </si>
  <si>
    <t>₹  69,651.00</t>
  </si>
  <si>
    <t>EMP378</t>
  </si>
  <si>
    <t>Employee_378</t>
  </si>
  <si>
    <t>₹  37,247.00</t>
  </si>
  <si>
    <t>EMP379</t>
  </si>
  <si>
    <t>Employee_379</t>
  </si>
  <si>
    <t>₹  49,082.00</t>
  </si>
  <si>
    <t>EMP380</t>
  </si>
  <si>
    <t>Employee_380</t>
  </si>
  <si>
    <t>₹  52,906.00</t>
  </si>
  <si>
    <t>EMP381</t>
  </si>
  <si>
    <t>Employee_381</t>
  </si>
  <si>
    <t>₹  95,647.00</t>
  </si>
  <si>
    <t>EMP382</t>
  </si>
  <si>
    <t>Employee_382</t>
  </si>
  <si>
    <t>₹  67,731.00</t>
  </si>
  <si>
    <t>EMP383</t>
  </si>
  <si>
    <t>Employee_383</t>
  </si>
  <si>
    <t>₹  91,848.00</t>
  </si>
  <si>
    <t>EMP384</t>
  </si>
  <si>
    <t>Employee_384</t>
  </si>
  <si>
    <t>₹  51,443.00</t>
  </si>
  <si>
    <t>EMP385</t>
  </si>
  <si>
    <t>Employee_385</t>
  </si>
  <si>
    <t>₹  42,135.00</t>
  </si>
  <si>
    <t>EMP386</t>
  </si>
  <si>
    <t>Employee_386</t>
  </si>
  <si>
    <t>₹  94,669.00</t>
  </si>
  <si>
    <t>EMP387</t>
  </si>
  <si>
    <t>Employee_387</t>
  </si>
  <si>
    <t>₹  73,375.00</t>
  </si>
  <si>
    <t>EMP388</t>
  </si>
  <si>
    <t>Employee_388</t>
  </si>
  <si>
    <t>₹  58,783.00</t>
  </si>
  <si>
    <t>EMP389</t>
  </si>
  <si>
    <t>Employee_389</t>
  </si>
  <si>
    <t>₹  90,678.00</t>
  </si>
  <si>
    <t>EMP390</t>
  </si>
  <si>
    <t>Employee_390</t>
  </si>
  <si>
    <t>₹  76,681.00</t>
  </si>
  <si>
    <t>EMP391</t>
  </si>
  <si>
    <t>Employee_391</t>
  </si>
  <si>
    <t>₹  81,298.00</t>
  </si>
  <si>
    <t>EMP392</t>
  </si>
  <si>
    <t>Employee_392</t>
  </si>
  <si>
    <t>₹  45,918.00</t>
  </si>
  <si>
    <t>EMP393</t>
  </si>
  <si>
    <t>Employee_393</t>
  </si>
  <si>
    <t>₹  70,980.00</t>
  </si>
  <si>
    <t>EMP394</t>
  </si>
  <si>
    <t>Employee_394</t>
  </si>
  <si>
    <t>₹  63,362.00</t>
  </si>
  <si>
    <t>EMP395</t>
  </si>
  <si>
    <t>Employee_395</t>
  </si>
  <si>
    <t>₹  94,587.00</t>
  </si>
  <si>
    <t>EMP396</t>
  </si>
  <si>
    <t>Employee_396</t>
  </si>
  <si>
    <t>₹  62,011.00</t>
  </si>
  <si>
    <t>EMP397</t>
  </si>
  <si>
    <t>Employee_397</t>
  </si>
  <si>
    <t>₹  45,819.00</t>
  </si>
  <si>
    <t>EMP398</t>
  </si>
  <si>
    <t>Employee_398</t>
  </si>
  <si>
    <t>₹  92,627.00</t>
  </si>
  <si>
    <t>EMP399</t>
  </si>
  <si>
    <t>Employee_399</t>
  </si>
  <si>
    <t>₹  69,697.00</t>
  </si>
  <si>
    <t>EMP400</t>
  </si>
  <si>
    <t>Employee_400</t>
  </si>
  <si>
    <t>₹  70,592.00</t>
  </si>
  <si>
    <t>EMP401</t>
  </si>
  <si>
    <t>Employee_401</t>
  </si>
  <si>
    <t>₹  43,847.00</t>
  </si>
  <si>
    <t>EMP402</t>
  </si>
  <si>
    <t>Employee_402</t>
  </si>
  <si>
    <t>₹  72,519.00</t>
  </si>
  <si>
    <t>EMP403</t>
  </si>
  <si>
    <t>Employee_403</t>
  </si>
  <si>
    <t>₹  58,666.00</t>
  </si>
  <si>
    <t>EMP404</t>
  </si>
  <si>
    <t>Employee_404</t>
  </si>
  <si>
    <t>₹  55,871.00</t>
  </si>
  <si>
    <t>EMP405</t>
  </si>
  <si>
    <t>Employee_405</t>
  </si>
  <si>
    <t>₹  58,546.00</t>
  </si>
  <si>
    <t>EMP406</t>
  </si>
  <si>
    <t>Employee_406</t>
  </si>
  <si>
    <t>₹  39,470.00</t>
  </si>
  <si>
    <t>EMP407</t>
  </si>
  <si>
    <t>Employee_407</t>
  </si>
  <si>
    <t>₹  43,485.00</t>
  </si>
  <si>
    <t>EMP408</t>
  </si>
  <si>
    <t>Employee_408</t>
  </si>
  <si>
    <t>₹  52,667.00</t>
  </si>
  <si>
    <t>EMP409</t>
  </si>
  <si>
    <t>Employee_409</t>
  </si>
  <si>
    <t>₹  32,818.00</t>
  </si>
  <si>
    <t>EMP410</t>
  </si>
  <si>
    <t>Employee_410</t>
  </si>
  <si>
    <t>₹  63,405.00</t>
  </si>
  <si>
    <t>EMP411</t>
  </si>
  <si>
    <t>Employee_411</t>
  </si>
  <si>
    <t>₹  55,341.00</t>
  </si>
  <si>
    <t>EMP412</t>
  </si>
  <si>
    <t>Employee_412</t>
  </si>
  <si>
    <t>₹  31,269.00</t>
  </si>
  <si>
    <t>EMP413</t>
  </si>
  <si>
    <t>Employee_413</t>
  </si>
  <si>
    <t>₹  77,976.00</t>
  </si>
  <si>
    <t>EMP414</t>
  </si>
  <si>
    <t>Employee_414</t>
  </si>
  <si>
    <t>₹  32,434.00</t>
  </si>
  <si>
    <t>EMP415</t>
  </si>
  <si>
    <t>Employee_415</t>
  </si>
  <si>
    <t>₹  80,343.00</t>
  </si>
  <si>
    <t>EMP416</t>
  </si>
  <si>
    <t>Employee_416</t>
  </si>
  <si>
    <t>₹  61,228.00</t>
  </si>
  <si>
    <t>EMP417</t>
  </si>
  <si>
    <t>Employee_417</t>
  </si>
  <si>
    <t>₹  99,310.00</t>
  </si>
  <si>
    <t>EMP418</t>
  </si>
  <si>
    <t>Employee_418</t>
  </si>
  <si>
    <t>₹  73,889.00</t>
  </si>
  <si>
    <t>EMP419</t>
  </si>
  <si>
    <t>Employee_419</t>
  </si>
  <si>
    <t>₹  48,338.00</t>
  </si>
  <si>
    <t>EMP420</t>
  </si>
  <si>
    <t>Employee_420</t>
  </si>
  <si>
    <t>₹  34,490.00</t>
  </si>
  <si>
    <t>EMP421</t>
  </si>
  <si>
    <t>Employee_421</t>
  </si>
  <si>
    <t>₹  60,408.00</t>
  </si>
  <si>
    <t>EMP422</t>
  </si>
  <si>
    <t>Employee_422</t>
  </si>
  <si>
    <t>₹  37,306.00</t>
  </si>
  <si>
    <t>EMP423</t>
  </si>
  <si>
    <t>Employee_423</t>
  </si>
  <si>
    <t>₹  81,432.00</t>
  </si>
  <si>
    <t>EMP424</t>
  </si>
  <si>
    <t>Employee_424</t>
  </si>
  <si>
    <t>₹  97,925.00</t>
  </si>
  <si>
    <t>EMP425</t>
  </si>
  <si>
    <t>Employee_425</t>
  </si>
  <si>
    <t>₹  40,451.00</t>
  </si>
  <si>
    <t>EMP426</t>
  </si>
  <si>
    <t>Employee_426</t>
  </si>
  <si>
    <t>₹  95,723.00</t>
  </si>
  <si>
    <t>EMP427</t>
  </si>
  <si>
    <t>Employee_427</t>
  </si>
  <si>
    <t>₹  51,585.00</t>
  </si>
  <si>
    <t>EMP428</t>
  </si>
  <si>
    <t>Employee_428</t>
  </si>
  <si>
    <t>₹  97,096.00</t>
  </si>
  <si>
    <t>EMP429</t>
  </si>
  <si>
    <t>Employee_429</t>
  </si>
  <si>
    <t>₹  98,691.00</t>
  </si>
  <si>
    <t>EMP430</t>
  </si>
  <si>
    <t>Employee_430</t>
  </si>
  <si>
    <t>₹  79,788.00</t>
  </si>
  <si>
    <t>EMP431</t>
  </si>
  <si>
    <t>Employee_431</t>
  </si>
  <si>
    <t>₹  39,981.00</t>
  </si>
  <si>
    <t>EMP432</t>
  </si>
  <si>
    <t>Employee_432</t>
  </si>
  <si>
    <t>₹  54,302.00</t>
  </si>
  <si>
    <t>EMP433</t>
  </si>
  <si>
    <t>Employee_433</t>
  </si>
  <si>
    <t>₹  41,906.00</t>
  </si>
  <si>
    <t>EMP434</t>
  </si>
  <si>
    <t>Employee_434</t>
  </si>
  <si>
    <t>₹  86,661.00</t>
  </si>
  <si>
    <t>EMP435</t>
  </si>
  <si>
    <t>Employee_435</t>
  </si>
  <si>
    <t>₹  42,867.00</t>
  </si>
  <si>
    <t>EMP436</t>
  </si>
  <si>
    <t>Employee_436</t>
  </si>
  <si>
    <t>₹  92,619.00</t>
  </si>
  <si>
    <t>EMP437</t>
  </si>
  <si>
    <t>Employee_437</t>
  </si>
  <si>
    <t>₹  40,086.00</t>
  </si>
  <si>
    <t>EMP438</t>
  </si>
  <si>
    <t>Employee_438</t>
  </si>
  <si>
    <t>₹  69,251.00</t>
  </si>
  <si>
    <t>EMP439</t>
  </si>
  <si>
    <t>Employee_439</t>
  </si>
  <si>
    <t>₹  59,750.00</t>
  </si>
  <si>
    <t>EMP440</t>
  </si>
  <si>
    <t>Employee_440</t>
  </si>
  <si>
    <t>₹  68,573.00</t>
  </si>
  <si>
    <t>EMP441</t>
  </si>
  <si>
    <t>Employee_441</t>
  </si>
  <si>
    <t>₹  59,151.00</t>
  </si>
  <si>
    <t>EMP442</t>
  </si>
  <si>
    <t>Employee_442</t>
  </si>
  <si>
    <t>₹  37,982.00</t>
  </si>
  <si>
    <t>EMP443</t>
  </si>
  <si>
    <t>Employee_443</t>
  </si>
  <si>
    <t>₹  80,834.00</t>
  </si>
  <si>
    <t>EMP444</t>
  </si>
  <si>
    <t>Employee_444</t>
  </si>
  <si>
    <t>₹  87,672.00</t>
  </si>
  <si>
    <t>EMP445</t>
  </si>
  <si>
    <t>Employee_445</t>
  </si>
  <si>
    <t>₹  35,779.00</t>
  </si>
  <si>
    <t>EMP446</t>
  </si>
  <si>
    <t>Employee_446</t>
  </si>
  <si>
    <t>₹  79,972.00</t>
  </si>
  <si>
    <t>EMP447</t>
  </si>
  <si>
    <t>Employee_447</t>
  </si>
  <si>
    <t>₹  86,578.00</t>
  </si>
  <si>
    <t>EMP448</t>
  </si>
  <si>
    <t>Employee_448</t>
  </si>
  <si>
    <t>₹  48,744.00</t>
  </si>
  <si>
    <t>EMP449</t>
  </si>
  <si>
    <t>Employee_449</t>
  </si>
  <si>
    <t>₹  78,409.00</t>
  </si>
  <si>
    <t>EMP450</t>
  </si>
  <si>
    <t>Employee_450</t>
  </si>
  <si>
    <t>₹  47,211.00</t>
  </si>
  <si>
    <t>EMP451</t>
  </si>
  <si>
    <t>Employee_451</t>
  </si>
  <si>
    <t>₹  85,497.00</t>
  </si>
  <si>
    <t>EMP452</t>
  </si>
  <si>
    <t>Employee_452</t>
  </si>
  <si>
    <t>₹  44,735.00</t>
  </si>
  <si>
    <t>EMP453</t>
  </si>
  <si>
    <t>Employee_453</t>
  </si>
  <si>
    <t>₹  50,886.00</t>
  </si>
  <si>
    <t>EMP454</t>
  </si>
  <si>
    <t>Employee_454</t>
  </si>
  <si>
    <t>₹  92,147.00</t>
  </si>
  <si>
    <t>EMP455</t>
  </si>
  <si>
    <t>Employee_455</t>
  </si>
  <si>
    <t>₹  48,965.00</t>
  </si>
  <si>
    <t>EMP456</t>
  </si>
  <si>
    <t>Employee_456</t>
  </si>
  <si>
    <t>₹  57,751.00</t>
  </si>
  <si>
    <t>EMP457</t>
  </si>
  <si>
    <t>Employee_457</t>
  </si>
  <si>
    <t>₹  36,489.00</t>
  </si>
  <si>
    <t>EMP458</t>
  </si>
  <si>
    <t>Employee_458</t>
  </si>
  <si>
    <t>₹  56,436.00</t>
  </si>
  <si>
    <t>EMP459</t>
  </si>
  <si>
    <t>Employee_459</t>
  </si>
  <si>
    <t>₹  45,575.00</t>
  </si>
  <si>
    <t>EMP460</t>
  </si>
  <si>
    <t>Employee_460</t>
  </si>
  <si>
    <t>₹  80,798.00</t>
  </si>
  <si>
    <t>EMP461</t>
  </si>
  <si>
    <t>Employee_461</t>
  </si>
  <si>
    <t>₹  31,399.00</t>
  </si>
  <si>
    <t>EMP462</t>
  </si>
  <si>
    <t>Employee_462</t>
  </si>
  <si>
    <t>₹  70,773.00</t>
  </si>
  <si>
    <t>EMP463</t>
  </si>
  <si>
    <t>Employee_463</t>
  </si>
  <si>
    <t>₹  88,183.00</t>
  </si>
  <si>
    <t>EMP464</t>
  </si>
  <si>
    <t>Employee_464</t>
  </si>
  <si>
    <t>₹  64,999.00</t>
  </si>
  <si>
    <t>EMP465</t>
  </si>
  <si>
    <t>Employee_465</t>
  </si>
  <si>
    <t>₹  45,053.00</t>
  </si>
  <si>
    <t>EMP466</t>
  </si>
  <si>
    <t>Employee_466</t>
  </si>
  <si>
    <t>₹  35,467.00</t>
  </si>
  <si>
    <t>EMP467</t>
  </si>
  <si>
    <t>Employee_467</t>
  </si>
  <si>
    <t>₹  95,512.00</t>
  </si>
  <si>
    <t>EMP468</t>
  </si>
  <si>
    <t>Employee_468</t>
  </si>
  <si>
    <t>₹  46,595.00</t>
  </si>
  <si>
    <t>EMP469</t>
  </si>
  <si>
    <t>Employee_469</t>
  </si>
  <si>
    <t>₹  35,544.00</t>
  </si>
  <si>
    <t>EMP470</t>
  </si>
  <si>
    <t>Employee_470</t>
  </si>
  <si>
    <t>₹  72,510.00</t>
  </si>
  <si>
    <t>EMP471</t>
  </si>
  <si>
    <t>Employee_471</t>
  </si>
  <si>
    <t>₹  64,091.00</t>
  </si>
  <si>
    <t>EMP472</t>
  </si>
  <si>
    <t>Employee_472</t>
  </si>
  <si>
    <t>₹  85,324.00</t>
  </si>
  <si>
    <t>EMP473</t>
  </si>
  <si>
    <t>Employee_473</t>
  </si>
  <si>
    <t>₹  43,518.00</t>
  </si>
  <si>
    <t>EMP474</t>
  </si>
  <si>
    <t>Employee_474</t>
  </si>
  <si>
    <t>₹  67,003.00</t>
  </si>
  <si>
    <t>EMP475</t>
  </si>
  <si>
    <t>Employee_475</t>
  </si>
  <si>
    <t>₹  67,870.00</t>
  </si>
  <si>
    <t>EMP476</t>
  </si>
  <si>
    <t>Employee_476</t>
  </si>
  <si>
    <t>₹  95,338.00</t>
  </si>
  <si>
    <t>EMP477</t>
  </si>
  <si>
    <t>Employee_477</t>
  </si>
  <si>
    <t>₹  69,281.00</t>
  </si>
  <si>
    <t>EMP478</t>
  </si>
  <si>
    <t>Employee_478</t>
  </si>
  <si>
    <t>₹  62,086.00</t>
  </si>
  <si>
    <t>EMP479</t>
  </si>
  <si>
    <t>Employee_479</t>
  </si>
  <si>
    <t>₹  62,071.00</t>
  </si>
  <si>
    <t>EMP480</t>
  </si>
  <si>
    <t>Employee_480</t>
  </si>
  <si>
    <t>₹  76,104.00</t>
  </si>
  <si>
    <t>EMP481</t>
  </si>
  <si>
    <t>Employee_481</t>
  </si>
  <si>
    <t>₹  89,119.00</t>
  </si>
  <si>
    <t>EMP482</t>
  </si>
  <si>
    <t>Employee_482</t>
  </si>
  <si>
    <t>₹  66,700.00</t>
  </si>
  <si>
    <t>EMP483</t>
  </si>
  <si>
    <t>Employee_483</t>
  </si>
  <si>
    <t>₹  52,412.00</t>
  </si>
  <si>
    <t>EMP484</t>
  </si>
  <si>
    <t>Employee_484</t>
  </si>
  <si>
    <t>₹  39,107.00</t>
  </si>
  <si>
    <t>EMP485</t>
  </si>
  <si>
    <t>Employee_485</t>
  </si>
  <si>
    <t>₹  74,753.00</t>
  </si>
  <si>
    <t>EMP486</t>
  </si>
  <si>
    <t>Employee_486</t>
  </si>
  <si>
    <t>₹  34,451.00</t>
  </si>
  <si>
    <t>EMP487</t>
  </si>
  <si>
    <t>Employee_487</t>
  </si>
  <si>
    <t>₹  85,559.00</t>
  </si>
  <si>
    <t>EMP488</t>
  </si>
  <si>
    <t>Employee_488</t>
  </si>
  <si>
    <t>₹  91,259.00</t>
  </si>
  <si>
    <t>EMP489</t>
  </si>
  <si>
    <t>Employee_489</t>
  </si>
  <si>
    <t>₹  49,004.00</t>
  </si>
  <si>
    <t>EMP490</t>
  </si>
  <si>
    <t>Employee_490</t>
  </si>
  <si>
    <t>₹  62,548.00</t>
  </si>
  <si>
    <t>EMP491</t>
  </si>
  <si>
    <t>Employee_491</t>
  </si>
  <si>
    <t>₹  33,517.00</t>
  </si>
  <si>
    <t>EMP492</t>
  </si>
  <si>
    <t>Employee_492</t>
  </si>
  <si>
    <t>₹  40,156.00</t>
  </si>
  <si>
    <t>EMP493</t>
  </si>
  <si>
    <t>Employee_493</t>
  </si>
  <si>
    <t>₹  74,450.00</t>
  </si>
  <si>
    <t>EMP494</t>
  </si>
  <si>
    <t>Employee_494</t>
  </si>
  <si>
    <t>₹  80,523.00</t>
  </si>
  <si>
    <t>EMP495</t>
  </si>
  <si>
    <t>Employee_495</t>
  </si>
  <si>
    <t>₹  60,266.00</t>
  </si>
  <si>
    <t>EMP496</t>
  </si>
  <si>
    <t>Employee_496</t>
  </si>
  <si>
    <t>₹  43,477.00</t>
  </si>
  <si>
    <t>EMP497</t>
  </si>
  <si>
    <t>Employee_497</t>
  </si>
  <si>
    <t>₹  92,915.00</t>
  </si>
  <si>
    <t>EMP498</t>
  </si>
  <si>
    <t>Employee_498</t>
  </si>
  <si>
    <t>₹  76,666.00</t>
  </si>
  <si>
    <t>EMP499</t>
  </si>
  <si>
    <t>Employee_499</t>
  </si>
  <si>
    <t>₹  67,908.00</t>
  </si>
  <si>
    <t>EMP500</t>
  </si>
  <si>
    <t>Employee_500</t>
  </si>
  <si>
    <t>₹  47,209.00</t>
  </si>
  <si>
    <t>Performance_Rate</t>
  </si>
  <si>
    <t>No_Projects</t>
  </si>
  <si>
    <t>Manager</t>
  </si>
  <si>
    <t>Dhanush</t>
  </si>
  <si>
    <t>Hightlight All Employee Performance rate using Icon sets</t>
  </si>
  <si>
    <t>Arun</t>
  </si>
  <si>
    <t>Jhon</t>
  </si>
  <si>
    <t>Marry</t>
  </si>
  <si>
    <t>Crimson</t>
  </si>
  <si>
    <t>Bob</t>
  </si>
  <si>
    <t xml:space="preserve">Highlighting Entire Row Using Conditional Formating Formula </t>
  </si>
  <si>
    <t>DEPARTMENT</t>
  </si>
  <si>
    <t>DATA CLEANING</t>
  </si>
  <si>
    <t>FILL UP/DOWN/RIGHT/LEFT</t>
  </si>
  <si>
    <t>Step 
8 : Fill the data</t>
  </si>
  <si>
    <t>Fill Up / Down / Right / Left</t>
  </si>
  <si>
    <t>BASIC FORMULA</t>
  </si>
  <si>
    <t>Formula</t>
  </si>
  <si>
    <t>Purpose</t>
  </si>
  <si>
    <t>Data</t>
  </si>
  <si>
    <t>OUTPUT</t>
  </si>
  <si>
    <t>SUM()</t>
  </si>
  <si>
    <t>Adds numbers</t>
  </si>
  <si>
    <t>SUB/NAME</t>
  </si>
  <si>
    <t>SUB1</t>
  </si>
  <si>
    <t>SUB2</t>
  </si>
  <si>
    <t>SUB3</t>
  </si>
  <si>
    <t>SUB4</t>
  </si>
  <si>
    <t>SUB5</t>
  </si>
  <si>
    <t>SUM</t>
  </si>
  <si>
    <t>MAX</t>
  </si>
  <si>
    <t>MIN</t>
  </si>
  <si>
    <t>AVERAGE</t>
  </si>
  <si>
    <t>COUNT</t>
  </si>
  <si>
    <t>LEN</t>
  </si>
  <si>
    <t>AVERAGE()</t>
  </si>
  <si>
    <t>Average value</t>
  </si>
  <si>
    <t>STD1</t>
  </si>
  <si>
    <t>COUNT()</t>
  </si>
  <si>
    <t>Counts numeric cells</t>
  </si>
  <si>
    <t>Hello</t>
  </si>
  <si>
    <t>STD2</t>
  </si>
  <si>
    <t>COUNTA()</t>
  </si>
  <si>
    <t>Counts non-empty cells</t>
  </si>
  <si>
    <t>STD3</t>
  </si>
  <si>
    <t>COUNTBLANK()</t>
  </si>
  <si>
    <t>Counts blank cells</t>
  </si>
  <si>
    <t>STD4</t>
  </si>
  <si>
    <t>MAX()</t>
  </si>
  <si>
    <t>Largest value</t>
  </si>
  <si>
    <t>STD5</t>
  </si>
  <si>
    <t>MIN()</t>
  </si>
  <si>
    <t>Smallest value</t>
  </si>
  <si>
    <t>MEDIAN()</t>
  </si>
  <si>
    <t>Middle value</t>
  </si>
  <si>
    <t>MODE()</t>
  </si>
  <si>
    <t>Most frequent value</t>
  </si>
  <si>
    <t>ROUND()</t>
  </si>
  <si>
    <t>Round number</t>
  </si>
  <si>
    <t>-</t>
  </si>
  <si>
    <t>ROUNDUP()</t>
  </si>
  <si>
    <t>Round up</t>
  </si>
  <si>
    <t>ROUNDDOWN()</t>
  </si>
  <si>
    <t>Round down</t>
  </si>
  <si>
    <t>ABS()</t>
  </si>
  <si>
    <t>Absolute value</t>
  </si>
  <si>
    <t>INT()</t>
  </si>
  <si>
    <t>Integer part</t>
  </si>
  <si>
    <t>MOD()</t>
  </si>
  <si>
    <t>Remainder</t>
  </si>
  <si>
    <t>SQRT()</t>
  </si>
  <si>
    <t>Square root</t>
  </si>
  <si>
    <t>POWER()</t>
  </si>
  <si>
    <t>Power</t>
  </si>
  <si>
    <t>SAVINGS</t>
  </si>
  <si>
    <t>NOT Logical Function</t>
  </si>
  <si>
    <t>Check If Employee Working in Sales Department Then Not Eligible for BONUS, Else Eligible For Bonus</t>
  </si>
  <si>
    <t>MINIFS</t>
  </si>
  <si>
    <t>MINIFS Conditional  Function</t>
  </si>
  <si>
    <t>COUNTIF()</t>
  </si>
  <si>
    <t>Count by condition</t>
  </si>
  <si>
    <t>Check in Sales Department Whose Salary is Minimum if Number of Project completed More than 5</t>
  </si>
  <si>
    <t>COUNTIFS()</t>
  </si>
  <si>
    <t>Multiple conditions</t>
  </si>
  <si>
    <t>SUMIF()</t>
  </si>
  <si>
    <t>Sum by condition</t>
  </si>
  <si>
    <t>SUMIFS()</t>
  </si>
  <si>
    <t>AVERAGEIF()</t>
  </si>
  <si>
    <t>Average by condition</t>
  </si>
  <si>
    <t>AVERAGEIFS()</t>
  </si>
  <si>
    <t>MAXIFS()</t>
  </si>
  <si>
    <t>MINIFS()</t>
  </si>
  <si>
    <t>City</t>
  </si>
  <si>
    <t>Pincode</t>
  </si>
  <si>
    <t>EXACT</t>
  </si>
  <si>
    <t>EXACT  Function</t>
  </si>
  <si>
    <t>Aarav Sharma</t>
  </si>
  <si>
    <t>New Delhi</t>
  </si>
  <si>
    <t>LEN()</t>
  </si>
  <si>
    <t>Count characters</t>
  </si>
  <si>
    <t>Aditi Iyer</t>
  </si>
  <si>
    <t>Mumbai</t>
  </si>
  <si>
    <t xml:space="preserve">Find the Exact Finance Department </t>
  </si>
  <si>
    <t>LEFT()</t>
  </si>
  <si>
    <t>Left characters</t>
  </si>
  <si>
    <t>Rohan Joshi</t>
  </si>
  <si>
    <t>Pune</t>
  </si>
  <si>
    <t>RIGHT()</t>
  </si>
  <si>
    <t>Right characters</t>
  </si>
  <si>
    <t>Diya Nair</t>
  </si>
  <si>
    <t>Bengaluru</t>
  </si>
  <si>
    <t>MID()</t>
  </si>
  <si>
    <t>Extract middle text</t>
  </si>
  <si>
    <t>Ananya Reddy</t>
  </si>
  <si>
    <t>Hyderabad</t>
  </si>
  <si>
    <t>TRIM()</t>
  </si>
  <si>
    <t>Remove extra spaces</t>
  </si>
  <si>
    <t>Vihaan Patel</t>
  </si>
  <si>
    <t>Ahmedabad</t>
  </si>
  <si>
    <t>UPPER()</t>
  </si>
  <si>
    <t>Uppercase</t>
  </si>
  <si>
    <t>Meera Chatterjee</t>
  </si>
  <si>
    <t>Kolkata</t>
  </si>
  <si>
    <t>LOWER()</t>
  </si>
  <si>
    <t>Lowercase</t>
  </si>
  <si>
    <t>Arjun Malhotra</t>
  </si>
  <si>
    <t>Chandigarh</t>
  </si>
  <si>
    <t>PROPER()</t>
  </si>
  <si>
    <t>Proper case</t>
  </si>
  <si>
    <t>Kavya Kapoor</t>
  </si>
  <si>
    <t>Gurugram</t>
  </si>
  <si>
    <t>CONCAT()</t>
  </si>
  <si>
    <t>Combine text</t>
  </si>
  <si>
    <t>Sai Teja</t>
  </si>
  <si>
    <t>Chennai</t>
  </si>
  <si>
    <t>TEXTJOIN()</t>
  </si>
  <si>
    <t>Join with delimiter</t>
  </si>
  <si>
    <t>Ishaan Verma</t>
  </si>
  <si>
    <t>Lucknow</t>
  </si>
  <si>
    <t>TEXT()</t>
  </si>
  <si>
    <t>Format numbers/dates as text</t>
  </si>
  <si>
    <t>Tanvi Rao</t>
  </si>
  <si>
    <t>Jaipur</t>
  </si>
  <si>
    <t>FIND()</t>
  </si>
  <si>
    <t>Case-sensitive search</t>
  </si>
  <si>
    <t>SEARCH()</t>
  </si>
  <si>
    <t>Case-insensitive search</t>
  </si>
  <si>
    <t>REPLACE()</t>
  </si>
  <si>
    <t>Replace by position</t>
  </si>
  <si>
    <t>SUBSTITUTE()</t>
  </si>
  <si>
    <t>Replace matching text</t>
  </si>
  <si>
    <t>EXACT()</t>
  </si>
  <si>
    <t>Compare text exactly</t>
  </si>
  <si>
    <t>Resigning Date</t>
  </si>
  <si>
    <t>NETWORKDAYS</t>
  </si>
  <si>
    <t>NETWORKDAYS  Function</t>
  </si>
  <si>
    <t>TODAY()</t>
  </si>
  <si>
    <t>Current date</t>
  </si>
  <si>
    <t>Calculate Working days</t>
  </si>
  <si>
    <t>NOW()</t>
  </si>
  <si>
    <t>Current date &amp; time</t>
  </si>
  <si>
    <t>DATE()</t>
  </si>
  <si>
    <t>Create date</t>
  </si>
  <si>
    <t>YEAR()</t>
  </si>
  <si>
    <t>Extract year</t>
  </si>
  <si>
    <t>MONTH()</t>
  </si>
  <si>
    <t>Extract month</t>
  </si>
  <si>
    <t>DAY()</t>
  </si>
  <si>
    <t>Extract day</t>
  </si>
  <si>
    <t>WEEKDAY()</t>
  </si>
  <si>
    <t>Day number</t>
  </si>
  <si>
    <t>HOLIDAYS</t>
  </si>
  <si>
    <t>EDATE()</t>
  </si>
  <si>
    <t>Add months</t>
  </si>
  <si>
    <t>EOMONTH()</t>
  </si>
  <si>
    <t>End of month</t>
  </si>
  <si>
    <t>DATEDIF()</t>
  </si>
  <si>
    <t>Difference between dates</t>
  </si>
  <si>
    <t>NETWORKDAYS()</t>
  </si>
  <si>
    <t>Working days</t>
  </si>
  <si>
    <t>FILTER()</t>
  </si>
  <si>
    <t>BY DEPARTMENT :</t>
  </si>
  <si>
    <t>Filter data</t>
  </si>
  <si>
    <t>SORT()</t>
  </si>
  <si>
    <t>Sort results</t>
  </si>
  <si>
    <t>SORTBY()</t>
  </si>
  <si>
    <t>Sort by another column</t>
  </si>
  <si>
    <t>UNIQUE()</t>
  </si>
  <si>
    <t>Unique values</t>
  </si>
  <si>
    <t>SEQUENCE()</t>
  </si>
  <si>
    <t>Generate numbers</t>
  </si>
  <si>
    <t>RANDARRAY()</t>
  </si>
  <si>
    <t>Random array</t>
  </si>
  <si>
    <t>TAKE()</t>
  </si>
  <si>
    <t>Take rows/columns</t>
  </si>
  <si>
    <t>DROP()</t>
  </si>
  <si>
    <t>Drop rows/columns</t>
  </si>
  <si>
    <t>TOCOL()</t>
  </si>
  <si>
    <t>Convert to one column</t>
  </si>
  <si>
    <t>BY MANAGER :</t>
  </si>
  <si>
    <t>TOROW()</t>
  </si>
  <si>
    <t>Convert to one row</t>
  </si>
  <si>
    <t>BY NO OF PROJECTS :</t>
  </si>
  <si>
    <t>SEQUENCE</t>
  </si>
  <si>
    <t>It Drops the Row and Columns From Last ( Columns = Right to Left, Rows = Bottom to Top)</t>
  </si>
  <si>
    <t>All the data converts to Single Column</t>
  </si>
  <si>
    <t>All the data converts to Single row</t>
  </si>
  <si>
    <t>VLOOKUP</t>
  </si>
  <si>
    <t>VLOOKUP()</t>
  </si>
  <si>
    <t>Vertical lookup</t>
  </si>
  <si>
    <t>HLOOKUP()</t>
  </si>
  <si>
    <t>Horizontal lookup</t>
  </si>
  <si>
    <t>Look for the value for the leftmost column of the table, and return the same value in a single row (By default sort in ascending order) NOTE : Copy the all heading/columns and paste it in Transpose way.</t>
  </si>
  <si>
    <t>XLOOKUP()</t>
  </si>
  <si>
    <t>Modern lookup</t>
  </si>
  <si>
    <t>INDEX()</t>
  </si>
  <si>
    <t>Return value by position</t>
  </si>
  <si>
    <t>MATCH()</t>
  </si>
  <si>
    <t>Find position</t>
  </si>
  <si>
    <t>INDEX()+MATCH()</t>
  </si>
  <si>
    <t>Flexible lookup</t>
  </si>
  <si>
    <t>CHOOSE()</t>
  </si>
  <si>
    <t>Select from list</t>
  </si>
  <si>
    <t>OFFSET()</t>
  </si>
  <si>
    <t>Dynamic reference</t>
  </si>
  <si>
    <t>INDIRECT()</t>
  </si>
  <si>
    <t>Reference by text</t>
  </si>
  <si>
    <t>But This take more time if we go with individually selecting the lookup value and changing index</t>
  </si>
  <si>
    <t>We have to use this column index</t>
  </si>
  <si>
    <t xml:space="preserve">To do the VLOOKUP Perfectly we need to Fix the Refernce </t>
  </si>
  <si>
    <t>Here we will get error because We fixed only the A2 Reference but if you move to next it will raise an error , as well as we are using numbers instead of changing it everytime But again same time consuming</t>
  </si>
  <si>
    <t>To do the VLOOKUP Perfectly we need to Fix the Refernce</t>
  </si>
  <si>
    <t>Now Instead of Pre defining any number we need to use ROW() Function which gives the Row number of Current Cell</t>
  </si>
  <si>
    <t>1. WHAT are you looking for? = lookup_value                                               2. WHERE are you looking for it? = table_array                                            3. Which COLUMN contains the answer?= col_index_num                       4. EXACT match or approximate? =  [range_lookup]</t>
  </si>
  <si>
    <t>We have to use Dynamic Approach</t>
  </si>
  <si>
    <t>Now Instead of Pre defining any number we need to use ROW() Function which gives the Row number of Current Cell... As well EMPLOYEE_ID i have taken as reference so I can check the Details of Employee Whenever I weill enter EMPID</t>
  </si>
  <si>
    <t>Just Change the Employee ID and You will get the Details of That Employee</t>
  </si>
  <si>
    <t>LOOKUP</t>
  </si>
  <si>
    <t>Just Need to Enter the Employee ID and You will get the All details of that employee, But We need to change or write the formula for all Headers then only we can get it</t>
  </si>
  <si>
    <t>With Dropdown list</t>
  </si>
  <si>
    <t>HLOOKUP</t>
  </si>
  <si>
    <t>XLOOKUP</t>
  </si>
  <si>
    <t>VLOOKUP Works with both the Direction Horizonatally and Vertically aslo</t>
  </si>
  <si>
    <t>It will return the Index of that Data</t>
  </si>
  <si>
    <t>The first Match of index will be return here</t>
  </si>
  <si>
    <t>MATCH() With VLOOKUP</t>
  </si>
  <si>
    <t>It will return the Index of that Data (Like Column No)</t>
  </si>
  <si>
    <t>Class/Subjects</t>
  </si>
  <si>
    <t>8:00 AM - 8:45 AM</t>
  </si>
  <si>
    <t>8:45 AM - 9:30 AM</t>
  </si>
  <si>
    <t>9:30 AM - 10:15 AM</t>
  </si>
  <si>
    <t>10:15 AM - 11:00 AM</t>
  </si>
  <si>
    <t>11:00 AM - 11:15 AM (Break)</t>
  </si>
  <si>
    <t>11:15 AM - 12:00 PM</t>
  </si>
  <si>
    <t>12:00 PM - 12:45 PM</t>
  </si>
  <si>
    <t>12:45 PM - 1:30 PM</t>
  </si>
  <si>
    <t>1:30 PM - 2:15 PM</t>
  </si>
  <si>
    <t>CLASS TIME TABLE</t>
  </si>
  <si>
    <t>Mathematics</t>
  </si>
  <si>
    <t>Mathematics (Ms. Johnson)</t>
  </si>
  <si>
    <t>Mathematics (Mr. Smith)</t>
  </si>
  <si>
    <t>Mathematics (Mrs. Lee)</t>
  </si>
  <si>
    <t>Mathematics (Mr. Brown)</t>
  </si>
  <si>
    <t>Break</t>
  </si>
  <si>
    <t>Mathematics (Mr. Wilson)</t>
  </si>
  <si>
    <t>Mathematics (Ms. Taylor)</t>
  </si>
  <si>
    <t>Mathematics (Mr. White)</t>
  </si>
  <si>
    <t>Science</t>
  </si>
  <si>
    <t>Science (Mr. Smith)</t>
  </si>
  <si>
    <t>Science (Mrs. Lee)</t>
  </si>
  <si>
    <t>Science (Mr. Brown)</t>
  </si>
  <si>
    <t>Science (Ms. Davis)</t>
  </si>
  <si>
    <t>Science (Ms. Taylor)</t>
  </si>
  <si>
    <t>Science (Mr. White)</t>
  </si>
  <si>
    <t>Science (Ms. Johnson)</t>
  </si>
  <si>
    <t>English</t>
  </si>
  <si>
    <t>English (Mrs. Lee)</t>
  </si>
  <si>
    <t>English (Mr. Brown)</t>
  </si>
  <si>
    <t>English (Ms. Davis)</t>
  </si>
  <si>
    <t>English (Mr. Wilson)</t>
  </si>
  <si>
    <t>English (Mr. White)</t>
  </si>
  <si>
    <t>English (Ms. Johnson)</t>
  </si>
  <si>
    <t>English (Mr. Smith)</t>
  </si>
  <si>
    <t>History</t>
  </si>
  <si>
    <t>History (Mr. Brown)</t>
  </si>
  <si>
    <t>History (Ms. Davis)</t>
  </si>
  <si>
    <t>History (Mr. Wilson)</t>
  </si>
  <si>
    <t>History (Ms. Taylor)</t>
  </si>
  <si>
    <t>History (Ms. Johnson)</t>
  </si>
  <si>
    <t>History (Mr. Smith)</t>
  </si>
  <si>
    <t>History (Mrs. Lee)</t>
  </si>
  <si>
    <t>Geography</t>
  </si>
  <si>
    <t>Geography (Ms. Davis)</t>
  </si>
  <si>
    <t>Geography (Mr. Wilson)</t>
  </si>
  <si>
    <t>Geography (Ms. Taylor)</t>
  </si>
  <si>
    <t>Geography (Mr. White)</t>
  </si>
  <si>
    <t>Geography (Mr. Smith)</t>
  </si>
  <si>
    <t>Geography (Mrs. Lee)</t>
  </si>
  <si>
    <t>Geography (Mr. Brown)</t>
  </si>
  <si>
    <t xml:space="preserve"> VLOOKUP + INDEX with MATCH</t>
  </si>
  <si>
    <t>Physical Education</t>
  </si>
  <si>
    <t>Physical Education (Mr. Wilson)</t>
  </si>
  <si>
    <t>Physical Education (Ms. Taylor)</t>
  </si>
  <si>
    <t>Physical Education (Mr. White)</t>
  </si>
  <si>
    <t>Physical Education (Ms. Johnson)</t>
  </si>
  <si>
    <t>Physical Education (Mrs. Lee)</t>
  </si>
  <si>
    <t>Physical Education (Mr. Brown)</t>
  </si>
  <si>
    <t>Physical Education (Ms. Davis)</t>
  </si>
  <si>
    <t>Art</t>
  </si>
  <si>
    <t>Art (Ms. Taylor)</t>
  </si>
  <si>
    <t>Art (Mr. White)</t>
  </si>
  <si>
    <t>Art (Ms. Johnson)</t>
  </si>
  <si>
    <t>Art (Mr. Smith)</t>
  </si>
  <si>
    <t>Art (Mr. Brown)</t>
  </si>
  <si>
    <t>Art (Ms. Davis)</t>
  </si>
  <si>
    <t>Art (Mr. Wilson)</t>
  </si>
  <si>
    <t>USING INDEX FORMULA WE CAN FIND EASILY WHICH SUBJECT AT WHAT TIME IS SCHEDULED</t>
  </si>
  <si>
    <t>Computer Science</t>
  </si>
  <si>
    <t>Computer Science (Mr. White)</t>
  </si>
  <si>
    <t>Computer Science (Ms. Johnson)</t>
  </si>
  <si>
    <t>Computer Science (Mr. Smith)</t>
  </si>
  <si>
    <t>Computer Science (Mrs. Lee)</t>
  </si>
  <si>
    <t>Computer Science (Ms. Davis)</t>
  </si>
  <si>
    <t>Computer Science (Mr. Wilson)</t>
  </si>
  <si>
    <t>Computer Science (Ms. Taylor)</t>
  </si>
  <si>
    <t>INSERT ALL THE DETAILS IN VALUES (VALUE1, VALUE2) &amp; ACCESS IT</t>
  </si>
  <si>
    <t>INDEX NO</t>
  </si>
  <si>
    <t>CHOOSE() WITH VLOOKUP()</t>
  </si>
  <si>
    <t>JAN REVENUE</t>
  </si>
  <si>
    <t>FEB REVENUE</t>
  </si>
  <si>
    <t>MAR REVENUE</t>
  </si>
  <si>
    <t>INDIRECT() WITH VLOOKUP()</t>
  </si>
  <si>
    <t>EMP ID</t>
  </si>
  <si>
    <t>EMP NAME</t>
  </si>
  <si>
    <t>REVENUE</t>
  </si>
  <si>
    <t>We need to save the table for every month</t>
  </si>
  <si>
    <t>Smith</t>
  </si>
  <si>
    <t>Michel</t>
  </si>
  <si>
    <t>Sahil</t>
  </si>
  <si>
    <t>Karan</t>
  </si>
  <si>
    <t>Naman</t>
  </si>
  <si>
    <t>Jaggu</t>
  </si>
  <si>
    <t>Ajay</t>
  </si>
  <si>
    <t>Akash</t>
  </si>
  <si>
    <t>MONTH</t>
  </si>
  <si>
    <t>MAR</t>
  </si>
  <si>
    <t>Sale Date</t>
  </si>
  <si>
    <t>Customer Name</t>
  </si>
  <si>
    <t>State</t>
  </si>
  <si>
    <t>Region</t>
  </si>
  <si>
    <t>Product Category</t>
  </si>
  <si>
    <t>Product Name</t>
  </si>
  <si>
    <t>Quantity</t>
  </si>
  <si>
    <t>Price per Unit</t>
  </si>
  <si>
    <t>Sales Amount</t>
  </si>
  <si>
    <t>6/25/2023</t>
  </si>
  <si>
    <t>Meera</t>
  </si>
  <si>
    <t>Nagpur</t>
  </si>
  <si>
    <t>Maharashtra</t>
  </si>
  <si>
    <t>West</t>
  </si>
  <si>
    <t>Furniture</t>
  </si>
  <si>
    <t>Table</t>
  </si>
  <si>
    <t>Calculate the Total Transaction by Each State</t>
  </si>
  <si>
    <t>Vihaan</t>
  </si>
  <si>
    <t>Coimbatore</t>
  </si>
  <si>
    <t>Tamil Nadu</t>
  </si>
  <si>
    <t>South</t>
  </si>
  <si>
    <t>Stationery</t>
  </si>
  <si>
    <t>Ruler</t>
  </si>
  <si>
    <t>Nishant</t>
  </si>
  <si>
    <t>Karnataka</t>
  </si>
  <si>
    <t>10/15/2023</t>
  </si>
  <si>
    <t>Madurai</t>
  </si>
  <si>
    <t>Clothing</t>
  </si>
  <si>
    <t>Dress</t>
  </si>
  <si>
    <t>Aditi</t>
  </si>
  <si>
    <t>Groceries</t>
  </si>
  <si>
    <t>Lentils</t>
  </si>
  <si>
    <t>12/23/2023</t>
  </si>
  <si>
    <t>Ishita</t>
  </si>
  <si>
    <t>Eraser</t>
  </si>
  <si>
    <t>Total Transactions</t>
  </si>
  <si>
    <t>Aarav</t>
  </si>
  <si>
    <t>Mysuru</t>
  </si>
  <si>
    <t>Electronics</t>
  </si>
  <si>
    <t>Headphones</t>
  </si>
  <si>
    <t>Riya</t>
  </si>
  <si>
    <t>Gujarat</t>
  </si>
  <si>
    <t>10/23/2023</t>
  </si>
  <si>
    <t>11/17/2023</t>
  </si>
  <si>
    <t>2/15/2023</t>
  </si>
  <si>
    <t>Laptop</t>
  </si>
  <si>
    <t>Delhi</t>
  </si>
  <si>
    <t>4/21/2023</t>
  </si>
  <si>
    <t>Pants</t>
  </si>
  <si>
    <t>TOTAL</t>
  </si>
  <si>
    <t>1/26/2023</t>
  </si>
  <si>
    <t>Aryan</t>
  </si>
  <si>
    <t>Shirt</t>
  </si>
  <si>
    <t>5/27/2023</t>
  </si>
  <si>
    <t>Ananya</t>
  </si>
  <si>
    <t>11/28/2023</t>
  </si>
  <si>
    <t>Dwarka</t>
  </si>
  <si>
    <t>North</t>
  </si>
  <si>
    <t>Calculate the Total Transaction by Each State with Each Product Category</t>
  </si>
  <si>
    <t>2/24/2023</t>
  </si>
  <si>
    <t>Surat</t>
  </si>
  <si>
    <t>Rice</t>
  </si>
  <si>
    <t>2/17/2023</t>
  </si>
  <si>
    <t>2/19/2023</t>
  </si>
  <si>
    <t>Kabir</t>
  </si>
  <si>
    <t>Karol Bagh</t>
  </si>
  <si>
    <t>4/28/2023</t>
  </si>
  <si>
    <t>State/Product</t>
  </si>
  <si>
    <t>Hubli</t>
  </si>
  <si>
    <t>Sugar</t>
  </si>
  <si>
    <t>6/24/2023</t>
  </si>
  <si>
    <t>3/27/2023</t>
  </si>
  <si>
    <t>Bed</t>
  </si>
  <si>
    <t>12/17/2023</t>
  </si>
  <si>
    <t>7/21/2023</t>
  </si>
  <si>
    <t>8/29/2023</t>
  </si>
  <si>
    <t>GRAND TOTAL</t>
  </si>
  <si>
    <t>1/13/2023</t>
  </si>
  <si>
    <t>6/20/2023</t>
  </si>
  <si>
    <t>Oil</t>
  </si>
  <si>
    <t>Calculate the Total Quantity Sold by Each Region</t>
  </si>
  <si>
    <t>11/30/2023</t>
  </si>
  <si>
    <t>Jacket</t>
  </si>
  <si>
    <t>1/24/2023</t>
  </si>
  <si>
    <t>Pen</t>
  </si>
  <si>
    <t>8/23/2023</t>
  </si>
  <si>
    <t>Total Quantity</t>
  </si>
  <si>
    <t>2/18/2023</t>
  </si>
  <si>
    <t>Smartphone</t>
  </si>
  <si>
    <t>3/31/2023</t>
  </si>
  <si>
    <t>4/15/2023</t>
  </si>
  <si>
    <t>12/28/2023</t>
  </si>
  <si>
    <t>Tablet</t>
  </si>
  <si>
    <t>Calculate the Total Quantity Sold by Each Region with Product Name</t>
  </si>
  <si>
    <t>4/19/2023</t>
  </si>
  <si>
    <t>9/21/2023</t>
  </si>
  <si>
    <t>Sofa</t>
  </si>
  <si>
    <t>10/21/2023</t>
  </si>
  <si>
    <t>4/26/2023</t>
  </si>
  <si>
    <t>Product/Region</t>
  </si>
  <si>
    <t>1/16/2023</t>
  </si>
  <si>
    <t>11/24/2023</t>
  </si>
  <si>
    <t>4/20/2023</t>
  </si>
  <si>
    <t>Vadodara</t>
  </si>
  <si>
    <t>10/29/2023</t>
  </si>
  <si>
    <t>5/26/2023</t>
  </si>
  <si>
    <t>12/26/2023</t>
  </si>
  <si>
    <t>4/25/2023</t>
  </si>
  <si>
    <t>4/27/2023</t>
  </si>
  <si>
    <t>Notebook</t>
  </si>
  <si>
    <t>6/26/2023</t>
  </si>
  <si>
    <t>6/18/2023</t>
  </si>
  <si>
    <t>Chair</t>
  </si>
  <si>
    <t>3/18/2023</t>
  </si>
  <si>
    <t>10/30/2023</t>
  </si>
  <si>
    <t>Calculate the Each City Maximum Sales With State</t>
  </si>
  <si>
    <t>8/25/2023</t>
  </si>
  <si>
    <t>9/15/2023</t>
  </si>
  <si>
    <t>7/19/2023</t>
  </si>
  <si>
    <t>CITY</t>
  </si>
  <si>
    <t>5/17/2023</t>
  </si>
  <si>
    <t>6/30/2023</t>
  </si>
  <si>
    <t>11/29/2023</t>
  </si>
  <si>
    <t>3/13/2023</t>
  </si>
  <si>
    <t>10/22/2023</t>
  </si>
  <si>
    <t>3/29/2023</t>
  </si>
  <si>
    <t>7/15/2023</t>
  </si>
  <si>
    <t>6/13/2023</t>
  </si>
  <si>
    <t>1/20/2023</t>
  </si>
  <si>
    <t>5/16/2023</t>
  </si>
  <si>
    <t>1/18/2023</t>
  </si>
  <si>
    <t>5/29/2023</t>
  </si>
  <si>
    <t>3/24/2023</t>
  </si>
  <si>
    <t>11/14/2023</t>
  </si>
  <si>
    <t>5/31/2023</t>
  </si>
  <si>
    <t>6/21/2023</t>
  </si>
  <si>
    <t>1/30/2023</t>
  </si>
  <si>
    <t>2/26/2023</t>
  </si>
  <si>
    <t>12/15/2023</t>
  </si>
  <si>
    <t>9/23/2023</t>
  </si>
  <si>
    <t>3/14/2023</t>
  </si>
  <si>
    <t>9/25/2023</t>
  </si>
  <si>
    <t>5/14/2023</t>
  </si>
  <si>
    <t>7/22/2023</t>
  </si>
  <si>
    <t>11/18/2023</t>
  </si>
  <si>
    <t>4/13/2023</t>
  </si>
  <si>
    <t>10/31/2023</t>
  </si>
  <si>
    <t>3/26/2023</t>
  </si>
  <si>
    <t>3/20/2023</t>
  </si>
  <si>
    <t>1/19/2023</t>
  </si>
  <si>
    <t>2/14/2023</t>
  </si>
  <si>
    <t>11/25/2023</t>
  </si>
  <si>
    <t>5/30/2023</t>
  </si>
  <si>
    <t>10/28/2023</t>
  </si>
  <si>
    <t>3/15/2023</t>
  </si>
  <si>
    <t>7/14/2023</t>
  </si>
  <si>
    <t>10/25/2023</t>
  </si>
  <si>
    <t>10/19/2023</t>
  </si>
  <si>
    <t>4/29/2023</t>
  </si>
  <si>
    <t>11/13/2023</t>
  </si>
  <si>
    <t>11/26/2023</t>
  </si>
  <si>
    <t>6/27/2023</t>
  </si>
  <si>
    <t>7/29/2023</t>
  </si>
  <si>
    <t>10/18/2023</t>
  </si>
  <si>
    <t>9/18/2023</t>
  </si>
  <si>
    <t>1/25/2023</t>
  </si>
  <si>
    <t>3/22/2023</t>
  </si>
  <si>
    <t>1/17/2023</t>
  </si>
  <si>
    <t>12/19/2023</t>
  </si>
  <si>
    <t>7/17/2023</t>
  </si>
  <si>
    <t>3/17/2023</t>
  </si>
  <si>
    <t>8/19/2023</t>
  </si>
  <si>
    <t>8/16/2023</t>
  </si>
  <si>
    <t>2/13/2023</t>
  </si>
  <si>
    <t>9/16/2023</t>
  </si>
  <si>
    <t>12/25/2023</t>
  </si>
  <si>
    <t>6/22/2023</t>
  </si>
  <si>
    <t>3/30/2023</t>
  </si>
  <si>
    <t>5/22/2023</t>
  </si>
  <si>
    <t>2/20/2023</t>
  </si>
  <si>
    <t>11/27/2023</t>
  </si>
  <si>
    <t>5/23/2023</t>
  </si>
  <si>
    <t>7/30/2023</t>
  </si>
  <si>
    <t>5/18/2023</t>
  </si>
  <si>
    <t>8/14/2023</t>
  </si>
  <si>
    <t>10/13/2023</t>
  </si>
  <si>
    <t>6/15/2023</t>
  </si>
  <si>
    <t>8/30/2023</t>
  </si>
  <si>
    <t>1/22/2023</t>
  </si>
  <si>
    <t>9/13/2023</t>
  </si>
  <si>
    <t>5/21/2023</t>
  </si>
  <si>
    <t>12/14/2023</t>
  </si>
  <si>
    <t>12/24/2023</t>
  </si>
  <si>
    <t>10/26/2023</t>
  </si>
  <si>
    <t>5/24/2023</t>
  </si>
  <si>
    <t>1/21/2023</t>
  </si>
  <si>
    <t>1/27/2023</t>
  </si>
  <si>
    <t>4/22/2023</t>
  </si>
  <si>
    <t>4/30/2023</t>
  </si>
  <si>
    <t>12/31/2023</t>
  </si>
  <si>
    <t>8/20/2023</t>
  </si>
  <si>
    <t>5/25/2023</t>
  </si>
  <si>
    <t>9/17/2023</t>
  </si>
  <si>
    <t>10/17/2023</t>
  </si>
  <si>
    <t>4/17/2023</t>
  </si>
  <si>
    <t>10/20/2023</t>
  </si>
  <si>
    <t>7/13/2023</t>
  </si>
  <si>
    <t>12/20/2023</t>
  </si>
  <si>
    <t>2/22/2023</t>
  </si>
  <si>
    <t>6/16/2023</t>
  </si>
  <si>
    <t>8/22/2023</t>
  </si>
  <si>
    <t>6/29/2023</t>
  </si>
  <si>
    <t>9/27/2023</t>
  </si>
  <si>
    <t>4/16/2023</t>
  </si>
  <si>
    <t>8/26/2023</t>
  </si>
  <si>
    <t>6/23/2023</t>
  </si>
  <si>
    <t>5/15/2023</t>
  </si>
  <si>
    <t>12/21/2023</t>
  </si>
  <si>
    <t>10/16/2023</t>
  </si>
  <si>
    <t>6/28/2023</t>
  </si>
  <si>
    <t>1/23/2023</t>
  </si>
  <si>
    <t>10/24/2023</t>
  </si>
  <si>
    <t>10/14/2023</t>
  </si>
  <si>
    <t>1/14/2023</t>
  </si>
  <si>
    <t>9/20/2023</t>
  </si>
  <si>
    <t>12/16/2023</t>
  </si>
  <si>
    <t>1/15/2023</t>
  </si>
  <si>
    <t>7/27/2023</t>
  </si>
  <si>
    <t>6/14/2023</t>
  </si>
  <si>
    <t>7/16/2023</t>
  </si>
  <si>
    <t>9/26/2023</t>
  </si>
  <si>
    <t>4/18/2023</t>
  </si>
  <si>
    <t>2/21/2023</t>
  </si>
  <si>
    <t>11/21/2023</t>
  </si>
  <si>
    <t>11/16/2023</t>
  </si>
  <si>
    <t>8/15/2023</t>
  </si>
  <si>
    <t>9/14/2023</t>
  </si>
  <si>
    <t>8/27/2023</t>
  </si>
  <si>
    <t>2/28/2023</t>
  </si>
  <si>
    <t>12/13/2023</t>
  </si>
  <si>
    <t>7/31/2023</t>
  </si>
  <si>
    <t>5/19/2023</t>
  </si>
  <si>
    <t>9/28/2023</t>
  </si>
  <si>
    <t>2/23/2023</t>
  </si>
  <si>
    <t>6/19/2023</t>
  </si>
  <si>
    <t>7/18/2023</t>
  </si>
  <si>
    <t>7/24/2023</t>
  </si>
  <si>
    <t>7/25/2023</t>
  </si>
  <si>
    <t>11/19/2023</t>
  </si>
  <si>
    <t>5/20/2023</t>
  </si>
  <si>
    <t>1/31/2023</t>
  </si>
  <si>
    <t>3/19/2023</t>
  </si>
  <si>
    <t>9/19/2023</t>
  </si>
  <si>
    <t>12/22/2023</t>
  </si>
  <si>
    <t>8/28/2023</t>
  </si>
  <si>
    <t>2/16/2023</t>
  </si>
  <si>
    <t>3/21/2023</t>
  </si>
  <si>
    <t>12/30/2023</t>
  </si>
  <si>
    <t>4/14/2023</t>
  </si>
  <si>
    <t>4/24/2023</t>
  </si>
  <si>
    <t>9/30/2023</t>
  </si>
  <si>
    <t>8/31/2023</t>
  </si>
  <si>
    <t>9/24/2023</t>
  </si>
  <si>
    <t>9/29/2023</t>
  </si>
  <si>
    <t>3/16/2023</t>
  </si>
  <si>
    <t>2/27/2023</t>
  </si>
  <si>
    <t>8/13/2023</t>
  </si>
  <si>
    <t>1/28/2023</t>
  </si>
  <si>
    <t>12/29/2023</t>
  </si>
  <si>
    <t>3/28/2023</t>
  </si>
  <si>
    <t>8/21/2023</t>
  </si>
  <si>
    <t>11/20/2023</t>
  </si>
  <si>
    <t>11/15/2023</t>
  </si>
  <si>
    <t>5/13/2023</t>
  </si>
  <si>
    <t>7/20/2023</t>
  </si>
  <si>
    <t>11/22/2023</t>
  </si>
  <si>
    <t>6/17/2023</t>
  </si>
  <si>
    <t>7/23/2023</t>
  </si>
  <si>
    <t>7/28/2023</t>
  </si>
  <si>
    <t>11/23/2023</t>
  </si>
  <si>
    <t>8/18/2023</t>
  </si>
  <si>
    <t>3/23/2023</t>
  </si>
  <si>
    <t>8/24/2023</t>
  </si>
  <si>
    <t>7/26/2023</t>
  </si>
  <si>
    <t>3/25/2023</t>
  </si>
  <si>
    <t>Count of State</t>
  </si>
  <si>
    <t>Grand Total</t>
  </si>
  <si>
    <t>STATES</t>
  </si>
  <si>
    <t>TOTAL QTY</t>
  </si>
  <si>
    <t>Values</t>
  </si>
  <si>
    <t>Total Sum of Sales Amount</t>
  </si>
  <si>
    <t>Total Sum of Quantity</t>
  </si>
  <si>
    <t>Sum of Sales Amount</t>
  </si>
  <si>
    <t>Sum of Quantity</t>
  </si>
  <si>
    <t>(ALL)</t>
  </si>
  <si>
    <t>Emp Code</t>
  </si>
  <si>
    <t>Sales Executive</t>
  </si>
  <si>
    <t>Day1</t>
  </si>
  <si>
    <t>Day2</t>
  </si>
  <si>
    <t>Day3</t>
  </si>
  <si>
    <t>Day4</t>
  </si>
  <si>
    <t>Day5</t>
  </si>
  <si>
    <t>Total Sales</t>
  </si>
  <si>
    <t>Target</t>
  </si>
  <si>
    <t>Target Hit %</t>
  </si>
  <si>
    <t>Away From Target %</t>
  </si>
  <si>
    <t>Mum-TCL001</t>
  </si>
  <si>
    <t>Raj Verma</t>
  </si>
  <si>
    <t>Mum-TCL002</t>
  </si>
  <si>
    <t>Tanuja Kale</t>
  </si>
  <si>
    <t>Mum-TCL003</t>
  </si>
  <si>
    <t>Arvind Sharma</t>
  </si>
  <si>
    <t>Mum-TCL004</t>
  </si>
  <si>
    <t>Tahira Qureshi</t>
  </si>
  <si>
    <t>Mum-TCL005</t>
  </si>
  <si>
    <t>Anuj Sharma</t>
  </si>
  <si>
    <t>Mum-TCL006</t>
  </si>
  <si>
    <t>Syed Sohail</t>
  </si>
  <si>
    <t>Patna</t>
  </si>
  <si>
    <t>Mum-TCL007</t>
  </si>
  <si>
    <t>Syed Saqib</t>
  </si>
  <si>
    <t>Ranchi</t>
  </si>
  <si>
    <t>Mum-TCL008</t>
  </si>
  <si>
    <t>Syed Naved</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</si>
  <si>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</si>
  <si>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</si>
  <si>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</si>
  <si>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</si>
  <si>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</si>
  <si>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</si>
  <si>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</si>
  <si>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</si>
  <si>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</si>
  <si>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</si>
  <si>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</si>
  <si>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</si>
  <si>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</si>
  <si>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</si>
  <si>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</si>
  <si>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</si>
  <si>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</si>
  <si>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</si>
  <si>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</si>
  <si>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</si>
  <si>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</si>
  <si>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</si>
  <si>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</si>
  <si>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</si>
  <si>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</si>
  <si>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</si>
  <si>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</si>
  <si>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</si>
  <si>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</si>
  <si>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</si>
  <si>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</si>
  <si>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</si>
  <si>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</si>
  <si>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</si>
  <si>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</si>
  <si>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</si>
  <si>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</si>
  <si>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</si>
  <si>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</si>
  <si>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</si>
  <si>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</si>
  <si>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</si>
  <si>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</si>
  <si>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</si>
  <si>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</si>
  <si>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</si>
  <si>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</si>
  <si>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</si>
  <si>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</si>
  <si>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</si>
  <si>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</si>
  <si>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</si>
  <si>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</si>
  <si>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</si>
  <si>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</si>
  <si>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</si>
  <si>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</si>
  <si>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</si>
  <si>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</si>
  <si>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</si>
  <si>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</si>
  <si>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</si>
  <si>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</si>
  <si>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</si>
  <si>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</si>
  <si>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</si>
  <si>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</si>
  <si>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</si>
  <si>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</si>
  <si>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</si>
  <si>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</si>
  <si>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Rekha Jain</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</si>
  <si>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</si>
  <si>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</si>
  <si>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</si>
  <si>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</si>
  <si>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</si>
  <si>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</si>
  <si>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</si>
  <si>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</si>
  <si>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</si>
  <si>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</si>
  <si>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</si>
  <si>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</si>
  <si>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</si>
  <si>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</si>
  <si>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</si>
  <si>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</si>
  <si>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</si>
  <si>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</si>
  <si>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</si>
  <si>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</si>
  <si>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</si>
  <si>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</si>
  <si>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</si>
  <si>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</si>
  <si>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</si>
  <si>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</si>
  <si>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</si>
  <si>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</si>
  <si>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</si>
  <si>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</si>
  <si>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</si>
  <si>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</si>
  <si>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</si>
  <si>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</si>
  <si>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</si>
  <si>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</si>
  <si>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</si>
  <si>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</si>
  <si>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</si>
  <si>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</si>
  <si>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</si>
  <si>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</si>
  <si>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</si>
  <si>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</si>
  <si>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</si>
  <si>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</si>
  <si>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</si>
  <si>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</si>
  <si>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</si>
  <si>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</si>
  <si>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</si>
  <si>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</si>
  <si>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</si>
  <si>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</si>
  <si>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</si>
  <si>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</si>
  <si>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</si>
  <si>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</si>
  <si>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</si>
  <si>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</si>
  <si>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</si>
  <si>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</si>
  <si>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</si>
  <si>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</si>
  <si>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</si>
  <si>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</si>
  <si>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</si>
  <si>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</si>
  <si>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</si>
  <si>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</si>
  <si>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</si>
  <si>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</si>
  <si>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</si>
  <si>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</si>
  <si>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</si>
  <si>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</si>
  <si>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</si>
  <si>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</si>
  <si>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</si>
  <si>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</si>
  <si>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</si>
  <si>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</si>
  <si>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</si>
  <si>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</si>
  <si>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</si>
  <si>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</si>
  <si>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</si>
  <si>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</si>
  <si>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</si>
  <si>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</si>
  <si>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</si>
  <si>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</si>
  <si>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</si>
  <si>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</si>
  <si>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</si>
  <si>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</si>
  <si>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</si>
  <si>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</si>
  <si>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</si>
  <si>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</si>
  <si>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</si>
  <si>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</si>
  <si>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</si>
  <si>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</si>
  <si>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</si>
  <si>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</si>
  <si>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</si>
  <si>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</si>
  <si>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</si>
  <si>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</si>
  <si>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</si>
  <si>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</si>
  <si>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</si>
  <si>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</si>
  <si>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</si>
  <si>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</si>
  <si>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</si>
  <si>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</si>
  <si>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</si>
  <si>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</si>
  <si>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</si>
  <si>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</si>
  <si>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</si>
  <si>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</si>
  <si>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</si>
  <si>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</si>
  <si>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</si>
  <si>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</si>
  <si>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</si>
  <si>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</si>
  <si>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</si>
  <si>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</si>
  <si>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</si>
  <si>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</si>
  <si>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</si>
  <si>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</si>
  <si>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</si>
  <si>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</si>
  <si>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</si>
  <si>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</si>
  <si>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</si>
  <si>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</si>
  <si>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</si>
  <si>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</si>
  <si>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</si>
  <si>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</si>
  <si>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</si>
  <si>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</si>
  <si>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</si>
  <si>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</si>
  <si>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</si>
  <si>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</si>
  <si>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</si>
  <si>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</si>
  <si>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</si>
  <si>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</si>
  <si>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</si>
  <si>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</si>
  <si>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</si>
  <si>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</si>
  <si>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</si>
  <si>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</si>
  <si>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</si>
  <si>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</si>
  <si>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</si>
  <si>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</si>
  <si>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</si>
  <si>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</si>
  <si>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</si>
  <si>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</si>
  <si>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</si>
  <si>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</si>
  <si>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</si>
  <si>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</si>
  <si>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</si>
  <si>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</si>
  <si>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</si>
  <si>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</si>
  <si>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</si>
  <si>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</si>
  <si>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</si>
  <si>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</si>
  <si>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</si>
  <si>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</si>
  <si>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</si>
  <si>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</si>
  <si>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</si>
  <si>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</si>
  <si>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</si>
  <si>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</si>
  <si>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</si>
  <si>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</si>
  <si>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</si>
  <si>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</si>
  <si>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Total Sales </t>
  </si>
  <si>
    <t xml:space="preserve">Target Hit % </t>
  </si>
  <si>
    <t xml:space="preserve">Away From Target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</si>
</sst>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m/d/yyyy;@"/>
    <numFmt numFmtId="182" formatCode="0_);[Red]\(0\)"/>
    <numFmt numFmtId="183" formatCode="&quot;₹&quot;#,##0.00_);[Red]\(&quot;₹&quot;#,##0.00\)"/>
    <numFmt numFmtId="184" formatCode="[$-409]d/mmm/yyyy;@"/>
    <numFmt numFmtId="185" formatCode="&quot;₹&quot;#,##0_);[Red]\(&quot;₹&quot;#,##0\)"/>
    <numFmt numFmtId="186" formatCode="yyyy/mm/dd;@"/>
    <numFmt numFmtId="187" formatCode="&quot;₹&quot;#,##0.0_);[Red]\(&quot;₹&quot;#,##0.0\)"/>
    <numFmt numFmtId="188" formatCode="[$-409]dddd\,\ mmmm\ d\,\ yyyy;@"/>
  </numFmts>
  <fonts count="45">
    <font>
      <sz val="11"/>
      <color theme="1"/>
      <name val="Calibri"/>
      <charset val="134"/>
      <scheme val="minor"/>
    </font>
    <font>
      <b/>
      <sz val="11"/>
      <color theme="1"/>
      <name val="Calibri"/>
      <charset val="134"/>
      <scheme val="minor"/>
    </font>
    <font>
      <b/>
      <sz val="10"/>
      <color theme="1"/>
      <name val="Times New Roman"/>
      <charset val="134"/>
    </font>
    <font>
      <sz val="10"/>
      <color theme="1"/>
      <name val="Times New Roman"/>
      <charset val="134"/>
    </font>
    <font>
      <b/>
      <sz val="11"/>
      <color theme="1"/>
      <name val="Times New Roman"/>
      <charset val="134"/>
    </font>
    <font>
      <b/>
      <sz val="10"/>
      <color rgb="FF002060"/>
      <name val="Times New Roman"/>
      <charset val="134"/>
    </font>
    <font>
      <b/>
      <sz val="12"/>
      <color rgb="FFFF0000"/>
      <name val="Calibri"/>
      <charset val="134"/>
      <scheme val="minor"/>
    </font>
    <font>
      <b/>
      <sz val="12"/>
      <color theme="1"/>
      <name val="Times New Roman"/>
      <charset val="134"/>
    </font>
    <font>
      <b/>
      <sz val="10"/>
      <color theme="1"/>
      <name val="Aptos Narrow"/>
      <charset val="134"/>
    </font>
    <font>
      <b/>
      <sz val="11"/>
      <color theme="1"/>
      <name val="Aptos Narrow"/>
      <charset val="134"/>
    </font>
    <font>
      <sz val="10"/>
      <color theme="1"/>
      <name val="Aptos Narrow"/>
      <charset val="134"/>
    </font>
    <font>
      <b/>
      <sz val="12"/>
      <color theme="1"/>
      <name val="Aptos Narrow"/>
      <charset val="134"/>
    </font>
    <font>
      <sz val="12"/>
      <color theme="1"/>
      <name val="Aptos Narrow"/>
      <charset val="134"/>
    </font>
    <font>
      <b/>
      <sz val="12"/>
      <color theme="1"/>
      <name val="Calibri"/>
      <charset val="134"/>
      <scheme val="minor"/>
    </font>
    <font>
      <b/>
      <sz val="11"/>
      <color rgb="FF00B0F0"/>
      <name val="Times New Roman"/>
      <charset val="134"/>
    </font>
    <font>
      <b/>
      <sz val="10"/>
      <color theme="4"/>
      <name val="Times New Roman"/>
      <charset val="134"/>
    </font>
    <font>
      <b/>
      <sz val="11"/>
      <color rgb="FF002060"/>
      <name val="Times New Roman"/>
      <charset val="134"/>
    </font>
    <font>
      <sz val="11"/>
      <name val="Calibri"/>
      <charset val="134"/>
      <scheme val="minor"/>
    </font>
    <font>
      <b/>
      <sz val="11"/>
      <name val="Calibri"/>
      <charset val="134"/>
      <scheme val="minor"/>
    </font>
    <font>
      <sz val="11"/>
      <color rgb="FFFF0000"/>
      <name val="Calibri"/>
      <charset val="134"/>
      <scheme val="minor"/>
    </font>
    <font>
      <sz val="12"/>
      <color theme="1"/>
      <name val="Arial"/>
      <charset val="134"/>
    </font>
    <font>
      <b/>
      <sz val="11"/>
      <color rgb="FF7030A0"/>
      <name val="Times New Roman"/>
      <charset val="134"/>
    </font>
    <font>
      <b/>
      <sz val="11"/>
      <color rgb="FF7030A0"/>
      <name val="Calibri"/>
      <charset val="134"/>
      <scheme val="minor"/>
    </font>
    <font>
      <b/>
      <sz val="11"/>
      <color rgb="FFFF0000"/>
      <name val="Calibri"/>
      <charset val="134"/>
      <scheme val="minor"/>
    </font>
    <font>
      <b/>
      <sz val="11"/>
      <color theme="4"/>
      <name val="Calibri"/>
      <charset val="134"/>
      <scheme val="minor"/>
    </font>
    <font>
      <sz val="11"/>
      <color rgb="FF00206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theme="0" tint="-0.049989318521683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rgb="FFFFFF00"/>
        <bgColor indexed="64"/>
      </patternFill>
    </fill>
    <fill>
      <patternFill patternType="solid">
        <fgColor rgb="FFD9E2F3"/>
        <bgColor indexed="64"/>
      </patternFill>
    </fill>
    <fill>
      <patternFill patternType="solid">
        <fgColor theme="4" tint="0.8"/>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rgb="FFFFC000"/>
        <bgColor indexed="64"/>
      </patternFill>
    </fill>
    <fill>
      <patternFill patternType="solid">
        <fgColor theme="3" tint="0.799981688894314"/>
        <bgColor indexed="64"/>
      </patternFill>
    </fill>
    <fill>
      <patternFill patternType="solid">
        <fgColor theme="7" tint="0.599993896298105"/>
        <bgColor indexed="64"/>
      </patternFill>
    </fill>
    <fill>
      <patternFill patternType="solid">
        <fgColor theme="6"/>
        <bgColor indexed="64"/>
      </patternFill>
    </fill>
    <fill>
      <patternFill patternType="solid">
        <fgColor rgb="FF00B0F0"/>
        <bgColor indexed="64"/>
      </patternFill>
    </fill>
    <fill>
      <patternFill patternType="solid">
        <fgColor theme="5" tint="0.799981688894314"/>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5"/>
        <bgColor indexed="64"/>
      </patternFill>
    </fill>
    <fill>
      <patternFill patternType="solid">
        <fgColor theme="5"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8"/>
        <bgColor indexed="64"/>
      </patternFill>
    </fill>
    <fill>
      <patternFill patternType="solid">
        <fgColor theme="9"/>
        <bgColor indexed="64"/>
      </patternFill>
    </fill>
    <fill>
      <patternFill patternType="solid">
        <fgColor theme="9" tint="0.799981688894314"/>
        <bgColor indexed="64"/>
      </patternFill>
    </fill>
  </fills>
  <borders count="68">
    <border>
      <left/>
      <right/>
      <top/>
      <bottom/>
      <diagonal/>
    </border>
    <border>
      <left style="medium">
        <color rgb="FF000000"/>
      </left>
      <right style="medium">
        <color rgb="FF000000"/>
      </right>
      <top style="medium">
        <color rgb="FF000000"/>
      </top>
      <bottom style="medium">
        <color rgb="FF000000"/>
      </bottom>
      <diagonal/>
    </border>
    <border>
      <left style="thin">
        <color indexed="0"/>
      </left>
      <right style="thin">
        <color indexed="0"/>
      </right>
      <top style="thin">
        <color indexed="0"/>
      </top>
      <bottom style="thin">
        <color indexed="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auto="1"/>
      </left>
      <right style="medium">
        <color auto="1"/>
      </right>
      <top style="medium">
        <color auto="1"/>
      </top>
      <bottom style="medium">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ck">
        <color auto="1"/>
      </left>
      <right style="thick">
        <color auto="1"/>
      </right>
      <top style="thick">
        <color auto="1"/>
      </top>
      <bottom style="thick">
        <color auto="1"/>
      </bottom>
      <diagonal/>
    </border>
    <border>
      <left style="double">
        <color auto="1"/>
      </left>
      <right style="double">
        <color auto="1"/>
      </right>
      <top/>
      <bottom style="double">
        <color auto="1"/>
      </bottom>
      <diagonal/>
    </border>
    <border>
      <left style="thick">
        <color auto="1"/>
      </left>
      <right style="double">
        <color auto="1"/>
      </right>
      <top style="thick">
        <color auto="1"/>
      </top>
      <bottom style="thick">
        <color auto="1"/>
      </bottom>
      <diagonal/>
    </border>
    <border>
      <left/>
      <right style="thick">
        <color auto="1"/>
      </right>
      <top style="thick">
        <color auto="1"/>
      </top>
      <bottom style="thick">
        <color auto="1"/>
      </bottom>
      <diagonal/>
    </border>
    <border>
      <left style="double">
        <color auto="1"/>
      </left>
      <right style="double">
        <color auto="1"/>
      </right>
      <top style="double">
        <color auto="1"/>
      </top>
      <bottom/>
      <diagonal/>
    </border>
    <border>
      <left/>
      <right/>
      <top style="double">
        <color auto="1"/>
      </top>
      <bottom/>
      <diagonal/>
    </border>
    <border>
      <left style="thick">
        <color auto="1"/>
      </left>
      <right/>
      <top style="thick">
        <color auto="1"/>
      </top>
      <bottom style="thick">
        <color auto="1"/>
      </bottom>
      <diagonal/>
    </border>
    <border>
      <left style="double">
        <color auto="1"/>
      </left>
      <right/>
      <top/>
      <bottom style="double">
        <color auto="1"/>
      </bottom>
      <diagonal/>
    </border>
    <border>
      <left style="double">
        <color auto="1"/>
      </left>
      <right/>
      <top style="double">
        <color auto="1"/>
      </top>
      <bottom style="double">
        <color auto="1"/>
      </bottom>
      <diagonal/>
    </border>
    <border>
      <left/>
      <right/>
      <top/>
      <bottom style="thick">
        <color auto="1"/>
      </bottom>
      <diagonal/>
    </border>
    <border>
      <left/>
      <right/>
      <top style="thick">
        <color auto="1"/>
      </top>
      <bottom/>
      <diagonal/>
    </border>
    <border>
      <left style="thick">
        <color auto="1"/>
      </left>
      <right/>
      <top/>
      <bottom/>
      <diagonal/>
    </border>
    <border>
      <left style="thick">
        <color auto="1"/>
      </left>
      <right/>
      <top style="thick">
        <color auto="1"/>
      </top>
      <bottom/>
      <diagonal/>
    </border>
    <border>
      <left/>
      <right style="thick">
        <color auto="1"/>
      </right>
      <top/>
      <bottom/>
      <diagonal/>
    </border>
    <border>
      <left style="thin">
        <color auto="1"/>
      </left>
      <right/>
      <top/>
      <bottom style="thick">
        <color auto="1"/>
      </bottom>
      <diagonal/>
    </border>
    <border>
      <left/>
      <right style="thick">
        <color auto="1"/>
      </right>
      <top/>
      <bottom style="thick">
        <color auto="1"/>
      </bottom>
      <diagonal/>
    </border>
    <border>
      <left/>
      <right style="thin">
        <color auto="1"/>
      </right>
      <top/>
      <bottom style="thick">
        <color auto="1"/>
      </bottom>
      <diagonal/>
    </border>
    <border>
      <left style="thin">
        <color auto="1"/>
      </left>
      <right style="thin">
        <color auto="1"/>
      </right>
      <top/>
      <bottom style="thick">
        <color auto="1"/>
      </bottom>
      <diagonal/>
    </border>
    <border>
      <left style="thin">
        <color auto="1"/>
      </left>
      <right style="thick">
        <color auto="1"/>
      </right>
      <top/>
      <bottom style="thick">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right style="thin">
        <color auto="1"/>
      </right>
      <top style="thick">
        <color auto="1"/>
      </top>
      <bottom style="thick">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ck">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right style="thin">
        <color auto="1"/>
      </right>
      <top style="thin">
        <color auto="1"/>
      </top>
      <bottom/>
      <diagonal/>
    </border>
    <border>
      <left style="thin">
        <color auto="1"/>
      </left>
      <right/>
      <top style="thin">
        <color auto="1"/>
      </top>
      <bottom/>
      <diagonal/>
    </border>
    <border>
      <left/>
      <right style="double">
        <color auto="1"/>
      </right>
      <top style="double">
        <color auto="1"/>
      </top>
      <bottom/>
      <diagonal/>
    </border>
    <border>
      <left style="medium">
        <color auto="1"/>
      </left>
      <right style="medium">
        <color auto="1"/>
      </right>
      <top/>
      <bottom style="medium">
        <color auto="1"/>
      </bottom>
      <diagonal/>
    </border>
    <border>
      <left style="double">
        <color auto="1"/>
      </left>
      <right/>
      <top style="double">
        <color auto="1"/>
      </top>
      <bottom/>
      <diagonal/>
    </border>
    <border>
      <left/>
      <right style="double">
        <color auto="1"/>
      </right>
      <top style="double">
        <color auto="1"/>
      </top>
      <bottom style="double">
        <color auto="1"/>
      </bottom>
      <diagonal/>
    </border>
    <border>
      <left style="medium">
        <color auto="1"/>
      </left>
      <right style="medium">
        <color auto="1"/>
      </right>
      <top style="medium">
        <color auto="1"/>
      </top>
      <bottom/>
      <diagonal/>
    </border>
    <border>
      <left/>
      <right/>
      <top style="double">
        <color auto="1"/>
      </top>
      <bottom style="double">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26" borderId="60"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61" applyNumberFormat="0" applyFill="0" applyAlignment="0" applyProtection="0">
      <alignment vertical="center"/>
    </xf>
    <xf numFmtId="0" fontId="32" fillId="0" borderId="61" applyNumberFormat="0" applyFill="0" applyAlignment="0" applyProtection="0">
      <alignment vertical="center"/>
    </xf>
    <xf numFmtId="0" fontId="33" fillId="0" borderId="62" applyNumberFormat="0" applyFill="0" applyAlignment="0" applyProtection="0">
      <alignment vertical="center"/>
    </xf>
    <xf numFmtId="0" fontId="33" fillId="0" borderId="0" applyNumberFormat="0" applyFill="0" applyBorder="0" applyAlignment="0" applyProtection="0">
      <alignment vertical="center"/>
    </xf>
    <xf numFmtId="0" fontId="34" fillId="27" borderId="63" applyNumberFormat="0" applyAlignment="0" applyProtection="0">
      <alignment vertical="center"/>
    </xf>
    <xf numFmtId="0" fontId="35" fillId="28" borderId="64" applyNumberFormat="0" applyAlignment="0" applyProtection="0">
      <alignment vertical="center"/>
    </xf>
    <xf numFmtId="0" fontId="36" fillId="28" borderId="63" applyNumberFormat="0" applyAlignment="0" applyProtection="0">
      <alignment vertical="center"/>
    </xf>
    <xf numFmtId="0" fontId="37" fillId="29" borderId="65" applyNumberFormat="0" applyAlignment="0" applyProtection="0">
      <alignment vertical="center"/>
    </xf>
    <xf numFmtId="0" fontId="38" fillId="0" borderId="66" applyNumberFormat="0" applyFill="0" applyAlignment="0" applyProtection="0">
      <alignment vertical="center"/>
    </xf>
    <xf numFmtId="0" fontId="39" fillId="0" borderId="67" applyNumberFormat="0" applyFill="0" applyAlignment="0" applyProtection="0">
      <alignment vertical="center"/>
    </xf>
    <xf numFmtId="0" fontId="40" fillId="30" borderId="0" applyNumberFormat="0" applyBorder="0" applyAlignment="0" applyProtection="0">
      <alignment vertical="center"/>
    </xf>
    <xf numFmtId="0" fontId="41" fillId="31" borderId="0" applyNumberFormat="0" applyBorder="0" applyAlignment="0" applyProtection="0">
      <alignment vertical="center"/>
    </xf>
    <xf numFmtId="0" fontId="42" fillId="32" borderId="0" applyNumberFormat="0" applyBorder="0" applyAlignment="0" applyProtection="0">
      <alignment vertical="center"/>
    </xf>
    <xf numFmtId="0" fontId="43" fillId="33" borderId="0" applyNumberFormat="0" applyBorder="0" applyAlignment="0" applyProtection="0">
      <alignment vertical="center"/>
    </xf>
    <xf numFmtId="0" fontId="44" fillId="3" borderId="0" applyNumberFormat="0" applyBorder="0" applyAlignment="0" applyProtection="0">
      <alignment vertical="center"/>
    </xf>
    <xf numFmtId="0" fontId="44" fillId="9" borderId="0" applyNumberFormat="0" applyBorder="0" applyAlignment="0" applyProtection="0">
      <alignment vertical="center"/>
    </xf>
    <xf numFmtId="0" fontId="43" fillId="16" borderId="0" applyNumberFormat="0" applyBorder="0" applyAlignment="0" applyProtection="0">
      <alignment vertical="center"/>
    </xf>
    <xf numFmtId="0" fontId="43" fillId="34" borderId="0" applyNumberFormat="0" applyBorder="0" applyAlignment="0" applyProtection="0">
      <alignment vertical="center"/>
    </xf>
    <xf numFmtId="0" fontId="44" fillId="24" borderId="0" applyNumberFormat="0" applyBorder="0" applyAlignment="0" applyProtection="0">
      <alignment vertical="center"/>
    </xf>
    <xf numFmtId="0" fontId="44" fillId="35" borderId="0" applyNumberFormat="0" applyBorder="0" applyAlignment="0" applyProtection="0">
      <alignment vertical="center"/>
    </xf>
    <xf numFmtId="0" fontId="43" fillId="12" borderId="0" applyNumberFormat="0" applyBorder="0" applyAlignment="0" applyProtection="0">
      <alignment vertical="center"/>
    </xf>
    <xf numFmtId="0" fontId="43" fillId="22" borderId="0" applyNumberFormat="0" applyBorder="0" applyAlignment="0" applyProtection="0">
      <alignment vertical="center"/>
    </xf>
    <xf numFmtId="0" fontId="44" fillId="4" borderId="0" applyNumberFormat="0" applyBorder="0" applyAlignment="0" applyProtection="0">
      <alignment vertical="center"/>
    </xf>
    <xf numFmtId="0" fontId="44" fillId="11" borderId="0" applyNumberFormat="0" applyBorder="0" applyAlignment="0" applyProtection="0">
      <alignment vertical="center"/>
    </xf>
    <xf numFmtId="0" fontId="43" fillId="17" borderId="0" applyNumberFormat="0" applyBorder="0" applyAlignment="0" applyProtection="0">
      <alignment vertical="center"/>
    </xf>
    <xf numFmtId="0" fontId="43" fillId="36" borderId="0" applyNumberFormat="0" applyBorder="0" applyAlignment="0" applyProtection="0">
      <alignment vertical="center"/>
    </xf>
    <xf numFmtId="0" fontId="44" fillId="37" borderId="0" applyNumberFormat="0" applyBorder="0" applyAlignment="0" applyProtection="0">
      <alignment vertical="center"/>
    </xf>
    <xf numFmtId="0" fontId="44" fillId="21" borderId="0" applyNumberFormat="0" applyBorder="0" applyAlignment="0" applyProtection="0">
      <alignment vertical="center"/>
    </xf>
    <xf numFmtId="0" fontId="43" fillId="18" borderId="0" applyNumberFormat="0" applyBorder="0" applyAlignment="0" applyProtection="0">
      <alignment vertical="center"/>
    </xf>
    <xf numFmtId="0" fontId="43" fillId="38" borderId="0" applyNumberFormat="0" applyBorder="0" applyAlignment="0" applyProtection="0">
      <alignment vertical="center"/>
    </xf>
    <xf numFmtId="0" fontId="44" fillId="5" borderId="0" applyNumberFormat="0" applyBorder="0" applyAlignment="0" applyProtection="0">
      <alignment vertical="center"/>
    </xf>
    <xf numFmtId="0" fontId="44" fillId="13" borderId="0" applyNumberFormat="0" applyBorder="0" applyAlignment="0" applyProtection="0">
      <alignment vertical="center"/>
    </xf>
    <xf numFmtId="0" fontId="43" fillId="10" borderId="0" applyNumberFormat="0" applyBorder="0" applyAlignment="0" applyProtection="0">
      <alignment vertical="center"/>
    </xf>
    <xf numFmtId="0" fontId="43" fillId="39" borderId="0" applyNumberFormat="0" applyBorder="0" applyAlignment="0" applyProtection="0">
      <alignment vertical="center"/>
    </xf>
    <xf numFmtId="0" fontId="44" fillId="40" borderId="0" applyNumberFormat="0" applyBorder="0" applyAlignment="0" applyProtection="0">
      <alignment vertical="center"/>
    </xf>
    <xf numFmtId="0" fontId="44" fillId="15" borderId="0" applyNumberFormat="0" applyBorder="0" applyAlignment="0" applyProtection="0">
      <alignment vertical="center"/>
    </xf>
    <xf numFmtId="0" fontId="43" fillId="14" borderId="0" applyNumberFormat="0" applyBorder="0" applyAlignment="0" applyProtection="0">
      <alignment vertical="center"/>
    </xf>
  </cellStyleXfs>
  <cellXfs count="256">
    <xf numFmtId="0" fontId="0" fillId="0" borderId="0" xfId="0">
      <alignment vertical="center"/>
    </xf>
    <xf numFmtId="0" fontId="0" fillId="2" borderId="0" xfId="0" applyFill="1">
      <alignment vertical="center"/>
    </xf>
    <xf numFmtId="0" fontId="1" fillId="0" borderId="1" xfId="0" applyFont="1" applyBorder="1" applyAlignment="1">
      <alignment horizontal="center" vertical="center"/>
    </xf>
    <xf numFmtId="0" fontId="1" fillId="2" borderId="0" xfId="0" applyFont="1" applyFill="1">
      <alignment vertical="center"/>
    </xf>
    <xf numFmtId="0" fontId="1" fillId="0" borderId="2" xfId="0" applyFont="1" applyBorder="1" applyAlignment="1">
      <alignment horizontal="center" vertical="center"/>
    </xf>
    <xf numFmtId="0" fontId="0" fillId="2" borderId="0" xfId="0" applyFont="1" applyFill="1">
      <alignment vertical="center"/>
    </xf>
    <xf numFmtId="0" fontId="1" fillId="3" borderId="1" xfId="0" applyFont="1" applyFill="1" applyBorder="1" applyAlignment="1">
      <alignment horizontal="center" vertical="center"/>
    </xf>
    <xf numFmtId="10" fontId="1" fillId="4" borderId="1" xfId="0" applyNumberFormat="1" applyFont="1" applyFill="1" applyBorder="1" applyAlignment="1">
      <alignment horizontal="center" vertical="center"/>
    </xf>
    <xf numFmtId="10" fontId="1" fillId="5" borderId="1" xfId="0" applyNumberFormat="1" applyFont="1" applyFill="1" applyBorder="1" applyAlignment="1">
      <alignment horizontal="center" vertical="center"/>
    </xf>
    <xf numFmtId="0" fontId="2" fillId="6" borderId="1" xfId="0" applyFont="1" applyFill="1" applyBorder="1" applyAlignment="1">
      <alignment horizontal="center" vertical="center" wrapText="1" readingOrder="1"/>
    </xf>
    <xf numFmtId="0" fontId="2" fillId="6" borderId="3" xfId="0" applyFont="1" applyFill="1" applyBorder="1" applyAlignment="1">
      <alignment horizontal="center" vertical="center" wrapText="1" readingOrder="1"/>
    </xf>
    <xf numFmtId="0" fontId="3" fillId="7" borderId="4" xfId="0" applyFont="1" applyFill="1" applyBorder="1" applyAlignment="1">
      <alignment horizontal="center" vertical="center" wrapText="1" readingOrder="1"/>
    </xf>
    <xf numFmtId="0" fontId="3" fillId="7" borderId="5" xfId="0" applyFont="1" applyFill="1" applyBorder="1" applyAlignment="1">
      <alignment horizontal="center" wrapText="1" readingOrder="1"/>
    </xf>
    <xf numFmtId="0" fontId="3" fillId="7" borderId="5" xfId="0" applyFont="1" applyFill="1" applyBorder="1" applyAlignment="1">
      <alignment horizontal="center" vertical="center" wrapText="1" readingOrder="1"/>
    </xf>
    <xf numFmtId="10" fontId="3" fillId="7" borderId="5" xfId="0" applyNumberFormat="1" applyFont="1" applyFill="1" applyBorder="1" applyAlignment="1">
      <alignment horizontal="center" vertical="center" wrapText="1" readingOrder="1"/>
    </xf>
    <xf numFmtId="180" fontId="2" fillId="6" borderId="6" xfId="0" applyNumberFormat="1" applyFont="1" applyFill="1" applyBorder="1" applyAlignment="1">
      <alignment horizontal="center" vertical="center" wrapText="1" readingOrder="1"/>
    </xf>
    <xf numFmtId="0" fontId="2" fillId="6" borderId="6" xfId="0" applyFont="1" applyFill="1" applyBorder="1" applyAlignment="1">
      <alignment horizontal="center" vertical="center" wrapText="1" readingOrder="1"/>
    </xf>
    <xf numFmtId="0" fontId="0" fillId="0" borderId="7" xfId="0" applyBorder="1">
      <alignment vertical="center"/>
    </xf>
    <xf numFmtId="181" fontId="3" fillId="0" borderId="6" xfId="0" applyNumberFormat="1" applyFont="1" applyBorder="1" applyAlignment="1">
      <alignment horizontal="center" vertical="center" wrapText="1" readingOrder="1"/>
    </xf>
    <xf numFmtId="0" fontId="3" fillId="0" borderId="6" xfId="0" applyFont="1" applyBorder="1" applyAlignment="1">
      <alignment horizontal="center" vertical="center" wrapText="1" readingOrder="1"/>
    </xf>
    <xf numFmtId="0" fontId="1" fillId="6" borderId="8" xfId="0" applyFont="1" applyFill="1" applyBorder="1" applyAlignment="1">
      <alignment horizontal="center" vertical="center"/>
    </xf>
    <xf numFmtId="0" fontId="1" fillId="8" borderId="8" xfId="0" applyFont="1" applyFill="1" applyBorder="1" applyAlignment="1">
      <alignment horizontal="center" vertical="center"/>
    </xf>
    <xf numFmtId="0" fontId="0" fillId="0" borderId="6" xfId="0" applyBorder="1">
      <alignment vertical="center"/>
    </xf>
    <xf numFmtId="0" fontId="0" fillId="0" borderId="6" xfId="0" applyBorder="1" applyAlignment="1">
      <alignment horizontal="center" vertical="center"/>
    </xf>
    <xf numFmtId="180" fontId="3" fillId="0" borderId="6" xfId="0" applyNumberFormat="1" applyFont="1" applyBorder="1" applyAlignment="1">
      <alignment horizontal="center" vertical="center"/>
    </xf>
    <xf numFmtId="0" fontId="3" fillId="0" borderId="6" xfId="0" applyFont="1" applyBorder="1" applyAlignment="1">
      <alignment horizontal="center" vertical="center"/>
    </xf>
    <xf numFmtId="0" fontId="1" fillId="5" borderId="9"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13" xfId="0" applyFont="1" applyFill="1" applyBorder="1" applyAlignment="1">
      <alignment horizontal="center" vertical="center" wrapText="1"/>
    </xf>
    <xf numFmtId="0" fontId="4" fillId="6" borderId="14" xfId="0" applyFont="1" applyFill="1" applyBorder="1" applyAlignment="1">
      <alignment horizontal="center" vertical="center" wrapText="1"/>
    </xf>
    <xf numFmtId="0" fontId="4" fillId="6" borderId="15" xfId="0" applyFont="1" applyFill="1" applyBorder="1" applyAlignment="1">
      <alignment horizontal="center" vertical="center" wrapText="1"/>
    </xf>
    <xf numFmtId="0" fontId="4" fillId="6" borderId="0" xfId="0" applyFont="1" applyFill="1" applyAlignment="1">
      <alignment horizontal="center" vertical="center" wrapText="1"/>
    </xf>
    <xf numFmtId="0" fontId="4" fillId="6" borderId="16" xfId="0" applyFont="1" applyFill="1" applyBorder="1" applyAlignment="1">
      <alignment horizontal="center" vertical="center" wrapText="1"/>
    </xf>
    <xf numFmtId="0" fontId="4" fillId="6" borderId="17" xfId="0" applyFont="1" applyFill="1" applyBorder="1" applyAlignment="1">
      <alignment horizontal="center" vertical="center" wrapText="1"/>
    </xf>
    <xf numFmtId="0" fontId="4" fillId="6" borderId="18" xfId="0" applyFont="1" applyFill="1" applyBorder="1" applyAlignment="1">
      <alignment horizontal="center" vertical="center" wrapText="1"/>
    </xf>
    <xf numFmtId="0" fontId="4" fillId="6" borderId="19" xfId="0" applyFont="1" applyFill="1" applyBorder="1" applyAlignment="1">
      <alignment horizontal="center" vertical="center" wrapText="1"/>
    </xf>
    <xf numFmtId="0" fontId="1" fillId="6" borderId="6" xfId="0" applyFont="1" applyFill="1" applyBorder="1" applyAlignment="1">
      <alignment horizontal="center" vertical="center"/>
    </xf>
    <xf numFmtId="0" fontId="3" fillId="9" borderId="6" xfId="0" applyFont="1" applyFill="1" applyBorder="1" applyAlignment="1">
      <alignment horizontal="center" vertical="center" wrapText="1" readingOrder="1"/>
    </xf>
    <xf numFmtId="0" fontId="0" fillId="9" borderId="6" xfId="0" applyFill="1" applyBorder="1" applyAlignment="1">
      <alignment horizontal="center" vertical="center"/>
    </xf>
    <xf numFmtId="0" fontId="2" fillId="10" borderId="6" xfId="0" applyFont="1" applyFill="1" applyBorder="1" applyAlignment="1">
      <alignment horizontal="center" vertical="center" wrapText="1" readingOrder="1"/>
    </xf>
    <xf numFmtId="0" fontId="3" fillId="10" borderId="6" xfId="0" applyFont="1" applyFill="1" applyBorder="1" applyAlignment="1">
      <alignment horizontal="center" vertical="center" wrapText="1" readingOrder="1"/>
    </xf>
    <xf numFmtId="0" fontId="1" fillId="9" borderId="6" xfId="0" applyFont="1" applyFill="1" applyBorder="1" applyAlignment="1">
      <alignment horizontal="center" vertical="center"/>
    </xf>
    <xf numFmtId="182" fontId="0" fillId="9" borderId="6" xfId="0" applyNumberFormat="1" applyFill="1" applyBorder="1" applyAlignment="1">
      <alignment horizontal="center" vertical="center"/>
    </xf>
    <xf numFmtId="0" fontId="2" fillId="9" borderId="6" xfId="0" applyFont="1" applyFill="1" applyBorder="1" applyAlignment="1">
      <alignment horizontal="center" vertical="center" wrapText="1" readingOrder="1"/>
    </xf>
    <xf numFmtId="182" fontId="1" fillId="9" borderId="6" xfId="0" applyNumberFormat="1" applyFont="1" applyFill="1" applyBorder="1" applyAlignment="1">
      <alignment horizontal="center" vertical="center"/>
    </xf>
    <xf numFmtId="0" fontId="0" fillId="11" borderId="6" xfId="0" applyFill="1" applyBorder="1" applyAlignment="1">
      <alignment horizontal="center" vertical="center"/>
    </xf>
    <xf numFmtId="0" fontId="2" fillId="12" borderId="6" xfId="0" applyFont="1" applyFill="1" applyBorder="1" applyAlignment="1">
      <alignment horizontal="center" vertical="center" wrapText="1" readingOrder="1"/>
    </xf>
    <xf numFmtId="49" fontId="5" fillId="13" borderId="20" xfId="0" applyNumberFormat="1" applyFont="1" applyFill="1" applyBorder="1" applyAlignment="1">
      <alignment horizontal="center" vertical="center"/>
    </xf>
    <xf numFmtId="183" fontId="5" fillId="13" borderId="20" xfId="0" applyNumberFormat="1" applyFont="1" applyFill="1" applyBorder="1" applyAlignment="1">
      <alignment horizontal="center" vertical="center"/>
    </xf>
    <xf numFmtId="184" fontId="5" fillId="13" borderId="20" xfId="0" applyNumberFormat="1" applyFont="1" applyFill="1" applyBorder="1" applyAlignment="1">
      <alignment horizontal="center" vertical="center"/>
    </xf>
    <xf numFmtId="0" fontId="2" fillId="14" borderId="20" xfId="0" applyFont="1" applyFill="1" applyBorder="1" applyAlignment="1">
      <alignment horizontal="center" vertical="center"/>
    </xf>
    <xf numFmtId="0" fontId="2" fillId="15" borderId="20" xfId="0" applyFont="1" applyFill="1" applyBorder="1" applyAlignment="1">
      <alignment horizontal="center" vertical="center" wrapText="1"/>
    </xf>
    <xf numFmtId="49" fontId="3" fillId="5" borderId="21" xfId="0" applyNumberFormat="1" applyFont="1" applyFill="1" applyBorder="1" applyAlignment="1">
      <alignment horizontal="center" vertical="center"/>
    </xf>
    <xf numFmtId="183" fontId="3" fillId="5" borderId="21" xfId="1" applyNumberFormat="1" applyFont="1" applyFill="1" applyBorder="1" applyAlignment="1">
      <alignment horizontal="center" vertical="center"/>
    </xf>
    <xf numFmtId="184" fontId="3" fillId="5" borderId="21" xfId="0" applyNumberFormat="1" applyFont="1" applyFill="1" applyBorder="1" applyAlignment="1">
      <alignment horizontal="center" vertical="center"/>
    </xf>
    <xf numFmtId="0" fontId="3" fillId="5" borderId="21" xfId="0" applyFont="1" applyFill="1" applyBorder="1" applyAlignment="1">
      <alignment horizontal="center" vertical="center"/>
    </xf>
    <xf numFmtId="0" fontId="2" fillId="6" borderId="20" xfId="0" applyFont="1" applyFill="1" applyBorder="1" applyAlignment="1">
      <alignment horizontal="center" vertical="center"/>
    </xf>
    <xf numFmtId="0" fontId="2" fillId="15" borderId="22" xfId="0" applyFont="1" applyFill="1" applyBorder="1" applyAlignment="1">
      <alignment horizontal="center" vertical="center" wrapText="1"/>
    </xf>
    <xf numFmtId="0" fontId="2" fillId="15" borderId="23" xfId="0" applyFont="1" applyFill="1" applyBorder="1" applyAlignment="1">
      <alignment horizontal="center" vertical="center" wrapText="1"/>
    </xf>
    <xf numFmtId="49" fontId="3" fillId="5" borderId="7" xfId="0" applyNumberFormat="1" applyFont="1" applyFill="1" applyBorder="1" applyAlignment="1">
      <alignment horizontal="center" vertical="center"/>
    </xf>
    <xf numFmtId="183" fontId="3" fillId="5" borderId="7" xfId="1" applyNumberFormat="1" applyFont="1" applyFill="1" applyBorder="1" applyAlignment="1">
      <alignment horizontal="center" vertical="center"/>
    </xf>
    <xf numFmtId="184" fontId="3" fillId="5" borderId="7" xfId="0" applyNumberFormat="1" applyFont="1" applyFill="1" applyBorder="1" applyAlignment="1">
      <alignment horizontal="center" vertical="center"/>
    </xf>
    <xf numFmtId="0" fontId="3" fillId="5" borderId="7" xfId="0" applyFont="1" applyFill="1" applyBorder="1" applyAlignment="1">
      <alignment horizontal="center" vertical="center"/>
    </xf>
    <xf numFmtId="0" fontId="2" fillId="11" borderId="22" xfId="0" applyFont="1" applyFill="1" applyBorder="1" applyAlignment="1">
      <alignment horizontal="center" vertical="center" wrapText="1"/>
    </xf>
    <xf numFmtId="0" fontId="2" fillId="11" borderId="23" xfId="0" applyFont="1" applyFill="1" applyBorder="1" applyAlignment="1">
      <alignment horizontal="center" vertical="center" wrapText="1"/>
    </xf>
    <xf numFmtId="0" fontId="2" fillId="11" borderId="20" xfId="0" applyFont="1" applyFill="1" applyBorder="1" applyAlignment="1">
      <alignment horizontal="center" vertical="center" wrapText="1"/>
    </xf>
    <xf numFmtId="49" fontId="5" fillId="13" borderId="24" xfId="0" applyNumberFormat="1" applyFont="1" applyFill="1" applyBorder="1" applyAlignment="1">
      <alignment horizontal="center" vertical="center"/>
    </xf>
    <xf numFmtId="49" fontId="0" fillId="0" borderId="7" xfId="0" applyNumberFormat="1" applyBorder="1" applyAlignment="1">
      <alignment horizontal="center" vertical="center"/>
    </xf>
    <xf numFmtId="0" fontId="0" fillId="3" borderId="7" xfId="0" applyFill="1" applyBorder="1" applyAlignment="1">
      <alignment horizontal="center" vertical="center" wrapText="1"/>
    </xf>
    <xf numFmtId="183" fontId="5" fillId="13" borderId="24" xfId="0" applyNumberFormat="1" applyFont="1" applyFill="1" applyBorder="1" applyAlignment="1">
      <alignment horizontal="center" vertical="center"/>
    </xf>
    <xf numFmtId="183" fontId="0" fillId="0" borderId="7" xfId="0" applyNumberFormat="1" applyBorder="1" applyAlignment="1">
      <alignment horizontal="center" vertical="center"/>
    </xf>
    <xf numFmtId="184" fontId="5" fillId="13" borderId="24" xfId="0" applyNumberFormat="1" applyFont="1" applyFill="1" applyBorder="1" applyAlignment="1">
      <alignment horizontal="center" vertical="center"/>
    </xf>
    <xf numFmtId="180" fontId="0" fillId="0" borderId="7" xfId="0" applyNumberFormat="1" applyBorder="1" applyAlignment="1">
      <alignment horizontal="center" vertical="center"/>
    </xf>
    <xf numFmtId="0" fontId="0" fillId="0" borderId="7" xfId="0" applyBorder="1" applyAlignment="1">
      <alignment horizontal="center" vertical="center"/>
    </xf>
    <xf numFmtId="0" fontId="0" fillId="0" borderId="25" xfId="0" applyBorder="1">
      <alignment vertical="center"/>
    </xf>
    <xf numFmtId="184" fontId="5" fillId="13" borderId="26" xfId="0" applyNumberFormat="1" applyFont="1" applyFill="1" applyBorder="1" applyAlignment="1">
      <alignment horizontal="center" vertical="center"/>
    </xf>
    <xf numFmtId="0" fontId="2" fillId="15" borderId="7" xfId="0" applyFont="1" applyFill="1" applyBorder="1" applyAlignment="1">
      <alignment horizontal="center" vertical="center" wrapText="1"/>
    </xf>
    <xf numFmtId="0" fontId="3" fillId="5" borderId="27" xfId="0" applyFont="1" applyFill="1" applyBorder="1" applyAlignment="1">
      <alignment horizontal="center" vertical="center"/>
    </xf>
    <xf numFmtId="0" fontId="0" fillId="3" borderId="7" xfId="0" applyFill="1" applyBorder="1" applyAlignment="1">
      <alignment horizontal="center" vertical="center"/>
    </xf>
    <xf numFmtId="0" fontId="2" fillId="11" borderId="7" xfId="0" applyFont="1" applyFill="1" applyBorder="1" applyAlignment="1">
      <alignment horizontal="center" vertical="center" wrapText="1"/>
    </xf>
    <xf numFmtId="49" fontId="5" fillId="13" borderId="7" xfId="0" applyNumberFormat="1" applyFont="1" applyFill="1" applyBorder="1" applyAlignment="1">
      <alignment horizontal="center" vertical="center"/>
    </xf>
    <xf numFmtId="183" fontId="5" fillId="13" borderId="7" xfId="0" applyNumberFormat="1" applyFont="1" applyFill="1" applyBorder="1" applyAlignment="1">
      <alignment horizontal="center" vertical="center"/>
    </xf>
    <xf numFmtId="184" fontId="5" fillId="13" borderId="7" xfId="0" applyNumberFormat="1" applyFont="1" applyFill="1" applyBorder="1" applyAlignment="1">
      <alignment horizontal="center" vertical="center"/>
    </xf>
    <xf numFmtId="0" fontId="0" fillId="0" borderId="0" xfId="0" applyAlignment="1">
      <alignment horizontal="center" vertical="center"/>
    </xf>
    <xf numFmtId="183" fontId="0" fillId="0" borderId="0" xfId="0" applyNumberFormat="1" applyAlignment="1">
      <alignment horizontal="center" vertical="center"/>
    </xf>
    <xf numFmtId="180" fontId="0" fillId="0" borderId="0" xfId="0" applyNumberFormat="1" applyAlignment="1">
      <alignment horizontal="center" vertical="center"/>
    </xf>
    <xf numFmtId="0" fontId="6" fillId="6" borderId="7" xfId="0" applyFont="1" applyFill="1" applyBorder="1" applyAlignment="1">
      <alignment horizontal="center" vertical="center" wrapText="1"/>
    </xf>
    <xf numFmtId="0" fontId="0" fillId="3" borderId="28" xfId="0" applyFill="1" applyBorder="1" applyAlignment="1">
      <alignment horizontal="center" vertical="center" wrapText="1"/>
    </xf>
    <xf numFmtId="0" fontId="0" fillId="0" borderId="0" xfId="0" applyAlignment="1">
      <alignment vertical="center" wrapText="1"/>
    </xf>
    <xf numFmtId="0" fontId="1" fillId="6" borderId="7" xfId="0" applyFont="1" applyFill="1" applyBorder="1" applyAlignment="1">
      <alignment horizontal="center" vertical="center" wrapText="1"/>
    </xf>
    <xf numFmtId="0" fontId="1" fillId="5" borderId="7" xfId="0" applyFont="1" applyFill="1" applyBorder="1" applyAlignment="1">
      <alignment horizontal="center" vertical="center"/>
    </xf>
    <xf numFmtId="185" fontId="0" fillId="0" borderId="7" xfId="0" applyNumberFormat="1" applyBorder="1" applyAlignment="1">
      <alignment horizontal="center" vertical="center"/>
    </xf>
    <xf numFmtId="49" fontId="5" fillId="13" borderId="26" xfId="0" applyNumberFormat="1" applyFont="1" applyFill="1" applyBorder="1" applyAlignment="1">
      <alignment horizontal="center" vertical="center"/>
    </xf>
    <xf numFmtId="186" fontId="0" fillId="0" borderId="7" xfId="0" applyNumberFormat="1" applyBorder="1" applyAlignment="1">
      <alignment horizontal="center" vertical="center"/>
    </xf>
    <xf numFmtId="0" fontId="0" fillId="0" borderId="29" xfId="0" applyBorder="1">
      <alignment vertical="center"/>
    </xf>
    <xf numFmtId="0" fontId="7" fillId="6" borderId="0" xfId="0" applyFont="1" applyFill="1" applyAlignment="1">
      <alignment horizontal="center" vertical="center"/>
    </xf>
    <xf numFmtId="0" fontId="7" fillId="6" borderId="30" xfId="0" applyFont="1" applyFill="1" applyBorder="1" applyAlignment="1">
      <alignment horizontal="center" vertical="center"/>
    </xf>
    <xf numFmtId="0" fontId="0" fillId="0" borderId="31" xfId="0" applyBorder="1">
      <alignment vertical="center"/>
    </xf>
    <xf numFmtId="0" fontId="7" fillId="6" borderId="31" xfId="0" applyFont="1" applyFill="1" applyBorder="1" applyAlignment="1">
      <alignment horizontal="center" vertical="center"/>
    </xf>
    <xf numFmtId="0" fontId="7" fillId="6" borderId="29" xfId="0" applyFont="1" applyFill="1" applyBorder="1" applyAlignment="1">
      <alignment horizontal="center" vertical="center"/>
    </xf>
    <xf numFmtId="0" fontId="4" fillId="16" borderId="32" xfId="0" applyFont="1" applyFill="1" applyBorder="1" applyAlignment="1">
      <alignment horizontal="center" vertical="center"/>
    </xf>
    <xf numFmtId="0" fontId="4" fillId="16" borderId="33" xfId="0" applyFont="1" applyFill="1" applyBorder="1" applyAlignment="1">
      <alignment horizontal="center" vertical="center"/>
    </xf>
    <xf numFmtId="0" fontId="3" fillId="5" borderId="28" xfId="0" applyFont="1" applyFill="1" applyBorder="1" applyAlignment="1">
      <alignment horizontal="center" vertical="center"/>
    </xf>
    <xf numFmtId="0" fontId="4" fillId="16" borderId="31" xfId="0" applyFont="1" applyFill="1" applyBorder="1" applyAlignment="1">
      <alignment horizontal="center" vertical="center"/>
    </xf>
    <xf numFmtId="0" fontId="0" fillId="0" borderId="30" xfId="0" applyBorder="1">
      <alignment vertical="center"/>
    </xf>
    <xf numFmtId="0" fontId="1" fillId="16" borderId="20" xfId="0" applyFont="1" applyFill="1" applyBorder="1" applyAlignment="1">
      <alignment horizontal="center" vertical="center" wrapText="1"/>
    </xf>
    <xf numFmtId="0" fontId="7" fillId="6" borderId="20" xfId="0" applyFont="1" applyFill="1" applyBorder="1" applyAlignment="1">
      <alignment horizontal="center" vertical="center"/>
    </xf>
    <xf numFmtId="0" fontId="4" fillId="16" borderId="32" xfId="0" applyFont="1" applyFill="1" applyBorder="1" applyAlignment="1">
      <alignment horizontal="center" vertical="center" wrapText="1"/>
    </xf>
    <xf numFmtId="0" fontId="4" fillId="16" borderId="33" xfId="0" applyFont="1" applyFill="1" applyBorder="1" applyAlignment="1">
      <alignment horizontal="center" vertical="center" wrapText="1"/>
    </xf>
    <xf numFmtId="0" fontId="4" fillId="16" borderId="31" xfId="0" applyFont="1" applyFill="1" applyBorder="1" applyAlignment="1">
      <alignment horizontal="center" vertical="center" wrapText="1"/>
    </xf>
    <xf numFmtId="0" fontId="0" fillId="0" borderId="30" xfId="0" applyBorder="1" applyAlignment="1">
      <alignment vertical="center"/>
    </xf>
    <xf numFmtId="49" fontId="5" fillId="17" borderId="26" xfId="0" applyNumberFormat="1" applyFont="1" applyFill="1" applyBorder="1" applyAlignment="1">
      <alignment horizontal="center" vertical="center"/>
    </xf>
    <xf numFmtId="0" fontId="1" fillId="0" borderId="20" xfId="0" applyFont="1" applyBorder="1" applyAlignment="1">
      <alignment horizontal="center" vertical="center"/>
    </xf>
    <xf numFmtId="183" fontId="5" fillId="17" borderId="26" xfId="0" applyNumberFormat="1" applyFont="1" applyFill="1" applyBorder="1" applyAlignment="1">
      <alignment horizontal="center" vertical="center"/>
    </xf>
    <xf numFmtId="184" fontId="5" fillId="17" borderId="26" xfId="0" applyNumberFormat="1" applyFont="1" applyFill="1" applyBorder="1" applyAlignment="1">
      <alignment horizontal="center" vertical="center"/>
    </xf>
    <xf numFmtId="0" fontId="8" fillId="6" borderId="20" xfId="0" applyFont="1" applyFill="1" applyBorder="1" applyAlignment="1">
      <alignment horizontal="center" vertical="center" wrapText="1" readingOrder="1"/>
    </xf>
    <xf numFmtId="0" fontId="9" fillId="3" borderId="20" xfId="0" applyFont="1" applyFill="1" applyBorder="1" applyAlignment="1">
      <alignment horizontal="center" vertical="center" wrapText="1" readingOrder="1"/>
    </xf>
    <xf numFmtId="0" fontId="10" fillId="9" borderId="20" xfId="0" applyFont="1" applyFill="1" applyBorder="1" applyAlignment="1">
      <alignment horizontal="center" vertical="center" wrapText="1" readingOrder="1"/>
    </xf>
    <xf numFmtId="0" fontId="11" fillId="6" borderId="20" xfId="0" applyFont="1" applyFill="1" applyBorder="1" applyAlignment="1">
      <alignment horizontal="center" vertical="center" wrapText="1" readingOrder="1"/>
    </xf>
    <xf numFmtId="0" fontId="12" fillId="14" borderId="20" xfId="0" applyFont="1" applyFill="1" applyBorder="1" applyAlignment="1">
      <alignment horizontal="center" vertical="center" wrapText="1" readingOrder="1"/>
    </xf>
    <xf numFmtId="0" fontId="11" fillId="0" borderId="20" xfId="0" applyFont="1" applyBorder="1" applyAlignment="1">
      <alignment horizontal="center" vertical="center" wrapText="1" readingOrder="1"/>
    </xf>
    <xf numFmtId="0" fontId="1" fillId="3" borderId="20"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 fillId="18" borderId="8" xfId="0" applyFont="1" applyFill="1" applyBorder="1" applyAlignment="1">
      <alignment horizontal="center" vertical="center"/>
    </xf>
    <xf numFmtId="183" fontId="1" fillId="6" borderId="8" xfId="0" applyNumberFormat="1" applyFont="1" applyFill="1" applyBorder="1" applyAlignment="1">
      <alignment horizontal="center" vertical="center"/>
    </xf>
    <xf numFmtId="180" fontId="1" fillId="6" borderId="8" xfId="0" applyNumberFormat="1" applyFont="1" applyFill="1" applyBorder="1" applyAlignment="1">
      <alignment horizontal="center" vertical="center"/>
    </xf>
    <xf numFmtId="0" fontId="1" fillId="6" borderId="34" xfId="0" applyFont="1" applyFill="1" applyBorder="1" applyAlignment="1">
      <alignment horizontal="center" vertical="center"/>
    </xf>
    <xf numFmtId="0" fontId="1" fillId="6" borderId="29" xfId="0" applyFont="1" applyFill="1" applyBorder="1" applyAlignment="1">
      <alignment horizontal="center" vertical="center"/>
    </xf>
    <xf numFmtId="0" fontId="1" fillId="6" borderId="35" xfId="0" applyFont="1" applyFill="1" applyBorder="1" applyAlignment="1">
      <alignment horizontal="center" vertical="center"/>
    </xf>
    <xf numFmtId="0" fontId="1" fillId="6" borderId="36" xfId="0" applyFont="1" applyFill="1" applyBorder="1" applyAlignment="1">
      <alignment horizontal="center" vertical="center"/>
    </xf>
    <xf numFmtId="0" fontId="1" fillId="6" borderId="37" xfId="0" applyFont="1" applyFill="1" applyBorder="1" applyAlignment="1">
      <alignment horizontal="center" vertical="center"/>
    </xf>
    <xf numFmtId="0" fontId="1" fillId="6" borderId="38" xfId="0" applyFont="1" applyFill="1" applyBorder="1" applyAlignment="1">
      <alignment horizontal="center" vertical="center"/>
    </xf>
    <xf numFmtId="0" fontId="1" fillId="0" borderId="39" xfId="0" applyFont="1" applyBorder="1" applyAlignment="1">
      <alignment horizontal="center" vertical="center"/>
    </xf>
    <xf numFmtId="0" fontId="1" fillId="0" borderId="40" xfId="0" applyFont="1" applyBorder="1" applyAlignment="1">
      <alignment horizontal="center" vertical="center"/>
    </xf>
    <xf numFmtId="0" fontId="1" fillId="0" borderId="41" xfId="0" applyFont="1" applyBorder="1" applyAlignment="1">
      <alignment horizontal="center" vertical="center"/>
    </xf>
    <xf numFmtId="0" fontId="1" fillId="0" borderId="42" xfId="0" applyFont="1" applyBorder="1" applyAlignment="1">
      <alignment horizontal="center" vertical="center"/>
    </xf>
    <xf numFmtId="0" fontId="0" fillId="0" borderId="43" xfId="0" applyFont="1" applyBorder="1" applyAlignment="1">
      <alignment horizontal="center" vertical="center"/>
    </xf>
    <xf numFmtId="0" fontId="0" fillId="0" borderId="44" xfId="0" applyFont="1" applyBorder="1" applyAlignment="1">
      <alignment horizontal="center" vertical="center"/>
    </xf>
    <xf numFmtId="0" fontId="0" fillId="0" borderId="45" xfId="0" applyFont="1" applyBorder="1" applyAlignment="1">
      <alignment horizontal="center" vertical="center"/>
    </xf>
    <xf numFmtId="0" fontId="0" fillId="0" borderId="46" xfId="0" applyFont="1" applyBorder="1" applyAlignment="1">
      <alignment horizontal="center" vertical="center"/>
    </xf>
    <xf numFmtId="0" fontId="4" fillId="16" borderId="20" xfId="0" applyFont="1" applyFill="1" applyBorder="1" applyAlignment="1">
      <alignment horizontal="center" vertical="center" wrapText="1"/>
    </xf>
    <xf numFmtId="0" fontId="0" fillId="0" borderId="8" xfId="0" applyFont="1" applyBorder="1" applyAlignment="1">
      <alignment horizontal="center" vertical="center"/>
    </xf>
    <xf numFmtId="0" fontId="0" fillId="0" borderId="47" xfId="0" applyFont="1" applyBorder="1" applyAlignment="1">
      <alignment horizontal="center" vertical="center"/>
    </xf>
    <xf numFmtId="0" fontId="0" fillId="0" borderId="48" xfId="0" applyFont="1" applyBorder="1" applyAlignment="1">
      <alignment horizontal="center" vertical="center"/>
    </xf>
    <xf numFmtId="0" fontId="0" fillId="0" borderId="49" xfId="0" applyFont="1" applyBorder="1" applyAlignment="1">
      <alignment horizontal="center" vertical="center"/>
    </xf>
    <xf numFmtId="0" fontId="0" fillId="0" borderId="50" xfId="0" applyFont="1" applyBorder="1" applyAlignment="1">
      <alignment horizontal="center" vertical="center"/>
    </xf>
    <xf numFmtId="0" fontId="0" fillId="0" borderId="51" xfId="0" applyFont="1" applyBorder="1" applyAlignment="1">
      <alignment horizontal="center" vertical="center"/>
    </xf>
    <xf numFmtId="0" fontId="0" fillId="0" borderId="52" xfId="0" applyFont="1" applyBorder="1" applyAlignment="1">
      <alignment horizontal="center" vertical="center"/>
    </xf>
    <xf numFmtId="0" fontId="0" fillId="0" borderId="53" xfId="0" applyFont="1" applyBorder="1" applyAlignment="1">
      <alignment horizontal="center" vertical="center"/>
    </xf>
    <xf numFmtId="0" fontId="4" fillId="6" borderId="20" xfId="0" applyFont="1" applyFill="1" applyBorder="1" applyAlignment="1">
      <alignment horizontal="center" vertical="center"/>
    </xf>
    <xf numFmtId="0" fontId="4" fillId="9" borderId="20" xfId="0" applyFont="1" applyFill="1" applyBorder="1" applyAlignment="1">
      <alignment horizontal="center" vertical="center"/>
    </xf>
    <xf numFmtId="49" fontId="5" fillId="10" borderId="24" xfId="0" applyNumberFormat="1" applyFont="1" applyFill="1" applyBorder="1" applyAlignment="1">
      <alignment horizontal="center" vertical="center"/>
    </xf>
    <xf numFmtId="183" fontId="5" fillId="10" borderId="24" xfId="0" applyNumberFormat="1" applyFont="1" applyFill="1" applyBorder="1" applyAlignment="1">
      <alignment horizontal="center" vertical="center"/>
    </xf>
    <xf numFmtId="184" fontId="5" fillId="10" borderId="24" xfId="0" applyNumberFormat="1" applyFont="1" applyFill="1" applyBorder="1" applyAlignment="1">
      <alignment horizontal="center" vertical="center"/>
    </xf>
    <xf numFmtId="184" fontId="5" fillId="10" borderId="28" xfId="0" applyNumberFormat="1" applyFont="1" applyFill="1" applyBorder="1" applyAlignment="1">
      <alignment horizontal="center" vertical="center"/>
    </xf>
    <xf numFmtId="0" fontId="14" fillId="15" borderId="6" xfId="0" applyFont="1" applyFill="1" applyBorder="1" applyAlignment="1">
      <alignment horizontal="center" vertical="center"/>
    </xf>
    <xf numFmtId="49" fontId="5" fillId="10" borderId="54" xfId="0" applyNumberFormat="1" applyFont="1" applyFill="1" applyBorder="1" applyAlignment="1">
      <alignment horizontal="center" vertical="center"/>
    </xf>
    <xf numFmtId="185" fontId="5" fillId="10" borderId="24" xfId="0" applyNumberFormat="1" applyFont="1" applyFill="1" applyBorder="1" applyAlignment="1">
      <alignment horizontal="center" vertical="center"/>
    </xf>
    <xf numFmtId="0" fontId="15" fillId="19" borderId="7" xfId="0" applyFont="1" applyFill="1" applyBorder="1" applyAlignment="1">
      <alignment horizontal="center" vertical="center" wrapText="1"/>
    </xf>
    <xf numFmtId="49" fontId="3" fillId="4" borderId="7" xfId="0" applyNumberFormat="1" applyFont="1" applyFill="1" applyBorder="1" applyAlignment="1">
      <alignment horizontal="center" vertical="center"/>
    </xf>
    <xf numFmtId="183" fontId="3" fillId="4" borderId="7" xfId="1" applyNumberFormat="1" applyFont="1" applyFill="1" applyBorder="1" applyAlignment="1">
      <alignment horizontal="center" vertical="center"/>
    </xf>
    <xf numFmtId="184" fontId="3" fillId="4" borderId="7" xfId="0" applyNumberFormat="1" applyFont="1" applyFill="1" applyBorder="1" applyAlignment="1">
      <alignment horizontal="center" vertical="center"/>
    </xf>
    <xf numFmtId="0" fontId="3" fillId="4" borderId="7" xfId="0" applyFont="1" applyFill="1" applyBorder="1" applyAlignment="1">
      <alignment horizontal="center" vertical="center"/>
    </xf>
    <xf numFmtId="0" fontId="3" fillId="4" borderId="28" xfId="0" applyFont="1" applyFill="1" applyBorder="1" applyAlignment="1">
      <alignment horizontal="center" vertical="center"/>
    </xf>
    <xf numFmtId="0" fontId="2" fillId="6" borderId="55" xfId="0" applyFont="1" applyFill="1" applyBorder="1">
      <alignment vertical="center"/>
    </xf>
    <xf numFmtId="0" fontId="16" fillId="13" borderId="55" xfId="0" applyFont="1" applyFill="1" applyBorder="1" applyAlignment="1">
      <alignment horizontal="center" vertical="center" wrapText="1"/>
    </xf>
    <xf numFmtId="185" fontId="0" fillId="0" borderId="6" xfId="0" applyNumberFormat="1" applyBorder="1" applyAlignment="1">
      <alignment horizontal="center" vertical="center"/>
    </xf>
    <xf numFmtId="184" fontId="0" fillId="0" borderId="6" xfId="0" applyNumberFormat="1" applyBorder="1" applyAlignment="1">
      <alignment horizontal="center" vertical="center"/>
    </xf>
    <xf numFmtId="0" fontId="2" fillId="20" borderId="7" xfId="0" applyFont="1" applyFill="1" applyBorder="1" applyAlignment="1">
      <alignment horizontal="center" vertical="center" wrapText="1"/>
    </xf>
    <xf numFmtId="185" fontId="0" fillId="0" borderId="0" xfId="0" applyNumberFormat="1">
      <alignment vertical="center"/>
    </xf>
    <xf numFmtId="184" fontId="0" fillId="0" borderId="0" xfId="0" applyNumberFormat="1">
      <alignment vertical="center"/>
    </xf>
    <xf numFmtId="0" fontId="2" fillId="6" borderId="6" xfId="0" applyFont="1" applyFill="1" applyBorder="1">
      <alignment vertical="center"/>
    </xf>
    <xf numFmtId="0" fontId="16" fillId="13" borderId="6" xfId="0" applyFont="1" applyFill="1" applyBorder="1" applyAlignment="1">
      <alignment horizontal="center" vertical="center" wrapText="1"/>
    </xf>
    <xf numFmtId="187" fontId="0" fillId="0" borderId="6" xfId="0" applyNumberFormat="1" applyBorder="1" applyAlignment="1">
      <alignment horizontal="center" vertical="center"/>
    </xf>
    <xf numFmtId="184" fontId="5" fillId="10" borderId="56" xfId="0" applyNumberFormat="1" applyFont="1" applyFill="1" applyBorder="1" applyAlignment="1">
      <alignment horizontal="center" vertical="center"/>
    </xf>
    <xf numFmtId="0" fontId="3" fillId="4" borderId="21" xfId="0" applyFont="1" applyFill="1" applyBorder="1" applyAlignment="1">
      <alignment horizontal="center" vertical="center"/>
    </xf>
    <xf numFmtId="0" fontId="17" fillId="15" borderId="6" xfId="0" applyFont="1" applyFill="1" applyBorder="1" applyAlignment="1">
      <alignment horizontal="center" vertical="center"/>
    </xf>
    <xf numFmtId="0" fontId="1" fillId="11" borderId="6" xfId="0" applyFont="1" applyFill="1" applyBorder="1" applyAlignment="1">
      <alignment horizontal="center" vertical="center" textRotation="90"/>
    </xf>
    <xf numFmtId="0" fontId="1" fillId="11" borderId="6" xfId="0" applyFont="1" applyFill="1" applyBorder="1" applyAlignment="1">
      <alignment horizontal="center" vertical="center"/>
    </xf>
    <xf numFmtId="0" fontId="1" fillId="11" borderId="9" xfId="0" applyFont="1" applyFill="1" applyBorder="1" applyAlignment="1">
      <alignment horizontal="center" vertical="center"/>
    </xf>
    <xf numFmtId="0" fontId="3" fillId="4" borderId="9" xfId="0" applyFont="1" applyFill="1" applyBorder="1" applyAlignment="1">
      <alignment horizontal="center" vertical="center"/>
    </xf>
    <xf numFmtId="0" fontId="18" fillId="21" borderId="9" xfId="0" applyFont="1" applyFill="1" applyBorder="1" applyAlignment="1">
      <alignment horizontal="center" vertical="center" wrapText="1"/>
    </xf>
    <xf numFmtId="183" fontId="0" fillId="3" borderId="6" xfId="0" applyNumberFormat="1" applyFont="1" applyFill="1" applyBorder="1" applyAlignment="1">
      <alignment horizontal="center" vertical="center"/>
    </xf>
    <xf numFmtId="184" fontId="0" fillId="3" borderId="6" xfId="0" applyNumberFormat="1" applyFont="1" applyFill="1" applyBorder="1" applyAlignment="1">
      <alignment horizontal="center" vertical="center"/>
    </xf>
    <xf numFmtId="0" fontId="0" fillId="3" borderId="6" xfId="0" applyFont="1" applyFill="1" applyBorder="1" applyAlignment="1">
      <alignment horizontal="center" vertical="center"/>
    </xf>
    <xf numFmtId="185" fontId="0" fillId="3" borderId="6" xfId="0" applyNumberFormat="1" applyFont="1" applyFill="1" applyBorder="1" applyAlignment="1">
      <alignment horizontal="center" vertical="center"/>
    </xf>
    <xf numFmtId="0" fontId="3" fillId="4" borderId="27" xfId="0" applyFont="1" applyFill="1" applyBorder="1" applyAlignment="1">
      <alignment horizontal="center" vertical="center"/>
    </xf>
    <xf numFmtId="0" fontId="0" fillId="11" borderId="6" xfId="0" applyFont="1" applyFill="1" applyBorder="1" applyAlignment="1">
      <alignment horizontal="center" vertical="center"/>
    </xf>
    <xf numFmtId="0" fontId="0" fillId="9" borderId="6" xfId="0" applyFont="1" applyFill="1" applyBorder="1" applyAlignment="1">
      <alignment horizontal="center" vertical="center"/>
    </xf>
    <xf numFmtId="0" fontId="0" fillId="17" borderId="6" xfId="0" applyFont="1" applyFill="1" applyBorder="1" applyAlignment="1">
      <alignment horizontal="center" vertical="center"/>
    </xf>
    <xf numFmtId="181" fontId="0" fillId="0" borderId="0" xfId="0" applyNumberFormat="1">
      <alignment vertical="center"/>
    </xf>
    <xf numFmtId="188" fontId="0" fillId="0" borderId="0" xfId="0" applyNumberFormat="1">
      <alignment vertical="center"/>
    </xf>
    <xf numFmtId="49" fontId="5" fillId="19" borderId="24" xfId="0" applyNumberFormat="1" applyFont="1" applyFill="1" applyBorder="1" applyAlignment="1">
      <alignment horizontal="center" vertical="center"/>
    </xf>
    <xf numFmtId="183" fontId="5" fillId="19" borderId="24" xfId="0" applyNumberFormat="1" applyFont="1" applyFill="1" applyBorder="1" applyAlignment="1">
      <alignment horizontal="center" vertical="center"/>
    </xf>
    <xf numFmtId="184" fontId="5" fillId="19" borderId="24" xfId="0" applyNumberFormat="1" applyFont="1" applyFill="1" applyBorder="1" applyAlignment="1">
      <alignment horizontal="center" vertical="center"/>
    </xf>
    <xf numFmtId="181" fontId="5" fillId="19" borderId="24" xfId="0" applyNumberFormat="1" applyFont="1" applyFill="1" applyBorder="1" applyAlignment="1">
      <alignment horizontal="center" vertical="center"/>
    </xf>
    <xf numFmtId="188" fontId="5" fillId="22" borderId="24" xfId="0" applyNumberFormat="1" applyFont="1" applyFill="1" applyBorder="1" applyAlignment="1">
      <alignment horizontal="center" vertical="center"/>
    </xf>
    <xf numFmtId="0" fontId="2" fillId="16" borderId="7" xfId="0" applyFont="1" applyFill="1" applyBorder="1" applyAlignment="1">
      <alignment horizontal="center" vertical="center" wrapText="1"/>
    </xf>
    <xf numFmtId="188" fontId="2" fillId="16" borderId="7" xfId="0" applyNumberFormat="1" applyFont="1" applyFill="1" applyBorder="1" applyAlignment="1">
      <alignment horizontal="center" vertical="center" wrapText="1"/>
    </xf>
    <xf numFmtId="0" fontId="2" fillId="16" borderId="28" xfId="0" applyFont="1" applyFill="1" applyBorder="1" applyAlignment="1">
      <alignment horizontal="center" vertical="center" wrapText="1"/>
    </xf>
    <xf numFmtId="0" fontId="2" fillId="23" borderId="7" xfId="0" applyFont="1" applyFill="1" applyBorder="1" applyAlignment="1">
      <alignment horizontal="center" vertical="center" wrapText="1"/>
    </xf>
    <xf numFmtId="182" fontId="0" fillId="9" borderId="7" xfId="0" applyNumberFormat="1" applyFill="1" applyBorder="1" applyAlignment="1">
      <alignment horizontal="center" vertical="center"/>
    </xf>
    <xf numFmtId="0" fontId="2" fillId="16" borderId="57" xfId="0" applyFont="1" applyFill="1" applyBorder="1" applyAlignment="1">
      <alignment horizontal="center" vertical="center" wrapText="1"/>
    </xf>
    <xf numFmtId="0" fontId="0" fillId="24" borderId="7" xfId="0" applyFill="1" applyBorder="1" applyAlignment="1">
      <alignment horizontal="center" vertical="center" wrapText="1"/>
    </xf>
    <xf numFmtId="188" fontId="2" fillId="15" borderId="7" xfId="0" applyNumberFormat="1" applyFont="1" applyFill="1" applyBorder="1" applyAlignment="1">
      <alignment horizontal="center" vertical="center" wrapText="1"/>
    </xf>
    <xf numFmtId="0" fontId="0" fillId="0" borderId="0" xfId="0" applyBorder="1">
      <alignment vertical="center"/>
    </xf>
    <xf numFmtId="188" fontId="19" fillId="6" borderId="7" xfId="0" applyNumberFormat="1" applyFont="1" applyFill="1" applyBorder="1" applyAlignment="1">
      <alignment horizontal="center" vertical="center"/>
    </xf>
    <xf numFmtId="188" fontId="19" fillId="9" borderId="7" xfId="0" applyNumberFormat="1" applyFont="1" applyFill="1" applyBorder="1" applyAlignment="1">
      <alignment horizontal="center" vertical="center"/>
    </xf>
    <xf numFmtId="0" fontId="20" fillId="0" borderId="0" xfId="0" applyFont="1">
      <alignment vertical="center"/>
    </xf>
    <xf numFmtId="0" fontId="0" fillId="0" borderId="0" xfId="0" applyNumberFormat="1">
      <alignment vertical="center"/>
    </xf>
    <xf numFmtId="0" fontId="5" fillId="22" borderId="24" xfId="0" applyNumberFormat="1" applyFont="1" applyFill="1" applyBorder="1" applyAlignment="1">
      <alignment horizontal="center" vertical="center"/>
    </xf>
    <xf numFmtId="0" fontId="2" fillId="6" borderId="7" xfId="0" applyFont="1" applyFill="1" applyBorder="1" applyAlignment="1">
      <alignment horizontal="center" vertical="center" wrapText="1"/>
    </xf>
    <xf numFmtId="0" fontId="3" fillId="3" borderId="7" xfId="0" applyNumberFormat="1" applyFont="1" applyFill="1" applyBorder="1" applyAlignment="1">
      <alignment horizontal="center" vertical="center"/>
    </xf>
    <xf numFmtId="0" fontId="2" fillId="4" borderId="7" xfId="0" applyFont="1" applyFill="1" applyBorder="1" applyAlignment="1">
      <alignment horizontal="center" vertical="center" wrapText="1"/>
    </xf>
    <xf numFmtId="0" fontId="2" fillId="15" borderId="57" xfId="0" applyFont="1" applyFill="1" applyBorder="1" applyAlignment="1">
      <alignment horizontal="center" vertical="center" wrapText="1"/>
    </xf>
    <xf numFmtId="0" fontId="2" fillId="15" borderId="28" xfId="0" applyFont="1" applyFill="1" applyBorder="1" applyAlignment="1">
      <alignment horizontal="center" vertical="center" wrapText="1"/>
    </xf>
    <xf numFmtId="0" fontId="2" fillId="14" borderId="7" xfId="0" applyFont="1" applyFill="1" applyBorder="1" applyAlignment="1">
      <alignment horizontal="center" vertical="center" wrapText="1"/>
    </xf>
    <xf numFmtId="0" fontId="2" fillId="14" borderId="28" xfId="0" applyFont="1" applyFill="1" applyBorder="1" applyAlignment="1">
      <alignment horizontal="center" vertical="center" wrapText="1"/>
    </xf>
    <xf numFmtId="0" fontId="2" fillId="16" borderId="8" xfId="0" applyFont="1" applyFill="1" applyBorder="1" applyAlignment="1">
      <alignment horizontal="center" vertical="center" wrapText="1"/>
    </xf>
    <xf numFmtId="0" fontId="3" fillId="3" borderId="58" xfId="0" applyNumberFormat="1" applyFont="1" applyFill="1" applyBorder="1" applyAlignment="1">
      <alignment horizontal="center" vertical="center"/>
    </xf>
    <xf numFmtId="0" fontId="2" fillId="14" borderId="57" xfId="0" applyFont="1" applyFill="1" applyBorder="1" applyAlignment="1">
      <alignment horizontal="center" vertical="center" wrapText="1"/>
    </xf>
    <xf numFmtId="0" fontId="2" fillId="10" borderId="8" xfId="0" applyFont="1" applyFill="1" applyBorder="1" applyAlignment="1">
      <alignment horizontal="center" vertical="center" wrapText="1"/>
    </xf>
    <xf numFmtId="0" fontId="3" fillId="3" borderId="55" xfId="0" applyNumberFormat="1" applyFont="1" applyFill="1" applyBorder="1" applyAlignment="1">
      <alignment horizontal="center" vertical="center"/>
    </xf>
    <xf numFmtId="0" fontId="2" fillId="11" borderId="57" xfId="0" applyFont="1" applyFill="1" applyBorder="1" applyAlignment="1">
      <alignment horizontal="center" vertical="center" wrapText="1"/>
    </xf>
    <xf numFmtId="0" fontId="2" fillId="11" borderId="28" xfId="0" applyFont="1" applyFill="1" applyBorder="1" applyAlignment="1">
      <alignment horizontal="center" vertical="center" wrapText="1"/>
    </xf>
    <xf numFmtId="183" fontId="0" fillId="0" borderId="0" xfId="0" applyNumberFormat="1">
      <alignment vertical="center"/>
    </xf>
    <xf numFmtId="49" fontId="5" fillId="22" borderId="24" xfId="0" applyNumberFormat="1" applyFont="1" applyFill="1" applyBorder="1" applyAlignment="1">
      <alignment horizontal="center" vertical="center"/>
    </xf>
    <xf numFmtId="183" fontId="5" fillId="22" borderId="56" xfId="0" applyNumberFormat="1" applyFont="1" applyFill="1" applyBorder="1" applyAlignment="1">
      <alignment horizontal="center" vertical="center"/>
    </xf>
    <xf numFmtId="49" fontId="3" fillId="3" borderId="7" xfId="0" applyNumberFormat="1" applyFont="1" applyFill="1" applyBorder="1" applyAlignment="1">
      <alignment horizontal="center" vertical="center"/>
    </xf>
    <xf numFmtId="183" fontId="3" fillId="3" borderId="28" xfId="0" applyNumberFormat="1" applyFont="1" applyFill="1" applyBorder="1" applyAlignment="1">
      <alignment horizontal="center" vertical="center"/>
    </xf>
    <xf numFmtId="49" fontId="3" fillId="3" borderId="28" xfId="0" applyNumberFormat="1" applyFont="1" applyFill="1" applyBorder="1" applyAlignment="1">
      <alignment horizontal="center" vertical="center"/>
    </xf>
    <xf numFmtId="183" fontId="3" fillId="3" borderId="7" xfId="0" applyNumberFormat="1" applyFont="1" applyFill="1" applyBorder="1" applyAlignment="1">
      <alignment horizontal="center" vertical="center"/>
    </xf>
    <xf numFmtId="0" fontId="21" fillId="24" borderId="7" xfId="0" applyFont="1" applyFill="1" applyBorder="1" applyAlignment="1">
      <alignment horizontal="center" vertical="center"/>
    </xf>
    <xf numFmtId="0" fontId="2" fillId="14" borderId="59" xfId="0" applyFont="1" applyFill="1" applyBorder="1" applyAlignment="1">
      <alignment horizontal="center" vertical="center" wrapText="1"/>
    </xf>
    <xf numFmtId="0" fontId="3" fillId="11" borderId="7" xfId="0" applyFont="1" applyFill="1" applyBorder="1" applyAlignment="1">
      <alignment horizontal="center" vertical="center" wrapText="1"/>
    </xf>
    <xf numFmtId="0" fontId="3" fillId="21" borderId="7" xfId="0" applyFont="1" applyFill="1" applyBorder="1" applyAlignment="1">
      <alignment horizontal="center" vertical="center" wrapText="1"/>
    </xf>
    <xf numFmtId="0" fontId="3" fillId="16" borderId="7" xfId="0" applyFont="1" applyFill="1" applyBorder="1" applyAlignment="1">
      <alignment horizontal="center" vertical="center" wrapText="1"/>
    </xf>
    <xf numFmtId="0" fontId="3" fillId="16" borderId="21" xfId="0" applyFont="1" applyFill="1" applyBorder="1" applyAlignment="1">
      <alignment horizontal="center" vertical="center"/>
    </xf>
    <xf numFmtId="0" fontId="3" fillId="11" borderId="21" xfId="0" applyFont="1" applyFill="1" applyBorder="1" applyAlignment="1">
      <alignment horizontal="center" vertical="center"/>
    </xf>
    <xf numFmtId="0" fontId="0" fillId="14" borderId="21" xfId="0" applyFill="1" applyBorder="1" applyAlignment="1">
      <alignment horizontal="center" vertical="center"/>
    </xf>
    <xf numFmtId="0" fontId="3" fillId="11" borderId="7" xfId="0" applyFont="1" applyFill="1" applyBorder="1" applyAlignment="1">
      <alignment horizontal="center" vertical="center"/>
    </xf>
    <xf numFmtId="0" fontId="3" fillId="0" borderId="7" xfId="0" applyFont="1" applyBorder="1" applyAlignment="1">
      <alignment horizontal="center" vertical="center"/>
    </xf>
    <xf numFmtId="0" fontId="0" fillId="20" borderId="7" xfId="0" applyFill="1" applyBorder="1" applyAlignment="1">
      <alignment horizontal="center" vertical="center"/>
    </xf>
    <xf numFmtId="49" fontId="0" fillId="0" borderId="0" xfId="0" applyNumberFormat="1">
      <alignment vertical="center"/>
    </xf>
    <xf numFmtId="184" fontId="0" fillId="0" borderId="0" xfId="0" applyNumberFormat="1" applyAlignment="1">
      <alignment horizontal="center" vertical="center"/>
    </xf>
    <xf numFmtId="0" fontId="22" fillId="16" borderId="7" xfId="0" applyFont="1" applyFill="1" applyBorder="1" applyAlignment="1">
      <alignment horizontal="center" vertical="center"/>
    </xf>
    <xf numFmtId="0" fontId="23" fillId="16" borderId="7" xfId="0" applyFont="1" applyFill="1" applyBorder="1" applyAlignment="1">
      <alignment horizontal="center" vertical="center" wrapText="1"/>
    </xf>
    <xf numFmtId="0" fontId="19" fillId="16" borderId="7" xfId="0" applyFont="1" applyFill="1" applyBorder="1" applyAlignment="1">
      <alignment horizontal="center" vertical="center" wrapText="1"/>
    </xf>
    <xf numFmtId="0" fontId="24" fillId="25" borderId="7" xfId="0" applyFont="1" applyFill="1" applyBorder="1" applyAlignment="1">
      <alignment horizontal="center" vertical="center"/>
    </xf>
    <xf numFmtId="0" fontId="1" fillId="21" borderId="7" xfId="0" applyFont="1" applyFill="1" applyBorder="1" applyAlignment="1">
      <alignment horizontal="center" vertical="center" wrapText="1"/>
    </xf>
    <xf numFmtId="184" fontId="3" fillId="4" borderId="7" xfId="0" applyNumberFormat="1" applyFont="1" applyFill="1" applyBorder="1">
      <alignment vertical="center"/>
    </xf>
    <xf numFmtId="0" fontId="25" fillId="16" borderId="0" xfId="0" applyFont="1" applyFill="1" applyAlignment="1">
      <alignment horizontal="center" vertical="center" wrapText="1"/>
    </xf>
    <xf numFmtId="0" fontId="1" fillId="16" borderId="0" xfId="0" applyFont="1" applyFill="1" applyAlignment="1">
      <alignment horizontal="center" vertical="center"/>
    </xf>
    <xf numFmtId="0" fontId="0" fillId="16" borderId="0" xfId="0" applyFill="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57">
    <dxf>
      <border>
        <left style="medium">
          <color indexed="0"/>
        </left>
        <right style="medium">
          <color indexed="0"/>
        </right>
        <top style="medium">
          <color indexed="0"/>
        </top>
        <bottom style="medium">
          <color indexed="0"/>
        </bottom>
      </border>
    </dxf>
    <dxf>
      <alignment horizontal="center"/>
    </dxf>
    <dxf>
      <border>
        <left style="medium">
          <color indexed="0"/>
        </left>
        <right style="medium">
          <color indexed="0"/>
        </right>
        <top style="medium">
          <color indexed="0"/>
        </top>
        <bottom style="medium">
          <color indexed="0"/>
        </bottom>
      </border>
    </dxf>
    <dxf>
      <border>
        <left style="medium">
          <color indexed="0"/>
        </left>
        <right style="medium">
          <color indexed="0"/>
        </right>
        <top style="medium">
          <color indexed="0"/>
        </top>
        <bottom style="medium">
          <color indexed="0"/>
        </bottom>
      </border>
    </dxf>
    <dxf>
      <border>
        <left style="double">
          <color indexed="0"/>
        </left>
        <right style="double">
          <color indexed="0"/>
        </right>
        <top style="double">
          <color indexed="0"/>
        </top>
        <bottom style="double">
          <color indexed="0"/>
        </bottom>
      </border>
    </dxf>
    <dxf>
      <border>
        <left style="thin">
          <color indexed="0"/>
        </left>
        <right style="thin">
          <color indexed="0"/>
        </right>
        <top style="thin">
          <color indexed="0"/>
        </top>
        <bottom style="thin">
          <color indexed="0"/>
        </bottom>
      </border>
    </dxf>
    <dxf>
      <alignment horizontal="center"/>
    </dxf>
    <dxf>
      <numFmt numFmtId="10" formatCode="0.00%"/>
    </dxf>
    <dxf>
      <numFmt numFmtId="10" formatCode="0.00%"/>
    </dxf>
    <dxf>
      <fill>
        <patternFill patternType="solid">
          <bgColor theme="6" tint="0.799981688894314"/>
        </patternFill>
      </fill>
    </dxf>
    <dxf>
      <fill>
        <patternFill patternType="solid">
          <bgColor theme="6" tint="0.799981688894314"/>
        </patternFill>
      </fill>
    </dxf>
    <dxf>
      <fill>
        <patternFill patternType="solid">
          <bgColor theme="6" tint="0.799981688894314"/>
        </patternFill>
      </fill>
    </dxf>
    <dxf>
      <fill>
        <patternFill patternType="solid">
          <bgColor theme="6" tint="0.799981688894314"/>
        </patternFill>
      </fill>
    </dxf>
    <dxf>
      <fill>
        <patternFill patternType="solid">
          <bgColor theme="6" tint="0.799981688894314"/>
        </patternFill>
      </fill>
    </dxf>
    <dxf>
      <fill>
        <patternFill patternType="solid">
          <bgColor theme="6" tint="0.799981688894314"/>
        </patternFill>
      </fill>
    </dxf>
    <dxf>
      <font>
        <b val="1"/>
      </font>
    </dxf>
    <dxf>
      <font>
        <color theme="1"/>
      </font>
    </dxf>
    <dxf>
      <font>
        <color theme="1"/>
      </font>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border>
        <left style="thin">
          <color indexed="0"/>
        </left>
        <right style="thin">
          <color indexed="0"/>
        </right>
        <top style="thin">
          <color indexed="0"/>
        </top>
        <bottom style="thin">
          <color indexed="0"/>
        </bottom>
      </border>
    </dxf>
    <dxf>
      <alignment horizontal="center"/>
    </dxf>
    <dxf>
      <numFmt numFmtId="10" formatCode="0.00%"/>
    </dxf>
    <dxf>
      <numFmt numFmtId="10" formatCode="0.00%"/>
    </dxf>
    <dxf>
      <fill>
        <patternFill patternType="solid">
          <bgColor theme="8" tint="0.799981688894314"/>
        </patternFill>
      </fill>
    </dxf>
    <dxf>
      <fill>
        <patternFill patternType="solid">
          <bgColor theme="8" tint="0.799981688894314"/>
        </patternFill>
      </fill>
    </dxf>
    <dxf>
      <fill>
        <patternFill patternType="solid">
          <bgColor theme="8" tint="0.799981688894314"/>
        </patternFill>
      </fill>
    </dxf>
    <dxf>
      <fill>
        <patternFill patternType="solid">
          <bgColor theme="8" tint="0.799981688894314"/>
        </patternFill>
      </fill>
    </dxf>
    <dxf>
      <fill>
        <patternFill patternType="solid">
          <bgColor theme="8" tint="0.799981688894314"/>
        </patternFill>
      </fill>
    </dxf>
    <dxf>
      <fill>
        <patternFill patternType="solid">
          <bgColor theme="8" tint="0.799981688894314"/>
        </patternFill>
      </fill>
    </dxf>
    <dxf>
      <font>
        <b val="1"/>
      </font>
    </dxf>
    <dxf>
      <font>
        <color theme="1"/>
      </font>
    </dxf>
    <dxf>
      <font>
        <color theme="1"/>
      </font>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border>
        <left style="thin">
          <color indexed="0"/>
        </left>
        <right style="thin">
          <color indexed="0"/>
        </right>
        <top style="thin">
          <color indexed="0"/>
        </top>
        <bottom style="thin">
          <color indexed="0"/>
        </bottom>
      </border>
    </dxf>
    <dxf>
      <alignment horizontal="center"/>
    </dxf>
    <dxf>
      <fill>
        <patternFill patternType="solid">
          <bgColor theme="4" tint="0.799981688894314"/>
        </patternFill>
      </fill>
    </dxf>
    <dxf>
      <fill>
        <patternFill patternType="solid">
          <bgColor theme="4" tint="0.799981688894314"/>
        </patternFill>
      </fill>
    </dxf>
    <dxf>
      <fill>
        <patternFill patternType="solid">
          <bgColor theme="4" tint="0.799981688894314"/>
        </patternFill>
      </fill>
    </dxf>
    <dxf>
      <fill>
        <patternFill patternType="solid">
          <bgColor theme="4" tint="0.799981688894314"/>
        </patternFill>
      </fill>
    </dxf>
    <dxf>
      <fill>
        <patternFill patternType="solid">
          <bgColor theme="4" tint="0.799981688894314"/>
        </patternFill>
      </fill>
    </dxf>
    <dxf>
      <fill>
        <patternFill patternType="solid">
          <bgColor theme="4" tint="0.799981688894314"/>
        </patternFill>
      </fill>
    </dxf>
    <dxf>
      <font>
        <b val="1"/>
      </font>
    </dxf>
    <dxf>
      <font>
        <color theme="1"/>
      </font>
    </dxf>
    <dxf>
      <font>
        <color theme="1"/>
      </font>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border>
        <left style="thin">
          <color indexed="0"/>
        </left>
        <right style="thin">
          <color indexed="0"/>
        </right>
        <top style="thin">
          <color indexed="0"/>
        </top>
        <bottom style="thin">
          <color indexed="0"/>
        </bottom>
      </border>
    </dxf>
    <dxf>
      <alignment horizontal="center"/>
    </dxf>
    <dxf>
      <numFmt numFmtId="10" formatCode="0.00%"/>
    </dxf>
    <dxf>
      <numFmt numFmtId="10" formatCode="0.00%"/>
    </dxf>
    <dxf>
      <fill>
        <patternFill patternType="solid">
          <bgColor theme="8" tint="0.799981688894314"/>
        </patternFill>
      </fill>
    </dxf>
    <dxf>
      <fill>
        <patternFill patternType="solid">
          <bgColor theme="8" tint="0.799981688894314"/>
        </patternFill>
      </fill>
    </dxf>
    <dxf>
      <fill>
        <patternFill patternType="solid">
          <bgColor theme="8" tint="0.799981688894314"/>
        </patternFill>
      </fill>
    </dxf>
    <dxf>
      <fill>
        <patternFill patternType="solid">
          <bgColor theme="8" tint="0.799981688894314"/>
        </patternFill>
      </fill>
    </dxf>
    <dxf>
      <fill>
        <patternFill patternType="solid">
          <bgColor theme="8" tint="0.799981688894314"/>
        </patternFill>
      </fill>
    </dxf>
    <dxf>
      <fill>
        <patternFill patternType="solid">
          <bgColor theme="8" tint="0.799981688894314"/>
        </patternFill>
      </fill>
    </dxf>
    <dxf>
      <font>
        <b val="1"/>
      </font>
    </dxf>
    <dxf>
      <font>
        <color theme="1"/>
      </font>
    </dxf>
    <dxf>
      <font>
        <color theme="1"/>
      </font>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border>
        <left style="thin">
          <color indexed="0"/>
        </left>
        <right style="thin">
          <color indexed="0"/>
        </right>
        <top style="thin">
          <color indexed="0"/>
        </top>
        <bottom style="thin">
          <color indexed="0"/>
        </bottom>
      </border>
    </dxf>
    <dxf>
      <alignment horizontal="center"/>
    </dxf>
    <dxf>
      <fill>
        <patternFill patternType="solid">
          <bgColor theme="4" tint="0.799981688894314"/>
        </patternFill>
      </fill>
    </dxf>
    <dxf>
      <fill>
        <patternFill patternType="solid">
          <bgColor theme="4" tint="0.799981688894314"/>
        </patternFill>
      </fill>
    </dxf>
    <dxf>
      <fill>
        <patternFill patternType="solid">
          <bgColor theme="4" tint="0.799981688894314"/>
        </patternFill>
      </fill>
    </dxf>
    <dxf>
      <fill>
        <patternFill patternType="solid">
          <bgColor theme="4" tint="0.799981688894314"/>
        </patternFill>
      </fill>
    </dxf>
    <dxf>
      <fill>
        <patternFill patternType="solid">
          <bgColor theme="4" tint="0.799981688894314"/>
        </patternFill>
      </fill>
    </dxf>
    <dxf>
      <fill>
        <patternFill patternType="solid">
          <bgColor theme="4" tint="0.799981688894314"/>
        </patternFill>
      </fill>
    </dxf>
    <dxf>
      <font>
        <b val="1"/>
      </font>
    </dxf>
    <dxf>
      <font>
        <color theme="1"/>
      </font>
    </dxf>
    <dxf>
      <font>
        <color theme="1"/>
      </font>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border>
        <left style="thin">
          <color indexed="0"/>
        </left>
        <right style="thin">
          <color indexed="0"/>
        </right>
        <top style="thin">
          <color indexed="0"/>
        </top>
        <bottom style="thin">
          <color indexed="0"/>
        </bottom>
      </border>
    </dxf>
    <dxf>
      <alignment horizontal="center"/>
    </dxf>
    <dxf>
      <numFmt numFmtId="10" formatCode="0.00%"/>
    </dxf>
    <dxf>
      <numFmt numFmtId="10" formatCode="0.00%"/>
    </dxf>
    <dxf>
      <fill>
        <patternFill patternType="solid">
          <bgColor theme="6" tint="0.799981688894314"/>
        </patternFill>
      </fill>
    </dxf>
    <dxf>
      <fill>
        <patternFill patternType="solid">
          <bgColor theme="6" tint="0.799981688894314"/>
        </patternFill>
      </fill>
    </dxf>
    <dxf>
      <fill>
        <patternFill patternType="solid">
          <bgColor theme="6" tint="0.799981688894314"/>
        </patternFill>
      </fill>
    </dxf>
    <dxf>
      <fill>
        <patternFill patternType="solid">
          <bgColor theme="6" tint="0.799981688894314"/>
        </patternFill>
      </fill>
    </dxf>
    <dxf>
      <fill>
        <patternFill patternType="solid">
          <bgColor theme="6" tint="0.799981688894314"/>
        </patternFill>
      </fill>
    </dxf>
    <dxf>
      <fill>
        <patternFill patternType="solid">
          <bgColor theme="6" tint="0.799981688894314"/>
        </patternFill>
      </fill>
    </dxf>
    <dxf>
      <font>
        <b val="1"/>
      </font>
    </dxf>
    <dxf>
      <font>
        <b val="1"/>
      </font>
    </dxf>
    <dxf>
      <font>
        <b val="1"/>
      </font>
    </dxf>
    <dxf>
      <font>
        <b val="1"/>
      </font>
    </dxf>
    <dxf>
      <font>
        <b val="1"/>
      </font>
    </dxf>
    <dxf>
      <font>
        <b val="1"/>
      </font>
    </dxf>
    <dxf>
      <font>
        <color theme="1"/>
      </font>
    </dxf>
    <dxf>
      <font>
        <color theme="1"/>
      </font>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border>
        <left style="medium">
          <color rgb="FF000000"/>
        </left>
        <right style="medium">
          <color rgb="FF000000"/>
        </right>
        <top style="medium">
          <color rgb="FF000000"/>
        </top>
        <bottom style="medium">
          <color rgb="FF000000"/>
        </bottom>
      </border>
    </dxf>
    <dxf>
      <font>
        <color rgb="FF9C0006"/>
      </font>
      <fill>
        <patternFill patternType="solid">
          <bgColor rgb="FFFFC7CE"/>
        </patternFill>
      </fill>
    </dxf>
    <dxf>
      <font>
        <b val="1"/>
        <i val="0"/>
        <color theme="9" tint="-0.249977111117893"/>
      </font>
      <fill>
        <patternFill patternType="solid">
          <bgColor theme="6" tint="0.399975585192419"/>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theme="4" tint="0.899990844447157"/>
        </patternFill>
      </fill>
      <border>
        <left/>
        <right/>
        <top/>
        <bottom/>
        <vertical/>
        <horizontal/>
      </border>
    </dxf>
    <dxf>
      <fill>
        <patternFill patternType="solid">
          <bgColor theme="4" tint="0.899990844447157"/>
        </patternFill>
      </fill>
    </dxf>
    <dxf>
      <font>
        <b val="1"/>
        <i val="0"/>
        <u val="none"/>
        <sz val="11"/>
        <color rgb="FF08090C"/>
      </font>
      <fill>
        <patternFill patternType="solid">
          <bgColor theme="4" tint="0.799981688894314"/>
        </patternFill>
      </fill>
      <border>
        <left/>
        <right/>
        <top/>
        <bottom/>
        <vertical/>
        <horizontal/>
      </border>
    </dxf>
    <dxf>
      <font>
        <b val="1"/>
        <i val="0"/>
        <u val="none"/>
        <sz val="11"/>
        <color rgb="FF08090C"/>
      </font>
      <fill>
        <patternFill patternType="solid">
          <bgColor theme="4" tint="0.799981688894314"/>
        </patternFill>
      </fill>
      <border>
        <left/>
        <right/>
        <top/>
        <bottom/>
        <vertical/>
        <horizontal/>
      </border>
    </dxf>
    <dxf>
      <font>
        <b val="1"/>
        <i val="0"/>
        <u val="none"/>
        <sz val="11"/>
        <color rgb="FFFFFFFF"/>
      </font>
      <fill>
        <patternFill patternType="solid">
          <bgColor theme="4"/>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bottom/>
        <vertical/>
        <horizontal/>
      </border>
    </dxf>
    <dxf>
      <font>
        <b val="0"/>
        <i val="0"/>
        <u val="none"/>
        <sz val="11"/>
        <color rgb="FF000000"/>
      </font>
      <fill>
        <patternFill patternType="solid">
          <bgColor rgb="FFFFFFFF"/>
        </patternFill>
      </fill>
      <border>
        <left/>
        <right/>
        <top style="thin">
          <color theme="4"/>
        </top>
        <bottom style="thin">
          <color theme="4"/>
        </bottom>
        <vertical/>
        <horizontal/>
      </border>
    </dxf>
    <dxf>
      <fill>
        <gradientFill degree="90">
          <stop position="0">
            <color theme="4" tint="0.899990844447157"/>
          </stop>
          <stop position="1">
            <color rgb="FFFFF1EB"/>
          </stop>
        </gradientFill>
      </fill>
    </dxf>
    <dxf>
      <fill>
        <gradientFill>
          <stop position="0">
            <color theme="4" tint="0.899990844447157"/>
          </stop>
          <stop position="1">
            <color rgb="FFFFF1EB"/>
          </stop>
        </gradientFill>
      </fill>
    </dxf>
    <dxf>
      <font>
        <b val="1"/>
        <i val="0"/>
        <u val="none"/>
        <sz val="10"/>
        <color theme="1"/>
      </font>
      <fill>
        <gradientFill degree="90">
          <stop position="0">
            <color theme="4" tint="0.899990844447157"/>
          </stop>
          <stop position="1">
            <color rgb="FFFFF1EB"/>
          </stop>
        </gradientFill>
      </fill>
      <border>
        <left/>
        <right/>
        <top/>
        <bottom/>
        <vertical/>
        <horizontal/>
      </border>
    </dxf>
    <dxf>
      <font>
        <b val="0"/>
        <i val="0"/>
        <u val="none"/>
        <sz val="10"/>
        <color theme="1"/>
      </font>
      <fill>
        <gradientFill degree="90">
          <stop position="0">
            <color theme="4" tint="0.899990844447157"/>
          </stop>
          <stop position="1">
            <color rgb="FFFFF1EB"/>
          </stop>
        </gradientFill>
      </fill>
    </dxf>
    <dxf>
      <font>
        <b val="1"/>
        <i val="0"/>
        <u val="none"/>
        <sz val="10"/>
        <color rgb="FFFFFFFF"/>
      </font>
      <fill>
        <gradientFill>
          <stop position="0">
            <color theme="4"/>
          </stop>
          <stop position="1">
            <color rgb="FFFF7F50"/>
          </stop>
        </gradientFill>
      </fill>
      <border>
        <left/>
        <right/>
        <top/>
        <bottom/>
        <vertical/>
        <horizontal/>
      </border>
    </dxf>
    <dxf>
      <font>
        <b val="1"/>
        <i val="0"/>
        <u val="none"/>
        <sz val="10"/>
        <color rgb="FFFFFFFF"/>
      </font>
      <fill>
        <gradientFill>
          <stop position="0">
            <color theme="4"/>
          </stop>
          <stop position="1">
            <color rgb="FFFF7F50"/>
          </stop>
        </gradientFill>
      </fill>
    </dxf>
    <dxf>
      <font>
        <b val="0"/>
        <i val="0"/>
        <u val="none"/>
        <sz val="11"/>
        <color rgb="FF000000"/>
      </font>
      <fill>
        <patternFill patternType="solid">
          <bgColor rgb="FFFFFFFF"/>
        </patternFill>
      </fill>
    </dxf>
    <dxf>
      <font>
        <name val="Calibri"/>
        <scheme val="none"/>
        <b val="0"/>
        <i val="0"/>
        <u val="none"/>
        <sz val="11"/>
        <color theme="1"/>
      </font>
      <fill>
        <patternFill patternType="solid">
          <bgColor theme="8" tint="0.399975585192419"/>
        </patternFill>
      </fill>
      <border>
        <left style="medium">
          <color auto="1"/>
        </left>
        <right style="medium">
          <color auto="1"/>
        </right>
        <top style="medium">
          <color auto="1"/>
        </top>
        <bottom style="medium">
          <color auto="1"/>
        </bottom>
      </border>
    </dxf>
    <dxf>
      <fill>
        <patternFill patternType="solid">
          <bgColor theme="4" tint="0.799981688894314"/>
        </patternFill>
      </fill>
    </dxf>
    <dxf>
      <fill>
        <patternFill patternType="solid">
          <bgColor theme="4" tint="0.599993896298105"/>
        </patternFill>
      </fill>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font>
        <color theme="0"/>
      </font>
      <fill>
        <patternFill patternType="solid">
          <fgColor theme="6"/>
          <bgColor theme="6"/>
        </patternFill>
      </fill>
      <border>
        <horizontal style="thin">
          <color theme="6" tint="-0.499984740745262"/>
        </horizontal>
      </border>
    </dxf>
    <dxf>
      <font>
        <b val="1"/>
        <color theme="0"/>
      </font>
      <fill>
        <patternFill patternType="solid">
          <fgColor theme="6"/>
          <bgColor theme="6"/>
        </patternFill>
      </fill>
      <border>
        <horizontal style="thin">
          <color theme="6" tint="-0.499984740745262"/>
        </horizontal>
      </border>
    </dxf>
    <dxf>
      <font>
        <b val="1"/>
        <color theme="1"/>
      </font>
    </dxf>
    <dxf>
      <font>
        <b val="1"/>
        <color theme="1"/>
      </font>
      <fill>
        <patternFill patternType="solid">
          <fgColor theme="6" tint="0.799981688894314"/>
          <bgColor theme="6" tint="0.799981688894314"/>
        </patternFill>
      </fill>
      <border>
        <top style="thin">
          <color theme="6" tint="0.399975585192419"/>
        </top>
        <bottom style="thin">
          <color theme="6" tint="0.399975585192419"/>
        </bottom>
      </border>
    </dxf>
    <dxf>
      <font>
        <b val="1"/>
        <color theme="1"/>
      </font>
    </dxf>
    <dxf>
      <border>
        <left style="thin">
          <color theme="6" tint="0.399975585192419"/>
        </left>
        <right style="thin">
          <color theme="6" tint="0.399975585192419"/>
        </right>
      </border>
    </dxf>
    <dxf>
      <border>
        <top style="thin">
          <color theme="6" tint="0.399975585192419"/>
        </top>
        <bottom style="thin">
          <color theme="6" tint="0.399975585192419"/>
        </bottom>
        <horizontal style="thin">
          <color theme="6" tint="0.399975585192419"/>
        </horizontal>
      </border>
    </dxf>
    <dxf>
      <font>
        <b val="1"/>
      </font>
      <border>
        <top style="thin">
          <color theme="6" tint="-0.249977111117893"/>
        </top>
        <bottom style="medium">
          <color theme="6" tint="-0.249977111117893"/>
        </bottom>
      </border>
    </dxf>
    <dxf>
      <font>
        <b val="1"/>
        <color theme="0"/>
      </font>
      <fill>
        <patternFill patternType="solid">
          <fgColor theme="6"/>
          <bgColor theme="6"/>
        </patternFill>
      </fill>
      <border>
        <top style="thin">
          <color theme="6"/>
        </top>
      </border>
    </dxf>
    <dxf>
      <font>
        <color theme="1"/>
      </font>
    </dxf>
  </dxfs>
  <tableStyles count="14" defaultTableStyle="TableStylePreset3_Accent1" defaultPivotStyle="PivotStylePreset2_Accent1">
    <tableStyle name="TableStylePreset3_Accent1" pivot="0" count="7" xr9:uid="{59DB682C-5494-4EDE-A608-00C9E5F0F923}">
      <tableStyleElement type="wholeTable" dxfId="119"/>
      <tableStyleElement type="headerRow" dxfId="118"/>
      <tableStyleElement type="totalRow" dxfId="117"/>
      <tableStyleElement type="firstColumn" dxfId="116"/>
      <tableStyleElement type="lastColumn" dxfId="115"/>
      <tableStyleElement type="firstRowStripe" dxfId="114"/>
      <tableStyleElement type="firstColumnStripe" dxfId="113"/>
    </tableStyle>
    <tableStyle name="tablestyleA27_6c9784" count="7" xr9:uid="{55927B77-43C9-47F9-9F86-DD60EFE4FDE5}">
      <tableStyleElement type="wholeTable" dxfId="126"/>
      <tableStyleElement type="headerRow" dxfId="125"/>
      <tableStyleElement type="totalRow" dxfId="124"/>
      <tableStyleElement type="firstColumn" dxfId="123"/>
      <tableStyleElement type="lastColumn" dxfId="122"/>
      <tableStyleElement type="secondRowStripe" dxfId="121"/>
      <tableStyleElement type="firstColumnStripe" dxfId="120"/>
    </tableStyle>
    <tableStyle name="tablestyleA71_3e46c2" count="7" xr9:uid="{D5FD49D7-45AE-40B1-BAF5-40CD35C4A706}">
      <tableStyleElement type="wholeTable" dxfId="133"/>
      <tableStyleElement type="headerRow" dxfId="132"/>
      <tableStyleElement type="totalRow" dxfId="131"/>
      <tableStyleElement type="firstColumn" dxfId="130"/>
      <tableStyleElement type="lastColumn" dxfId="129"/>
      <tableStyleElement type="secondRowStripe" dxfId="128"/>
      <tableStyleElement type="firstColumnStripe" dxfId="127"/>
    </tableStyle>
    <tableStyle name="Table Style 1" pivot="0" count="0" xr9:uid="{B71A1CB8-6BB9-46B5-B106-63470E9B7165}"/>
    <tableStyle name="Slicer Style 1" pivot="0" table="0" count="1" xr9:uid="{8B95CCEB-2BB8-4BA1-9E79-FDFEFB342A33}"/>
    <tableStyle name="Slicer Style 2" pivot="0" table="0" count="1" xr9:uid="{DD16120E-CABC-4074-B3EE-16E9380901F5}">
      <tableStyleElement type="wholeTable" dxfId="134"/>
    </tableStyle>
    <tableStyle name="Slicer Style 3" pivot="0" table="0" count="1" xr9:uid="{BD4789B3-5F84-4BDC-AEB0-E761C1DD5EAD}"/>
    <tableStyle name="Slicer Style 4" pivot="0" table="0" count="1" xr9:uid="{D1CA6EAE-0372-48BD-89A7-FC5A1334BE33}">
      <tableStyleElement type="wholeTable" dxfId="135"/>
    </tableStyle>
    <tableStyle name="Slicer Style 5" pivot="0" table="0" count="1" xr9:uid="{1DB8723D-807B-4A64-84D3-2937CEC53CDD}">
      <tableStyleElement type="wholeTable" dxfId="136"/>
    </tableStyle>
    <tableStyle name="Slicer Style 6" pivot="0" table="0" count="1" xr9:uid="{C736A691-6DAC-43C4-9E38-C04598BEA72B}"/>
    <tableStyle name="Slicer Style 7" pivot="0" table="0" count="1" xr9:uid="{A0E1D9C3-0CCA-4794-92E2-F7DDAED482D2}"/>
    <tableStyle name="Slicer Style 8" pivot="0" table="0" count="1" xr9:uid="{FC20594E-FDA1-425E-9CCC-D6D36171B135}"/>
    <tableStyle name="PivotStylePreset2_Accent1" table="0" count="10" xr9:uid="{267968C8-6FFD-4C36-ACC1-9EA1FD1885CA}">
      <tableStyleElement type="headerRow" dxfId="146"/>
      <tableStyleElement type="totalRow" dxfId="145"/>
      <tableStyleElement type="firstRowStripe" dxfId="144"/>
      <tableStyleElement type="firstColumnStripe" dxfId="143"/>
      <tableStyleElement type="firstSubtotalRow" dxfId="142"/>
      <tableStyleElement type="secondSubtotalRow" dxfId="141"/>
      <tableStyleElement type="firstRowSubheading" dxfId="140"/>
      <tableStyleElement type="secondRowSubheading" dxfId="139"/>
      <tableStyleElement type="pageFieldLabels" dxfId="138"/>
      <tableStyleElement type="pageFieldValues" dxfId="137"/>
    </tableStyle>
    <tableStyle name="PivotStylePreset3_Accent3" table="0" count="10" xr9:uid="{91004C25-4B33-4836-A6EF-FCBEFDB7F4DB}">
      <tableStyleElement type="wholeTable" dxfId="156"/>
      <tableStyleElement type="headerRow" dxfId="155"/>
      <tableStyleElement type="totalRow" dxfId="154"/>
      <tableStyleElement type="secondRowStripe" dxfId="153"/>
      <tableStyleElement type="secondColumnStripe" dxfId="152"/>
      <tableStyleElement type="firstSubtotalRow" dxfId="151"/>
      <tableStyleElement type="firstRowSubheading" dxfId="150"/>
      <tableStyleElement type="secondRowSubheading" dxfId="149"/>
      <tableStyleElement type="pageFieldLabels" dxfId="148"/>
      <tableStyleElement type="pageFieldValues" dxfId="147"/>
    </tableStyle>
  </tableStyles>
  <extLst>
    <ext xmlns:x14="http://schemas.microsoft.com/office/spreadsheetml/2009/9/main" uri="{46F421CA-312F-682f-3DD2-61675219B42D}">
      <x14:dxfs count="5">
        <dxf>
          <font>
            <name val="Calibri"/>
            <scheme val="none"/>
            <b val="0"/>
            <i val="0"/>
            <u val="none"/>
            <sz val="11"/>
            <color theme="1"/>
          </font>
          <fill>
            <patternFill patternType="solid">
              <bgColor theme="6"/>
            </patternFill>
          </fill>
        </dxf>
        <dxf>
          <font>
            <name val="Calibri"/>
            <scheme val="none"/>
            <b val="1"/>
            <i val="0"/>
            <u val="none"/>
            <sz val="11"/>
            <color auto="1"/>
          </font>
          <fill>
            <patternFill patternType="solid">
              <bgColor theme="9" tint="0.399975585192419"/>
            </patternFill>
          </fill>
          <border>
            <left style="medium">
              <color auto="1"/>
            </left>
            <right style="medium">
              <color auto="1"/>
            </right>
            <top style="medium">
              <color auto="1"/>
            </top>
            <bottom style="medium">
              <color auto="1"/>
            </bottom>
          </border>
        </dxf>
        <dxf>
          <font>
            <name val="Calibri"/>
            <scheme val="none"/>
            <b val="1"/>
            <i val="0"/>
            <u val="none"/>
            <sz val="11"/>
            <color auto="1"/>
          </font>
          <fill>
            <patternFill patternType="solid">
              <bgColor rgb="FFFFFF00"/>
            </patternFill>
          </fill>
        </dxf>
        <dxf>
          <font>
            <name val="Calibri"/>
            <scheme val="none"/>
            <b val="1"/>
            <i val="0"/>
            <u val="none"/>
            <sz val="11"/>
            <color auto="1"/>
          </font>
          <fill>
            <patternFill patternType="solid">
              <bgColor rgb="FFFFFF00"/>
            </patternFill>
          </fill>
          <border>
            <left style="medium">
              <color auto="1"/>
            </left>
            <right style="medium">
              <color auto="1"/>
            </right>
            <top style="medium">
              <color auto="1"/>
            </top>
            <bottom style="medium">
              <color auto="1"/>
            </bottom>
          </border>
        </dxf>
        <dxf>
          <font>
            <name val="Calibri"/>
            <scheme val="none"/>
            <b val="1"/>
            <i val="0"/>
            <u val="none"/>
            <sz val="11"/>
            <color auto="1"/>
          </font>
          <fill>
            <patternFill patternType="solid">
              <bgColor theme="9"/>
            </patternFill>
          </fill>
          <border>
            <left style="medium">
              <color auto="1"/>
            </left>
            <right style="medium">
              <color auto="1"/>
            </right>
            <top style="medium">
              <color auto="1"/>
            </top>
            <bottom style="medium">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 name="Slicer Style 3">
          <x14:slicerStyleElements>
            <x14:slicerStyleElement type="selectedItemWithData" dxfId="1"/>
          </x14:slicerStyleElements>
        </x14:slicerStyle>
        <x14:slicerStyle name="Slicer Style 4"/>
        <x14:slicerStyle name="Slicer Style 5"/>
        <x14:slicerStyle name="Slicer Style 6">
          <x14:slicerStyleElements>
            <x14:slicerStyleElement type="selectedItemWithData" dxfId="2"/>
          </x14:slicerStyleElements>
        </x14:slicerStyle>
        <x14:slicerStyle name="Slicer Style 7">
          <x14:slicerStyleElements>
            <x14:slicerStyleElement type="selectedItemWithData" dxfId="3"/>
          </x14:slicerStyleElements>
        </x14:slicerStyle>
        <x14:slicerStyle name="Slicer Style 8">
          <x14:slicerStyleElements>
            <x14:slicerStyleElement type="unselectedItemWithData" dxfId="4"/>
          </x14:slicerStyleElements>
        </x14:slicerStyle>
      </x14:slicerStyles>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schemas.openxmlformats.org/officeDocument/2006/relationships/sheetMetadata" Target="metadata.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microsoft.com/office/2007/relationships/slicerCache" Target="slicerCaches/slicerCache1.xml"/><Relationship Id="rId18" Type="http://schemas.openxmlformats.org/officeDocument/2006/relationships/pivotCacheDefinition" Target="pivotCache/pivotCacheDefinition2.xml"/><Relationship Id="rId17" Type="http://schemas.openxmlformats.org/officeDocument/2006/relationships/pivotCacheDefinition" Target="pivotCache/pivotCacheDefinition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[MS_EXCEL_PRACTICE.xlsx]DAY14-Pivot Charts!PivotTable2</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lt1"/>
              </a:solidFill>
              <a:latin typeface="+mn-lt"/>
              <a:ea typeface="+mn-ea"/>
              <a:cs typeface="+mn-cs"/>
            </a:defRPr>
          </a:pPr>
        </a:p>
      </c:txPr>
    </c:title>
    <c:autoTitleDeleted val="0"/>
    <c:plotArea>
      <c:layout/>
      <c:pieChart>
        <c:varyColors val="1"/>
        <c:ser>
          <c:idx val="0"/>
          <c:order val="0"/>
          <c:tx>
            <c:strRef>
              <c:f>'DAY14-Pivot Charts'!$M$5</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lt1"/>
                    </a:solidFill>
                    <a:latin typeface="+mn-lt"/>
                    <a:ea typeface="+mn-ea"/>
                    <a:cs typeface="+mn-cs"/>
                  </a:defRPr>
                </a:pPr>
              </a:p>
            </c:txPr>
            <c:dLblPos val="in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'DAY14-Pivot Charts'!$L$6:$L$11</c:f>
              <c:strCache>
                <c:ptCount val="5"/>
                <c:pt idx="0">
                  <c:v>Delhi</c:v>
                </c:pt>
                <c:pt idx="1">
                  <c:v>Gujarat</c:v>
                </c:pt>
                <c:pt idx="2">
                  <c:v>Karnataka</c:v>
                </c:pt>
                <c:pt idx="3">
                  <c:v>Maharashtra</c:v>
                </c:pt>
                <c:pt idx="4">
                  <c:v>Tamil Nadu</c:v>
                </c:pt>
              </c:strCache>
            </c:strRef>
          </c:cat>
          <c:val>
            <c:numRef>
              <c:f>'DAY14-Pivot Charts'!$M$6:$M$11</c:f>
              <c:numCache>
                <c:formatCode>General</c:formatCode>
                <c:ptCount val="5"/>
                <c:pt idx="0">
                  <c:v>41</c:v>
                </c:pt>
                <c:pt idx="1">
                  <c:v>36</c:v>
                </c:pt>
                <c:pt idx="2">
                  <c:v>40</c:v>
                </c:pt>
                <c:pt idx="3">
                  <c:v>39</c:v>
                </c:pt>
                <c:pt idx="4">
                  <c:v>46</c:v>
                </c:pt>
              </c:numCache>
            </c:numRef>
          </c:val>
        </c:ser>
        <c:dLbls>
          <c:showLegendKey val="0"/>
          <c:showVal val="0"/>
          <c:showCatName val="0"/>
          <c:showSerName val="0"/>
          <c:showPercent val="1"/>
          <c:showBubbleSize val="0"/>
          <c:showLeaderLines val="0"/>
        </c:dLbls>
        <c:firstSliceAng val="0"/>
      </c:pieChart>
      <c:spPr>
        <a:noFill/>
        <a:ln>
          <a:noFill/>
        </a:ln>
        <a:effectLst/>
      </c:spPr>
    </c:plotArea>
    <c:legend>
      <c:legendPos val="r"/>
      <c:legendEntry>
        <c:idx val="0"/>
        <c:txPr>
          <a:bodyPr rot="0" spcFirstLastPara="0" vertOverflow="ellipsis" vert="horz" wrap="square" anchor="ctr" anchorCtr="1"/>
          <a:lstStyle/>
          <a:p>
            <a:pPr>
              <a:defRPr lang="en-US" sz="900" b="0" i="0" u="none" strike="noStrike" kern="1200" baseline="0">
                <a:solidFill>
                  <a:schemeClr val="lt1"/>
                </a:solidFill>
                <a:latin typeface="+mn-lt"/>
                <a:ea typeface="+mn-ea"/>
                <a:cs typeface="+mn-cs"/>
              </a:defRPr>
            </a:pPr>
          </a:p>
        </c:txPr>
      </c:legendEntry>
      <c:legendEntry>
        <c:idx val="1"/>
        <c:txPr>
          <a:bodyPr rot="0" spcFirstLastPara="0" vertOverflow="ellipsis" vert="horz" wrap="square" anchor="ctr" anchorCtr="1"/>
          <a:lstStyle/>
          <a:p>
            <a:pPr>
              <a:defRPr lang="en-US" sz="900" b="0" i="0" u="none" strike="noStrike" kern="1200" baseline="0">
                <a:solidFill>
                  <a:schemeClr val="lt1"/>
                </a:solidFill>
                <a:latin typeface="+mn-lt"/>
                <a:ea typeface="+mn-ea"/>
                <a:cs typeface="+mn-cs"/>
              </a:defRPr>
            </a:pPr>
          </a:p>
        </c:txPr>
      </c:legendEntry>
      <c:legendEntry>
        <c:idx val="2"/>
        <c:txPr>
          <a:bodyPr rot="0" spcFirstLastPara="0" vertOverflow="ellipsis" vert="horz" wrap="square" anchor="ctr" anchorCtr="1"/>
          <a:lstStyle/>
          <a:p>
            <a:pPr>
              <a:defRPr lang="en-US" sz="900" b="0" i="0" u="none" strike="noStrike" kern="1200" baseline="0">
                <a:solidFill>
                  <a:schemeClr val="lt1"/>
                </a:solidFill>
                <a:latin typeface="+mn-lt"/>
                <a:ea typeface="+mn-ea"/>
                <a:cs typeface="+mn-cs"/>
              </a:defRPr>
            </a:pPr>
          </a:p>
        </c:txPr>
      </c:legendEntry>
      <c:legendEntry>
        <c:idx val="3"/>
        <c:txPr>
          <a:bodyPr rot="0" spcFirstLastPara="0" vertOverflow="ellipsis" vert="horz" wrap="square" anchor="ctr" anchorCtr="1"/>
          <a:lstStyle/>
          <a:p>
            <a:pPr>
              <a:defRPr lang="en-US" sz="900" b="0" i="0" u="none" strike="noStrike" kern="1200" baseline="0">
                <a:solidFill>
                  <a:schemeClr val="lt1"/>
                </a:solidFill>
                <a:latin typeface="+mn-lt"/>
                <a:ea typeface="+mn-ea"/>
                <a:cs typeface="+mn-cs"/>
              </a:defRPr>
            </a:pPr>
          </a:p>
        </c:txPr>
      </c:legendEntry>
      <c:legendEntry>
        <c:idx val="4"/>
        <c:txPr>
          <a:bodyPr rot="0" spcFirstLastPara="0" vertOverflow="ellipsis" vert="horz" wrap="square" anchor="ctr" anchorCtr="1"/>
          <a:lstStyle/>
          <a:p>
            <a:pPr>
              <a:defRPr lang="en-US" sz="900" b="0" i="0" u="none" strike="noStrike" kern="1200" baseline="0">
                <a:solidFill>
                  <a:schemeClr val="lt1"/>
                </a:solidFill>
                <a:latin typeface="+mn-lt"/>
                <a:ea typeface="+mn-ea"/>
                <a:cs typeface="+mn-cs"/>
              </a:defRPr>
            </a:pPr>
          </a:p>
        </c:txPr>
      </c:legendEntry>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lt1"/>
              </a:solidFill>
              <a:latin typeface="+mn-lt"/>
              <a:ea typeface="+mn-ea"/>
              <a:cs typeface="+mn-cs"/>
            </a:defRPr>
          </a:pPr>
        </a:p>
      </c:txPr>
    </c:legend>
    <c:plotVisOnly val="1"/>
    <c:dispBlanksAs val="gap"/>
    <c:showDLblsOverMax val="0"/>
    <c:extLst>
      <c:ext uri="{0b15fc19-7d7d-44ad-8c2d-2c3a37ce22c3}">
        <chartProps xmlns="https://web.wps.cn/et/2018/main" chartId="{4b3d269b-77a8-4faf-b1a4-574505afd7ea}"/>
      </c:ext>
    </c:extLst>
  </c:chart>
  <c:spPr>
    <a:solidFill>
      <a:schemeClr val="accent6">
        <a:lumMod val="40000"/>
        <a:lumOff val="60000"/>
      </a:schemeClr>
    </a:solidFill>
    <a:ln w="9525" cap="flat" cmpd="sng" algn="ctr">
      <a:solidFill>
        <a:schemeClr val="tx1"/>
      </a:solidFill>
      <a:round/>
    </a:ln>
    <a:effectLst/>
    <a:sp3d>
      <a:extrusionClr>
        <a:srgbClr val="FFFFFF"/>
      </a:extrusionClr>
      <a:contourClr>
        <a:srgbClr val="FFFFFF"/>
      </a:contourClr>
    </a:sp3d>
  </c:spPr>
  <c:txPr>
    <a:bodyPr/>
    <a:lstStyle/>
    <a:p>
      <a:pPr>
        <a:defRPr lang="en-US">
          <a:solidFill>
            <a:schemeClr val="lt1"/>
          </a:solidFill>
          <a:latin typeface="+mn-lt"/>
          <a:ea typeface="+mn-ea"/>
          <a:cs typeface="+mn-cs"/>
        </a:defRPr>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[MS_EXCEL_PRACTICE.xlsx]DAY14-Pivot Charts!PivotTable2</c:name>
    <c:fmtId val="2"/>
  </c:pivotSource>
  <c:chart>
    <c:title>
      <c:layout/>
      <c:overlay val="0"/>
      <c:spPr>
        <a:noFill/>
        <a:ln>
          <a:noFill/>
        </a:ln>
        <a:effectLst/>
      </c:spPr>
      <c:txPr>
        <a:bodyPr rot="0" spcFirstLastPara="0" vertOverflow="ellipsis" vert="horz" wrap="square" anchor="ctr" anchorCtr="1"/>
        <a:lstStyle/>
        <a:p>
          <a:pPr>
            <a:defRPr lang="zh-CN" sz="1080" b="1"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title>
    <c:autoTitleDeleted val="0"/>
    <c:plotArea>
      <c:layout/>
      <c:barChart>
        <c:barDir val="col"/>
        <c:grouping val="clustered"/>
        <c:varyColors val="0"/>
        <c:ser>
          <c:idx val="0"/>
          <c:order val="0"/>
          <c:tx>
            <c:strRef>
              <c:f>'DAY14-Pivot Charts'!$M$5</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'DAY14-Pivot Charts'!$L$6:$L$11</c:f>
              <c:strCache>
                <c:ptCount val="5"/>
                <c:pt idx="0">
                  <c:v>Delhi</c:v>
                </c:pt>
                <c:pt idx="1">
                  <c:v>Gujarat</c:v>
                </c:pt>
                <c:pt idx="2">
                  <c:v>Karnataka</c:v>
                </c:pt>
                <c:pt idx="3">
                  <c:v>Maharashtra</c:v>
                </c:pt>
                <c:pt idx="4">
                  <c:v>Tamil Nadu</c:v>
                </c:pt>
              </c:strCache>
            </c:strRef>
          </c:cat>
          <c:val>
            <c:numRef>
              <c:f>'DAY14-Pivot Charts'!$M$6:$M$11</c:f>
              <c:numCache>
                <c:formatCode>General</c:formatCode>
                <c:ptCount val="5"/>
                <c:pt idx="0">
                  <c:v>41</c:v>
                </c:pt>
                <c:pt idx="1">
                  <c:v>36</c:v>
                </c:pt>
                <c:pt idx="2">
                  <c:v>40</c:v>
                </c:pt>
                <c:pt idx="3">
                  <c:v>39</c:v>
                </c:pt>
                <c:pt idx="4">
                  <c:v>46</c:v>
                </c:pt>
              </c:numCache>
            </c:numRef>
          </c:val>
        </c:ser>
        <c:dLbls>
          <c:showLegendKey val="0"/>
          <c:showVal val="1"/>
          <c:showCatName val="0"/>
          <c:showSerName val="0"/>
          <c:showPercent val="0"/>
          <c:showBubbleSize val="0"/>
        </c:dLbls>
        <c:gapWidth val="150"/>
        <c:overlap val="-25"/>
        <c:axId val="409098979"/>
        <c:axId val="174519409"/>
      </c:barChart>
      <c:catAx>
        <c:axId val="409098979"/>
        <c:scaling>
          <c:orientation val="minMax"/>
        </c:scaling>
        <c:delete val="0"/>
        <c:axPos val="b"/>
        <c:numFmt formatCode="General" sourceLinked="1"/>
        <c:majorTickMark val="out"/>
        <c:minorTickMark val="none"/>
        <c:tickLblPos val="nextTo"/>
        <c:spPr>
          <a:noFill/>
          <a:ln w="6350" cap="flat" cmpd="sng" algn="ctr">
            <a:solidFill>
              <a:schemeClr val="accent1">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174519409"/>
        <c:crosses val="autoZero"/>
        <c:auto val="1"/>
        <c:lblAlgn val="ctr"/>
        <c:lblOffset val="100"/>
        <c:noMultiLvlLbl val="0"/>
      </c:catAx>
      <c:valAx>
        <c:axId val="174519409"/>
        <c:scaling>
          <c:orientation val="minMax"/>
        </c:scaling>
        <c:delete val="1"/>
        <c:axPos val="l"/>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409098979"/>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29eaf84e-e9eb-4531-8d15-06751c4d0d0c}"/>
      </c:ext>
    </c:extLst>
  </c:chart>
  <c:spPr>
    <a:solidFill>
      <a:srgbClr val="FFFF00">
        <a:alpha val="59000"/>
      </a:srgbClr>
    </a:solidFill>
    <a:ln w="28575" cap="flat" cmpd="sng" algn="ctr">
      <a:solidFill>
        <a:schemeClr val="tx1">
          <a:lumMod val="50000"/>
          <a:lumOff val="50000"/>
        </a:schemeClr>
      </a:solidFill>
      <a:prstDash val="solid"/>
      <a:round/>
    </a:ln>
    <a:effectLst>
      <a:outerShdw blurRad="50800" dist="38100" algn="l" rotWithShape="0">
        <a:prstClr val="black">
          <a:alpha val="40000"/>
        </a:prstClr>
      </a:outerShdw>
    </a:effectLst>
  </c:spPr>
  <c:txPr>
    <a:bodyPr/>
    <a:lstStyle/>
    <a:p>
      <a:pPr>
        <a:defRPr lang="zh-CN" sz="90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[MS_EXCEL_PRACTICE.xlsx]DAY14-Pivot Charts!PivotTable2</c:name>
    <c:fmtId val="4"/>
  </c:pivotSource>
  <c:chart>
    <c:title>
      <c:tx>
        <c:rich>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en-US" altLang="zh-CN"/>
              <a:t>Count Of State</a:t>
            </a:r>
            <a:endParaRPr lang="en-US" altLang="zh-CN"/>
          </a:p>
        </c:rich>
      </c:tx>
      <c:layout/>
      <c:overlay val="0"/>
      <c:spPr>
        <a:noFill/>
        <a:ln>
          <a:noFill/>
        </a:ln>
        <a:effectLst/>
      </c:spPr>
    </c:title>
    <c:autoTitleDeleted val="0"/>
    <c:plotArea>
      <c:layout/>
      <c:lineChart>
        <c:grouping val="standard"/>
        <c:varyColors val="0"/>
        <c:ser>
          <c:idx val="0"/>
          <c:order val="0"/>
          <c:tx>
            <c:strRef>
              <c:f>'DAY14-Pivot Charts'!$M$5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'DAY14-Pivot Charts'!$L$6:$L$11</c:f>
              <c:strCache>
                <c:ptCount val="5"/>
                <c:pt idx="0">
                  <c:v>Delhi</c:v>
                </c:pt>
                <c:pt idx="1">
                  <c:v>Gujarat</c:v>
                </c:pt>
                <c:pt idx="2">
                  <c:v>Karnataka</c:v>
                </c:pt>
                <c:pt idx="3">
                  <c:v>Maharashtra</c:v>
                </c:pt>
                <c:pt idx="4">
                  <c:v>Tamil Nadu</c:v>
                </c:pt>
              </c:strCache>
            </c:strRef>
          </c:cat>
          <c:val>
            <c:numRef>
              <c:f>'DAY14-Pivot Charts'!$M$6:$M$11</c:f>
              <c:numCache>
                <c:formatCode>General</c:formatCode>
                <c:ptCount val="5"/>
                <c:pt idx="0">
                  <c:v>41</c:v>
                </c:pt>
                <c:pt idx="1">
                  <c:v>36</c:v>
                </c:pt>
                <c:pt idx="2">
                  <c:v>40</c:v>
                </c:pt>
                <c:pt idx="3">
                  <c:v>39</c:v>
                </c:pt>
                <c:pt idx="4">
                  <c:v>46</c:v>
                </c:pt>
              </c:numCache>
            </c:numRef>
          </c:val>
          <c:smooth val="0"/>
        </c:ser>
        <c:dLbls>
          <c:showLegendKey val="0"/>
          <c:showVal val="1"/>
          <c:showCatName val="0"/>
          <c:showSerName val="0"/>
          <c:showPercent val="0"/>
          <c:showBubbleSize val="0"/>
        </c:dLbls>
        <c:marker val="0"/>
        <c:smooth val="0"/>
        <c:axId val="409098979"/>
        <c:axId val="174519409"/>
      </c:lineChart>
      <c:catAx>
        <c:axId val="409098979"/>
        <c:scaling>
          <c:orientation val="minMax"/>
        </c:scaling>
        <c:delete val="0"/>
        <c:axPos val="b"/>
        <c:numFmt formatCode="General" sourceLinked="1"/>
        <c:majorTickMark val="out"/>
        <c:minorTickMark val="none"/>
        <c:tickLblPos val="nextTo"/>
        <c:spPr>
          <a:noFill/>
          <a:ln w="6350" cap="flat" cmpd="sng" algn="ctr">
            <a:solidFill>
              <a:schemeClr val="accent1">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174519409"/>
        <c:crosses val="autoZero"/>
        <c:auto val="1"/>
        <c:lblAlgn val="ctr"/>
        <c:lblOffset val="100"/>
        <c:noMultiLvlLbl val="0"/>
      </c:catAx>
      <c:valAx>
        <c:axId val="174519409"/>
        <c:scaling>
          <c:orientation val="minMax"/>
        </c:scaling>
        <c:delete val="1"/>
        <c:axPos val="l"/>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409098979"/>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29eaf84e-e9eb-4531-8d15-06751c4d0d0c}"/>
      </c:ext>
    </c:extLst>
  </c:chart>
  <c:spPr>
    <a:solidFill>
      <a:srgbClr val="FFFF00">
        <a:alpha val="59000"/>
      </a:srgbClr>
    </a:solidFill>
    <a:ln w="28575" cap="flat" cmpd="sng" algn="ctr">
      <a:solidFill>
        <a:schemeClr val="tx1">
          <a:lumMod val="50000"/>
          <a:lumOff val="50000"/>
        </a:schemeClr>
      </a:solidFill>
      <a:prstDash val="solid"/>
      <a:round/>
    </a:ln>
    <a:effectLst>
      <a:outerShdw blurRad="50800" dist="38100" algn="l" rotWithShape="0">
        <a:prstClr val="black">
          <a:alpha val="40000"/>
        </a:prstClr>
      </a:outerShdw>
    </a:effectLst>
  </c:spPr>
  <c:txPr>
    <a:bodyPr/>
    <a:lstStyle/>
    <a:p>
      <a:pPr>
        <a:defRPr lang="zh-CN" sz="90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[MS_EXCEL_PRACTICE.xlsx]DAY14-Pivot Charts!PivotTable2</c:name>
    <c:fmtId val="6"/>
  </c:pivotSource>
  <c:chart>
    <c:title>
      <c:tx>
        <c:rich>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en-US" altLang="zh-CN"/>
              <a:t>Count Of State</a:t>
            </a:r>
            <a:endParaRPr lang="en-US" altLang="zh-CN"/>
          </a:p>
        </c:rich>
      </c:tx>
      <c:layout/>
      <c:overlay val="0"/>
      <c:spPr>
        <a:noFill/>
        <a:ln>
          <a:noFill/>
        </a:ln>
        <a:effectLst/>
      </c:spPr>
    </c:title>
    <c:autoTitleDeleted val="0"/>
    <c:plotArea>
      <c:layout/>
      <c:doughnutChart>
        <c:varyColors val="1"/>
        <c:ser>
          <c:idx val="0"/>
          <c:order val="0"/>
          <c:tx>
            <c:strRef>
              <c:f>'DAY14-Pivot Charts'!$M$5</c:f>
              <c:strCache>
                <c:ptCount val="1"/>
                <c:pt idx="0">
                  <c:v>Total</c:v>
                </c:pt>
              </c:strCache>
            </c:strRef>
          </c:tx>
          <c:spPr>
            <a:effectLst/>
          </c:spPr>
          <c:explosion val="0"/>
          <c:dPt>
            <c:idx val="0"/>
            <c:bubble3D val="0"/>
            <c:spPr>
              <a:solidFill>
                <a:schemeClr val="accent1"/>
              </a:solidFill>
              <a:ln>
                <a:noFill/>
              </a:ln>
              <a:effectLst/>
            </c:spPr>
          </c:dPt>
          <c:dPt>
            <c:idx val="1"/>
            <c:bubble3D val="0"/>
            <c:spPr>
              <a:solidFill>
                <a:schemeClr val="accent3"/>
              </a:solidFill>
              <a:ln>
                <a:noFill/>
              </a:ln>
              <a:effectLst/>
            </c:spPr>
          </c:dPt>
          <c:dPt>
            <c:idx val="2"/>
            <c:bubble3D val="0"/>
            <c:spPr>
              <a:solidFill>
                <a:schemeClr val="accent5"/>
              </a:solidFill>
              <a:ln>
                <a:noFill/>
              </a:ln>
              <a:effectLst/>
            </c:spPr>
          </c:dPt>
          <c:dPt>
            <c:idx val="3"/>
            <c:bubble3D val="0"/>
            <c:spPr>
              <a:solidFill>
                <a:schemeClr val="accent1">
                  <a:lumMod val="60000"/>
                </a:schemeClr>
              </a:solidFill>
              <a:ln>
                <a:noFill/>
              </a:ln>
              <a:effectLst/>
            </c:spPr>
          </c:dPt>
          <c:dPt>
            <c:idx val="4"/>
            <c:bubble3D val="0"/>
            <c:spPr>
              <a:solidFill>
                <a:schemeClr val="accent3">
                  <a:lumMod val="60000"/>
                </a:schemeClr>
              </a:solidFill>
              <a:ln>
                <a:noFill/>
              </a:ln>
              <a:effectLst/>
            </c:spPr>
          </c:dPt>
          <c:dLbls>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'DAY14-Pivot Charts'!$L$6:$L$11</c:f>
              <c:strCache>
                <c:ptCount val="5"/>
                <c:pt idx="0">
                  <c:v>Delhi</c:v>
                </c:pt>
                <c:pt idx="1">
                  <c:v>Gujarat</c:v>
                </c:pt>
                <c:pt idx="2">
                  <c:v>Karnataka</c:v>
                </c:pt>
                <c:pt idx="3">
                  <c:v>Maharashtra</c:v>
                </c:pt>
                <c:pt idx="4">
                  <c:v>Tamil Nadu</c:v>
                </c:pt>
              </c:strCache>
            </c:strRef>
          </c:cat>
          <c:val>
            <c:numRef>
              <c:f>'DAY14-Pivot Charts'!$M$6:$M$11</c:f>
              <c:numCache>
                <c:formatCode>General</c:formatCode>
                <c:ptCount val="5"/>
                <c:pt idx="0">
                  <c:v>41</c:v>
                </c:pt>
                <c:pt idx="1">
                  <c:v>36</c:v>
                </c:pt>
                <c:pt idx="2">
                  <c:v>40</c:v>
                </c:pt>
                <c:pt idx="3">
                  <c:v>39</c:v>
                </c:pt>
                <c:pt idx="4">
                  <c:v>46</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29eaf84e-e9eb-4531-8d15-06751c4d0d0c}"/>
      </c:ext>
    </c:extLst>
  </c:chart>
  <c:spPr>
    <a:solidFill>
      <a:srgbClr val="FFFF00">
        <a:alpha val="59000"/>
      </a:srgbClr>
    </a:solidFill>
    <a:ln w="28575" cap="flat" cmpd="sng" algn="ctr">
      <a:solidFill>
        <a:schemeClr val="tx1">
          <a:lumMod val="50000"/>
          <a:lumOff val="50000"/>
        </a:schemeClr>
      </a:solidFill>
      <a:prstDash val="solid"/>
      <a:round/>
    </a:ln>
    <a:effectLst>
      <a:outerShdw blurRad="50800" dist="38100" algn="l" rotWithShape="0">
        <a:prstClr val="black">
          <a:alpha val="40000"/>
        </a:prstClr>
      </a:outerShdw>
    </a:effectLst>
  </c:spPr>
  <c:txPr>
    <a:bodyPr/>
    <a:lstStyle/>
    <a:p>
      <a:pPr>
        <a:defRPr lang="zh-CN" sz="90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[MS_EXCEL_PRACTICE.xlsx]DAY14-Pivot Charts!PivotTable2</c:name>
    <c:fmtId val="8"/>
  </c:pivotSource>
  <c:chart>
    <c:title>
      <c:layout/>
      <c:overlay val="0"/>
      <c:spPr>
        <a:noFill/>
        <a:ln>
          <a:noFill/>
        </a:ln>
        <a:effectLst/>
      </c:spPr>
      <c:txPr>
        <a:bodyPr rot="0" spcFirstLastPara="0" vertOverflow="ellipsis" vert="horz" wrap="square" anchor="ctr" anchorCtr="1"/>
        <a:lstStyle/>
        <a:p>
          <a:pPr>
            <a:defRPr lang="zh-CN" sz="1080" b="1"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title>
    <c:autoTitleDeleted val="0"/>
    <c:plotArea>
      <c:layout/>
      <c:barChart>
        <c:barDir val="bar"/>
        <c:grouping val="clustered"/>
        <c:varyColors val="0"/>
        <c:ser>
          <c:idx val="0"/>
          <c:order val="0"/>
          <c:tx>
            <c:strRef>
              <c:f>'DAY14-Pivot Charts'!$M$5</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'DAY14-Pivot Charts'!$L$6:$L$11</c:f>
              <c:strCache>
                <c:ptCount val="5"/>
                <c:pt idx="0">
                  <c:v>Delhi</c:v>
                </c:pt>
                <c:pt idx="1">
                  <c:v>Gujarat</c:v>
                </c:pt>
                <c:pt idx="2">
                  <c:v>Karnataka</c:v>
                </c:pt>
                <c:pt idx="3">
                  <c:v>Maharashtra</c:v>
                </c:pt>
                <c:pt idx="4">
                  <c:v>Tamil Nadu</c:v>
                </c:pt>
              </c:strCache>
            </c:strRef>
          </c:cat>
          <c:val>
            <c:numRef>
              <c:f>'DAY14-Pivot Charts'!$M$6:$M$11</c:f>
              <c:numCache>
                <c:formatCode>General</c:formatCode>
                <c:ptCount val="5"/>
                <c:pt idx="0">
                  <c:v>41</c:v>
                </c:pt>
                <c:pt idx="1">
                  <c:v>36</c:v>
                </c:pt>
                <c:pt idx="2">
                  <c:v>40</c:v>
                </c:pt>
                <c:pt idx="3">
                  <c:v>39</c:v>
                </c:pt>
                <c:pt idx="4">
                  <c:v>46</c:v>
                </c:pt>
              </c:numCache>
            </c:numRef>
          </c:val>
        </c:ser>
        <c:dLbls>
          <c:showLegendKey val="0"/>
          <c:showVal val="1"/>
          <c:showCatName val="0"/>
          <c:showSerName val="0"/>
          <c:showPercent val="0"/>
          <c:showBubbleSize val="0"/>
        </c:dLbls>
        <c:gapWidth val="150"/>
        <c:axId val="409098979"/>
        <c:axId val="174519409"/>
      </c:barChart>
      <c:catAx>
        <c:axId val="409098979"/>
        <c:scaling>
          <c:orientation val="minMax"/>
        </c:scaling>
        <c:delete val="0"/>
        <c:axPos val="l"/>
        <c:numFmt formatCode="General" sourceLinked="1"/>
        <c:majorTickMark val="out"/>
        <c:minorTickMark val="none"/>
        <c:tickLblPos val="nextTo"/>
        <c:spPr>
          <a:noFill/>
          <a:ln w="6350" cap="flat" cmpd="sng" algn="ctr">
            <a:solidFill>
              <a:schemeClr val="accent1">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174519409"/>
        <c:crosses val="autoZero"/>
        <c:auto val="1"/>
        <c:lblAlgn val="ctr"/>
        <c:lblOffset val="100"/>
        <c:noMultiLvlLbl val="0"/>
      </c:catAx>
      <c:valAx>
        <c:axId val="174519409"/>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409098979"/>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29eaf84e-e9eb-4531-8d15-06751c4d0d0c}"/>
      </c:ext>
    </c:extLst>
  </c:chart>
  <c:spPr>
    <a:solidFill>
      <a:srgbClr val="FFFF00">
        <a:alpha val="59000"/>
      </a:srgbClr>
    </a:solidFill>
    <a:ln w="28575" cap="flat" cmpd="sng" algn="ctr">
      <a:solidFill>
        <a:schemeClr val="tx1">
          <a:lumMod val="50000"/>
          <a:lumOff val="50000"/>
        </a:schemeClr>
      </a:solidFill>
      <a:prstDash val="solid"/>
      <a:round/>
    </a:ln>
    <a:effectLst>
      <a:outerShdw blurRad="50800" dist="38100" algn="l" rotWithShape="0">
        <a:prstClr val="black">
          <a:alpha val="40000"/>
        </a:prstClr>
      </a:outerShdw>
    </a:effectLst>
  </c:spPr>
  <c:txPr>
    <a:bodyPr/>
    <a:lstStyle/>
    <a:p>
      <a:pPr>
        <a:defRPr lang="zh-CN" sz="90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[MS_EXCEL_PRACTICE.xlsx]DASHBOARD!PivotTable1</c:name>
    <c:fmtId val="0"/>
  </c:pivotSource>
  <c:chart>
    <c:autoTitleDeleted val="1"/>
    <c:plotArea>
      <c:layout>
        <c:manualLayout>
          <c:layoutTarget val="inner"/>
          <c:xMode val="edge"/>
          <c:yMode val="edge"/>
          <c:x val="0.167972653168551"/>
          <c:y val="0.0956826137689615"/>
          <c:w val="0.778122534840915"/>
          <c:h val="0.897316219369895"/>
        </c:manualLayout>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solidFill>
                <a:schemeClr val="accent3"/>
              </a:solidFill>
              <a:ln>
                <a:noFill/>
              </a:ln>
              <a:effectLst/>
            </c:spPr>
            <c:txPr>
              <a:bodyPr rot="0" spcFirstLastPara="0" vertOverflow="ellipsis" vert="horz" wrap="square" lIns="38100" tIns="19050" rIns="38100" bIns="19050" anchor="ctr" anchorCtr="1"/>
              <a:lstStyle/>
              <a:p>
                <a:pPr>
                  <a:defRPr lang="en-US" sz="1000" b="1" i="0" u="none" strike="noStrike" kern="1200" baseline="0">
                    <a:ln w="12700" cmpd="sng">
                      <a:noFill/>
                      <a:prstDash val="solid"/>
                    </a:ln>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5"/>
                <c:pt idx="0">
                  <c:v>Janardan Mishra</c:v>
                </c:pt>
                <c:pt idx="1">
                  <c:v>Kamini Kumar</c:v>
                </c:pt>
                <c:pt idx="2">
                  <c:v>Rekha Agarwal</c:v>
                </c:pt>
                <c:pt idx="3">
                  <c:v>Saroj Parita</c:v>
                </c:pt>
                <c:pt idx="4">
                  <c:v>Shivji Prasad</c:v>
                </c:pt>
              </c:strCache>
            </c:strRef>
          </c:cat>
          <c:val>
            <c:numRef>
              <c:f>DASHBOARD!$B$4:$B$8</c:f>
              <c:numCache>
                <c:formatCode>General</c:formatCode>
                <c:ptCount val="5"/>
                <c:pt idx="0">
                  <c:v>355</c:v>
                </c:pt>
                <c:pt idx="1">
                  <c:v>322</c:v>
                </c:pt>
                <c:pt idx="2">
                  <c:v>350</c:v>
                </c:pt>
                <c:pt idx="3">
                  <c:v>353</c:v>
                </c:pt>
                <c:pt idx="4">
                  <c:v>301</c:v>
                </c:pt>
              </c:numCache>
            </c:numRef>
          </c:val>
        </c:ser>
        <c:dLbls>
          <c:showLegendKey val="0"/>
          <c:showVal val="1"/>
          <c:showCatName val="0"/>
          <c:showSerName val="0"/>
          <c:showPercent val="0"/>
          <c:showBubbleSize val="0"/>
        </c:dLbls>
        <c:gapWidth val="140"/>
        <c:overlap val="-40"/>
        <c:axId val="490473700"/>
        <c:axId val="468303380"/>
      </c:barChart>
      <c:catAx>
        <c:axId val="490473700"/>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a:outerShdw blurRad="342900" dir="5400000" sx="1000" sy="1000" algn="ctr" rotWithShape="0">
              <a:srgbClr val="000000">
                <a:alpha val="100000"/>
              </a:srgbClr>
            </a:outerShdw>
          </a:effectLst>
        </c:spPr>
        <c:txPr>
          <a:bodyPr rot="-60000000" spcFirstLastPara="0" vertOverflow="ellipsis" vert="horz" wrap="square" anchor="ctr" anchorCtr="1"/>
          <a:lstStyle/>
          <a:p>
            <a:pPr>
              <a:defRPr lang="en-US" sz="900" b="0" i="0" u="none" strike="noStrike" kern="1200" baseline="0">
                <a:ln w="12700" cmpd="sng">
                  <a:noFill/>
                  <a:prstDash val="solid"/>
                </a:ln>
                <a:solidFill>
                  <a:schemeClr val="tx1"/>
                </a:solidFill>
                <a:latin typeface="+mn-lt"/>
                <a:ea typeface="+mn-ea"/>
                <a:cs typeface="+mn-cs"/>
              </a:defRPr>
            </a:pPr>
          </a:p>
        </c:txPr>
        <c:crossAx val="468303380"/>
        <c:crosses val="autoZero"/>
        <c:auto val="1"/>
        <c:lblAlgn val="ctr"/>
        <c:lblOffset val="100"/>
        <c:noMultiLvlLbl val="0"/>
      </c:catAx>
      <c:valAx>
        <c:axId val="468303380"/>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900" b="0" i="0" u="none" strike="noStrike" kern="1200" baseline="0">
                <a:ln w="12700" cmpd="sng">
                  <a:noFill/>
                  <a:prstDash val="solid"/>
                </a:ln>
                <a:solidFill>
                  <a:schemeClr val="tx1"/>
                </a:solidFill>
                <a:latin typeface="+mn-lt"/>
                <a:ea typeface="+mn-ea"/>
                <a:cs typeface="+mn-cs"/>
              </a:defRPr>
            </a:pPr>
          </a:p>
        </c:txPr>
        <c:crossAx val="490473700"/>
        <c:crosses val="autoZero"/>
        <c:crossBetween val="between"/>
      </c:valAx>
      <c:spPr>
        <a:noFill/>
        <a:ln>
          <a:noFill/>
        </a:ln>
        <a:effectLst/>
      </c:spPr>
    </c:plotArea>
    <c:plotVisOnly val="1"/>
    <c:dispBlanksAs val="gap"/>
    <c:showDLblsOverMax val="0"/>
    <c:extLst>
      <c:ext uri="{0b15fc19-7d7d-44ad-8c2d-2c3a37ce22c3}">
        <chartProps xmlns="https://web.wps.cn/et/2018/main" chartId="{1991b079-cf86-42ab-a9f7-dd841e1ee3c8}"/>
      </c:ext>
    </c:extLst>
  </c:chart>
  <c:spPr>
    <a:solidFill>
      <a:schemeClr val="accent1">
        <a:lumMod val="20000"/>
        <a:lumOff val="80000"/>
      </a:schemeClr>
    </a:solidFill>
    <a:ln w="28575" cap="flat" cmpd="sng" algn="ctr">
      <a:solidFill>
        <a:schemeClr val="tx1">
          <a:lumMod val="15000"/>
          <a:lumOff val="85000"/>
        </a:schemeClr>
      </a:solidFill>
      <a:prstDash val="solid"/>
      <a:round/>
    </a:ln>
    <a:effectLst>
      <a:glow rad="101600">
        <a:srgbClr val="0070C0">
          <a:alpha val="40000"/>
        </a:srgbClr>
      </a:glow>
      <a:outerShdw blurRad="63500" sx="102000" sy="102000" algn="ctr" rotWithShape="0">
        <a:prstClr val="black">
          <a:alpha val="40000"/>
        </a:prstClr>
      </a:outerShdw>
      <a:softEdge rad="12700"/>
    </a:effectLst>
  </c:spPr>
  <c:txPr>
    <a:bodyPr/>
    <a:lstStyle/>
    <a:p>
      <a:pPr>
        <a:defRPr lang="en-US">
          <a:ln w="12700" cmpd="sng">
            <a:noFill/>
            <a:prstDash val="solid"/>
          </a:ln>
          <a:solidFill>
            <a:schemeClr val="tx1"/>
          </a:solidFill>
        </a:defRPr>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[MS_EXCEL_PRACTICE.xlsx]DASHBOARD!PivotTable3</c:name>
    <c:fmtId val="0"/>
  </c:pivotSource>
  <c:chart>
    <c:autoTitleDeleted val="1"/>
    <c:plotArea>
      <c:layout/>
      <c:pieChart>
        <c:varyColors val="1"/>
        <c:ser>
          <c:idx val="0"/>
          <c:order val="0"/>
          <c:tx>
            <c:strRef>
              <c:f>DASHBOARD!$H$3</c:f>
              <c:strCache>
                <c:ptCount val="1"/>
                <c:pt idx="0">
                  <c:v>Total</c:v>
                </c:pt>
              </c:strCache>
            </c:strRef>
          </c:tx>
          <c:spPr/>
          <c:explosion val="0"/>
          <c:dPt>
            <c:idx val="0"/>
            <c:bubble3D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c:spPr>
          </c:dPt>
          <c:dPt>
            <c:idx val="1"/>
            <c:bubble3D val="0"/>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c:spPr>
          </c:dPt>
          <c:dPt>
            <c:idx val="2"/>
            <c:bubble3D val="0"/>
            <c: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ln>
              <a:effectLst/>
            </c:spPr>
          </c:dPt>
          <c:dPt>
            <c:idx val="3"/>
            <c:bubble3D val="0"/>
            <c:spPr>
              <a:gradFill>
                <a:gsLst>
                  <a:gs pos="0">
                    <a:schemeClr val="accent4">
                      <a:lumMod val="40000"/>
                      <a:lumOff val="60000"/>
                    </a:schemeClr>
                  </a:gs>
                  <a:gs pos="90000">
                    <a:schemeClr val="accent4"/>
                  </a:gs>
                </a:gsLst>
                <a:lin ang="5400000" scaled="0"/>
              </a:gradFill>
              <a:ln>
                <a:gradFill>
                  <a:gsLst>
                    <a:gs pos="0">
                      <a:schemeClr val="accent4"/>
                    </a:gs>
                    <a:gs pos="100000">
                      <a:schemeClr val="accent4">
                        <a:lumMod val="75000"/>
                      </a:schemeClr>
                    </a:gs>
                  </a:gsLst>
                  <a:lin ang="5400000" scaled="1"/>
                </a:gradFill>
              </a:ln>
              <a:effectLst/>
            </c:spPr>
          </c:dPt>
          <c:dPt>
            <c:idx val="4"/>
            <c:bubble3D val="0"/>
            <c:spPr>
              <a:gradFill>
                <a:gsLst>
                  <a:gs pos="0">
                    <a:schemeClr val="accent5">
                      <a:lumMod val="40000"/>
                      <a:lumOff val="60000"/>
                    </a:schemeClr>
                  </a:gs>
                  <a:gs pos="90000">
                    <a:schemeClr val="accent5"/>
                  </a:gs>
                </a:gsLst>
                <a:lin ang="5400000" scaled="0"/>
              </a:gradFill>
              <a:ln>
                <a:gradFill>
                  <a:gsLst>
                    <a:gs pos="0">
                      <a:schemeClr val="accent5"/>
                    </a:gs>
                    <a:gs pos="100000">
                      <a:schemeClr val="accent5">
                        <a:lumMod val="75000"/>
                      </a:schemeClr>
                    </a:gs>
                  </a:gsLst>
                  <a:lin ang="5400000" scaled="1"/>
                </a:gradFill>
              </a:ln>
              <a:effectLst/>
            </c:spPr>
          </c:dPt>
          <c:dLbls>
            <c:dLbl>
              <c:idx val="0"/>
              <c:layout/>
              <c:numFmt formatCode="General" sourceLinked="1"/>
              <c:spPr>
                <a:noFill/>
                <a:ln>
                  <a:noFill/>
                </a:ln>
                <a:effectLst/>
              </c:spPr>
              <c:txPr>
                <a:bodyPr rot="0" spcFirstLastPara="0" vertOverflow="ellipsis" vert="horz" wrap="square" lIns="38100" tIns="274320" rIns="38100" bIns="19050" anchor="ctr" anchorCtr="0"/>
                <a:lstStyle/>
                <a:p>
                  <a:pPr>
                    <a:defRPr lang="en-US" sz="1200" b="1" i="0" u="none" strike="noStrike" kern="1200" spc="0" baseline="0">
                      <a:solidFill>
                        <a:schemeClr val="tx1"/>
                      </a:solidFill>
                      <a:effectLst>
                        <a:outerShdw dir="3600000" sx="1000" sy="1000" rotWithShape="0">
                          <a:srgbClr val="000000">
                            <a:alpha val="100000"/>
                          </a:srgbClr>
                        </a:outerShdw>
                      </a:effectLst>
                      <a:latin typeface="+mn-lt"/>
                      <a:ea typeface="+mn-ea"/>
                      <a:cs typeface="+mn-cs"/>
                    </a:defRPr>
                  </a:pPr>
                </a:p>
              </c:txPr>
              <c:dLblPos val="outEnd"/>
              <c:showLegendKey val="0"/>
              <c:showVal val="0"/>
              <c:showCatName val="1"/>
              <c:showSerName val="0"/>
              <c:showPercent val="1"/>
              <c:showBubbleSize val="0"/>
              <c:separator>
</c:separator>
              <c:extLst>
                <c:ext xmlns:c15="http://schemas.microsoft.com/office/drawing/2012/chart" uri="{CE6537A1-D6FC-4f65-9D91-7224C49458BB}"/>
              </c:extLst>
            </c:dLbl>
            <c:dLbl>
              <c:idx val="1"/>
              <c:layout/>
              <c:numFmt formatCode="General" sourceLinked="1"/>
              <c:spPr>
                <a:noFill/>
                <a:ln>
                  <a:noFill/>
                </a:ln>
                <a:effectLst/>
              </c:spPr>
              <c:txPr>
                <a:bodyPr rot="0" spcFirstLastPara="0" vertOverflow="ellipsis" vert="horz" wrap="square" lIns="38100" tIns="274320" rIns="38100" bIns="19050" anchor="ctr" anchorCtr="0"/>
                <a:lstStyle/>
                <a:p>
                  <a:pPr>
                    <a:defRPr lang="en-US" sz="1200" b="1" i="0" u="none" strike="noStrike" kern="1200" spc="0" baseline="0">
                      <a:solidFill>
                        <a:schemeClr val="tx1"/>
                      </a:solidFill>
                      <a:effectLst>
                        <a:outerShdw dir="3600000" sx="1000" sy="1000" rotWithShape="0">
                          <a:srgbClr val="000000">
                            <a:alpha val="100000"/>
                          </a:srgbClr>
                        </a:outerShdw>
                      </a:effectLst>
                      <a:latin typeface="+mn-lt"/>
                      <a:ea typeface="+mn-ea"/>
                      <a:cs typeface="+mn-cs"/>
                    </a:defRPr>
                  </a:pPr>
                </a:p>
              </c:txPr>
              <c:dLblPos val="outEnd"/>
              <c:showLegendKey val="0"/>
              <c:showVal val="0"/>
              <c:showCatName val="1"/>
              <c:showSerName val="0"/>
              <c:showPercent val="1"/>
              <c:showBubbleSize val="0"/>
              <c:separator>
</c:separator>
              <c:extLst>
                <c:ext xmlns:c15="http://schemas.microsoft.com/office/drawing/2012/chart" uri="{CE6537A1-D6FC-4f65-9D91-7224C49458BB}"/>
              </c:extLst>
            </c:dLbl>
            <c:dLbl>
              <c:idx val="2"/>
              <c:layout/>
              <c:numFmt formatCode="General" sourceLinked="1"/>
              <c:spPr>
                <a:noFill/>
                <a:ln>
                  <a:noFill/>
                </a:ln>
                <a:effectLst/>
              </c:spPr>
              <c:txPr>
                <a:bodyPr rot="0" spcFirstLastPara="0" vertOverflow="ellipsis" vert="horz" wrap="square" lIns="38100" tIns="274320" rIns="38100" bIns="19050" anchor="ctr" anchorCtr="0"/>
                <a:lstStyle/>
                <a:p>
                  <a:pPr>
                    <a:defRPr lang="en-US" sz="1200" b="1" i="0" u="none" strike="noStrike" kern="1200" spc="0" baseline="0">
                      <a:solidFill>
                        <a:schemeClr val="tx1"/>
                      </a:solidFill>
                      <a:effectLst>
                        <a:outerShdw dir="3600000" sx="1000" sy="1000" rotWithShape="0">
                          <a:srgbClr val="000000">
                            <a:alpha val="100000"/>
                          </a:srgbClr>
                        </a:outerShdw>
                      </a:effectLst>
                      <a:latin typeface="+mn-lt"/>
                      <a:ea typeface="+mn-ea"/>
                      <a:cs typeface="+mn-cs"/>
                    </a:defRPr>
                  </a:pPr>
                </a:p>
              </c:txPr>
              <c:dLblPos val="outEnd"/>
              <c:showLegendKey val="0"/>
              <c:showVal val="0"/>
              <c:showCatName val="1"/>
              <c:showSerName val="0"/>
              <c:showPercent val="1"/>
              <c:showBubbleSize val="0"/>
              <c:separator>
</c:separator>
              <c:extLst>
                <c:ext xmlns:c15="http://schemas.microsoft.com/office/drawing/2012/chart" uri="{CE6537A1-D6FC-4f65-9D91-7224C49458BB}"/>
              </c:extLst>
            </c:dLbl>
            <c:dLbl>
              <c:idx val="3"/>
              <c:layout/>
              <c:numFmt formatCode="General" sourceLinked="1"/>
              <c:spPr>
                <a:noFill/>
                <a:ln>
                  <a:noFill/>
                </a:ln>
                <a:effectLst/>
              </c:spPr>
              <c:txPr>
                <a:bodyPr rot="0" spcFirstLastPara="0" vertOverflow="ellipsis" vert="horz" wrap="square" lIns="38100" tIns="274320" rIns="38100" bIns="19050" anchor="ctr" anchorCtr="0"/>
                <a:lstStyle/>
                <a:p>
                  <a:pPr>
                    <a:defRPr lang="en-US" sz="1200" b="1" i="0" u="none" strike="noStrike" kern="1200" spc="0" baseline="0">
                      <a:solidFill>
                        <a:schemeClr val="tx1"/>
                      </a:solidFill>
                      <a:effectLst>
                        <a:outerShdw dir="3600000" sx="1000" sy="1000" rotWithShape="0">
                          <a:srgbClr val="000000">
                            <a:alpha val="100000"/>
                          </a:srgbClr>
                        </a:outerShdw>
                      </a:effectLst>
                      <a:latin typeface="+mn-lt"/>
                      <a:ea typeface="+mn-ea"/>
                      <a:cs typeface="+mn-cs"/>
                    </a:defRPr>
                  </a:pPr>
                </a:p>
              </c:txPr>
              <c:dLblPos val="outEnd"/>
              <c:showLegendKey val="0"/>
              <c:showVal val="0"/>
              <c:showCatName val="1"/>
              <c:showSerName val="0"/>
              <c:showPercent val="1"/>
              <c:showBubbleSize val="0"/>
              <c:separator>
</c:separator>
              <c:extLst>
                <c:ext xmlns:c15="http://schemas.microsoft.com/office/drawing/2012/chart" uri="{CE6537A1-D6FC-4f65-9D91-7224C49458BB}"/>
              </c:extLst>
            </c:dLbl>
            <c:dLbl>
              <c:idx val="4"/>
              <c:layout/>
              <c:numFmt formatCode="General" sourceLinked="1"/>
              <c:spPr>
                <a:noFill/>
                <a:ln>
                  <a:noFill/>
                </a:ln>
                <a:effectLst/>
              </c:spPr>
              <c:txPr>
                <a:bodyPr rot="0" spcFirstLastPara="0" vertOverflow="ellipsis" vert="horz" wrap="square" lIns="38100" tIns="274320" rIns="38100" bIns="19050" anchor="ctr" anchorCtr="0"/>
                <a:lstStyle/>
                <a:p>
                  <a:pPr>
                    <a:defRPr lang="en-US" sz="1200" b="1" i="0" u="none" strike="noStrike" kern="1200" spc="0" baseline="0">
                      <a:solidFill>
                        <a:schemeClr val="tx1"/>
                      </a:solidFill>
                      <a:effectLst>
                        <a:outerShdw dir="3600000" sx="1000" sy="1000" rotWithShape="0">
                          <a:srgbClr val="000000">
                            <a:alpha val="100000"/>
                          </a:srgbClr>
                        </a:outerShdw>
                      </a:effectLst>
                      <a:latin typeface="+mn-lt"/>
                      <a:ea typeface="+mn-ea"/>
                      <a:cs typeface="+mn-cs"/>
                    </a:defRPr>
                  </a:pPr>
                </a:p>
              </c:txPr>
              <c:dLblPos val="outEnd"/>
              <c:showLegendKey val="0"/>
              <c:showVal val="0"/>
              <c:showCatName val="1"/>
              <c:showSerName val="0"/>
              <c:showPercent val="1"/>
              <c:showBubbleSize val="0"/>
              <c:separator>
</c:separator>
              <c:extLst>
                <c:ext xmlns:c15="http://schemas.microsoft.com/office/drawing/2012/chart" uri="{CE6537A1-D6FC-4f65-9D91-7224C49458BB}"/>
              </c:extLst>
            </c:dLbl>
            <c:spPr>
              <a:noFill/>
              <a:ln>
                <a:noFill/>
              </a:ln>
              <a:effectLst/>
            </c:spPr>
            <c:txPr>
              <a:bodyPr rot="0" spcFirstLastPara="0" vertOverflow="ellipsis" vert="horz" wrap="square" lIns="38100" tIns="274320" rIns="38100" bIns="19050" anchor="ctr" anchorCtr="0">
                <a:noAutofit/>
              </a:bodyPr>
              <a:lstStyle/>
              <a:p>
                <a:pPr>
                  <a:defRPr lang="en-US" sz="1200" b="1" i="0" u="none" strike="noStrike" kern="1200" spc="0" baseline="0">
                    <a:solidFill>
                      <a:schemeClr val="tx1"/>
                    </a:solidFill>
                    <a:effectLst>
                      <a:outerShdw dir="3600000" sx="1000" sy="1000" rotWithShape="0">
                        <a:srgbClr val="000000">
                          <a:alpha val="100000"/>
                        </a:srgbClr>
                      </a:outerShdw>
                    </a:effectLst>
                    <a:latin typeface="+mn-lt"/>
                    <a:ea typeface="+mn-ea"/>
                    <a:cs typeface="+mn-cs"/>
                  </a:defRPr>
                </a:pPr>
              </a:p>
            </c:txPr>
            <c:dLblPos val="outEnd"/>
            <c:showLegendKey val="0"/>
            <c:showVal val="0"/>
            <c:showCatName val="1"/>
            <c:showSerName val="0"/>
            <c:showPercent val="1"/>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DASHBOARD!$G$4:$G$8</c:f>
              <c:strCache>
                <c:ptCount val="5"/>
                <c:pt idx="0">
                  <c:v>Janardan Mishra</c:v>
                </c:pt>
                <c:pt idx="1">
                  <c:v>Kamini Kumar</c:v>
                </c:pt>
                <c:pt idx="2">
                  <c:v>Rekha Agarwal</c:v>
                </c:pt>
                <c:pt idx="3">
                  <c:v>Saroj Parita</c:v>
                </c:pt>
                <c:pt idx="4">
                  <c:v>Shivji Prasad</c:v>
                </c:pt>
              </c:strCache>
            </c:strRef>
          </c:cat>
          <c:val>
            <c:numRef>
              <c:f>DASHBOARD!$H$4:$H$8</c:f>
              <c:numCache>
                <c:formatCode>0.00%</c:formatCode>
                <c:ptCount val="5"/>
                <c:pt idx="0">
                  <c:v>0.71</c:v>
                </c:pt>
                <c:pt idx="1">
                  <c:v>0.644</c:v>
                </c:pt>
                <c:pt idx="2">
                  <c:v>0.7</c:v>
                </c:pt>
                <c:pt idx="3">
                  <c:v>0.706</c:v>
                </c:pt>
                <c:pt idx="4">
                  <c:v>0.602</c:v>
                </c:pt>
              </c:numCache>
            </c:numRef>
          </c:val>
        </c:ser>
        <c:dLbls>
          <c:showLegendKey val="0"/>
          <c:showVal val="0"/>
          <c:showCatName val="1"/>
          <c:showSerName val="0"/>
          <c:showPercent val="0"/>
          <c:showBubbleSize val="0"/>
          <c:showLeaderLines val="0"/>
        </c:dLbls>
        <c:firstSliceAng val="0"/>
      </c:pieChart>
      <c:spPr>
        <a:noFill/>
        <a:ln>
          <a:noFill/>
        </a:ln>
        <a:effectLst/>
      </c:spPr>
    </c:plotArea>
    <c:plotVisOnly val="1"/>
    <c:dispBlanksAs val="gap"/>
    <c:showDLblsOverMax val="0"/>
    <c:extLst>
      <c:ext uri="{0b15fc19-7d7d-44ad-8c2d-2c3a37ce22c3}">
        <chartProps xmlns="https://web.wps.cn/et/2018/main" chartId="{04fbf9b1-4280-46e9-b929-682f51c1b8a3}"/>
      </c:ext>
    </c:extLst>
  </c:chart>
  <c:spPr>
    <a:solidFill>
      <a:schemeClr val="accent3">
        <a:lumMod val="20000"/>
        <a:lumOff val="80000"/>
      </a:schemeClr>
    </a:solidFill>
    <a:ln w="19050" cap="flat" cmpd="sng" algn="ctr">
      <a:solidFill>
        <a:srgbClr val="FFC000"/>
      </a:solidFill>
      <a:prstDash val="solid"/>
      <a:round/>
    </a:ln>
    <a:effectLst>
      <a:glow rad="25400">
        <a:schemeClr val="accent2">
          <a:satMod val="175000"/>
          <a:alpha val="40000"/>
        </a:schemeClr>
      </a:glow>
      <a:outerShdw blurRad="63500" sx="102000" sy="102000" algn="ctr" rotWithShape="0">
        <a:prstClr val="black">
          <a:alpha val="40000"/>
        </a:prstClr>
      </a:outerShdw>
      <a:softEdge rad="12700"/>
    </a:effectLst>
  </c:spPr>
  <c:txPr>
    <a:bodyPr rot="0" vert="mongolianVert" anchor="ctr" anchorCtr="0"/>
    <a:lstStyle/>
    <a:p>
      <a:pPr>
        <a:defRPr lang="en-US">
          <a:effectLst>
            <a:outerShdw dir="3600000" sx="1000" sy="1000" rotWithShape="0">
              <a:srgbClr val="000000">
                <a:alpha val="100000"/>
              </a:srgbClr>
            </a:outerShdw>
          </a:effectLst>
        </a:defRPr>
      </a:pP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[MS_EXCEL_PRACTICE.xlsx]DASHBOARD!PivotTable6</c:name>
    <c:fmtId val="0"/>
  </c:pivotSource>
  <c:chart>
    <c:autoTitleDeleted val="1"/>
    <c:plotArea>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none"/>
          </c:marker>
          <c:dLbls>
            <c:spPr>
              <a:solidFill>
                <a:schemeClr val="accent3"/>
              </a:solidFill>
              <a:ln>
                <a:noFill/>
              </a:ln>
              <a:effectLst/>
            </c:spPr>
            <c:txPr>
              <a:bodyPr rot="0" spcFirstLastPara="0" vertOverflow="ellipsis" vert="horz" wrap="square" lIns="38100" tIns="19050" rIns="38100" bIns="19050" anchor="ctr" anchorCtr="1"/>
              <a:lstStyle/>
              <a:p>
                <a:pPr>
                  <a:defRPr lang="en-US" sz="1100" b="1"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DASHBOARD!$J$4:$J$8</c:f>
              <c:strCache>
                <c:ptCount val="5"/>
                <c:pt idx="0">
                  <c:v>Janardan Mishra</c:v>
                </c:pt>
                <c:pt idx="1">
                  <c:v>Kamini Kumar</c:v>
                </c:pt>
                <c:pt idx="2">
                  <c:v>Rekha Agarwal</c:v>
                </c:pt>
                <c:pt idx="3">
                  <c:v>Saroj Parita</c:v>
                </c:pt>
                <c:pt idx="4">
                  <c:v>Shivji Prasad</c:v>
                </c:pt>
              </c:strCache>
            </c:strRef>
          </c:cat>
          <c:val>
            <c:numRef>
              <c:f>DASHBOARD!$K$4:$K$8</c:f>
              <c:numCache>
                <c:formatCode>0.00%</c:formatCode>
                <c:ptCount val="5"/>
                <c:pt idx="0">
                  <c:v>0.29</c:v>
                </c:pt>
                <c:pt idx="1">
                  <c:v>0.356</c:v>
                </c:pt>
                <c:pt idx="2">
                  <c:v>0.3</c:v>
                </c:pt>
                <c:pt idx="3">
                  <c:v>0.294</c:v>
                </c:pt>
                <c:pt idx="4">
                  <c:v>0.398</c:v>
                </c:pt>
              </c:numCache>
            </c:numRef>
          </c:val>
          <c:smooth val="0"/>
        </c:ser>
        <c:dLbls>
          <c:showLegendKey val="0"/>
          <c:showVal val="1"/>
          <c:showCatName val="0"/>
          <c:showSerName val="0"/>
          <c:showPercent val="0"/>
          <c:showBubbleSize val="0"/>
        </c:dLbls>
        <c:marker val="0"/>
        <c:smooth val="0"/>
        <c:axId val="85686694"/>
        <c:axId val="77348681"/>
      </c:lineChart>
      <c:catAx>
        <c:axId val="8568669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1100" b="1" i="0" u="none" strike="noStrike" kern="1200" baseline="0">
                <a:solidFill>
                  <a:schemeClr val="tx1"/>
                </a:solidFill>
                <a:latin typeface="+mn-lt"/>
                <a:ea typeface="+mn-ea"/>
                <a:cs typeface="+mn-cs"/>
              </a:defRPr>
            </a:pPr>
          </a:p>
        </c:txPr>
        <c:crossAx val="77348681"/>
        <c:crosses val="autoZero"/>
        <c:auto val="1"/>
        <c:lblAlgn val="ctr"/>
        <c:lblOffset val="100"/>
        <c:noMultiLvlLbl val="0"/>
      </c:catAx>
      <c:valAx>
        <c:axId val="77348681"/>
        <c:scaling>
          <c:orientation val="minMax"/>
        </c:scaling>
        <c:delete val="1"/>
        <c:axPos val="l"/>
        <c:numFmt formatCode="0.00%" sourceLinked="1"/>
        <c:majorTickMark val="none"/>
        <c:minorTickMark val="none"/>
        <c:tickLblPos val="nextTo"/>
        <c:txPr>
          <a:bodyPr rot="-60000000" spcFirstLastPara="0" vertOverflow="ellipsis" vert="horz" wrap="square" anchor="ctr" anchorCtr="1"/>
          <a:lstStyle/>
          <a:p>
            <a:pPr>
              <a:defRPr lang="en-US" sz="1100" b="1" i="0" u="none" strike="noStrike" kern="1200" baseline="0">
                <a:solidFill>
                  <a:schemeClr val="tx1"/>
                </a:solidFill>
                <a:latin typeface="+mn-lt"/>
                <a:ea typeface="+mn-ea"/>
                <a:cs typeface="+mn-cs"/>
              </a:defRPr>
            </a:pPr>
          </a:p>
        </c:txPr>
        <c:crossAx val="85686694"/>
        <c:crosses val="autoZero"/>
        <c:crossBetween val="between"/>
      </c:valAx>
      <c:spPr>
        <a:noFill/>
        <a:ln>
          <a:noFill/>
        </a:ln>
        <a:effectLst/>
      </c:spPr>
    </c:plotArea>
    <c:plotVisOnly val="1"/>
    <c:dispBlanksAs val="gap"/>
    <c:showDLblsOverMax val="0"/>
    <c:extLst>
      <c:ext uri="{0b15fc19-7d7d-44ad-8c2d-2c3a37ce22c3}">
        <chartProps xmlns="https://web.wps.cn/et/2018/main" chartId="{edf9f90f-a758-45c9-8e10-939fbb3e64c2}"/>
      </c:ext>
    </c:extLst>
  </c:chart>
  <c:spPr>
    <a:solidFill>
      <a:schemeClr val="accent5">
        <a:lumMod val="40000"/>
        <a:lumOff val="60000"/>
      </a:schemeClr>
    </a:solidFill>
    <a:ln w="28575" cap="flat" cmpd="sng" algn="ctr">
      <a:solidFill>
        <a:srgbClr val="00B0F0"/>
      </a:solidFill>
      <a:prstDash val="solid"/>
      <a:round/>
    </a:ln>
    <a:effectLst>
      <a:glow rad="63500">
        <a:schemeClr val="accent2">
          <a:satMod val="175000"/>
          <a:alpha val="40000"/>
        </a:schemeClr>
      </a:glow>
      <a:outerShdw blurRad="63500" sx="102000" sy="102000" algn="ctr" rotWithShape="0">
        <a:prstClr val="black">
          <a:alpha val="40000"/>
        </a:prstClr>
      </a:outerShdw>
    </a:effectLst>
  </c:spPr>
  <c:txPr>
    <a:bodyPr/>
    <a:lstStyle/>
    <a:p>
      <a:pPr>
        <a:defRPr lang="en-US" sz="1100" b="1">
          <a:solidFill>
            <a:schemeClr val="tx1"/>
          </a:solidFill>
        </a:defRPr>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8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0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0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8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cs:fontRef>
    <cs:defRPr sz="1000" b="1" i="0" u="none" strike="noStrike" kern="1200" spc="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13</xdr:col>
      <xdr:colOff>139700</xdr:colOff>
      <xdr:row>0</xdr:row>
      <xdr:rowOff>635</xdr:rowOff>
    </xdr:from>
    <xdr:to>
      <xdr:col>15</xdr:col>
      <xdr:colOff>763905</xdr:colOff>
      <xdr:row>12</xdr:row>
      <xdr:rowOff>173355</xdr:rowOff>
    </xdr:to>
    <xdr:graphicFrame>
      <xdr:nvGraphicFramePr>
        <xdr:cNvPr id="2" name="Chart 1"/>
        <xdr:cNvGraphicFramePr/>
      </xdr:nvGraphicFramePr>
      <xdr:xfrm>
        <a:off x="9168130" y="635"/>
        <a:ext cx="2606675" cy="30302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139700</xdr:colOff>
      <xdr:row>13</xdr:row>
      <xdr:rowOff>52705</xdr:rowOff>
    </xdr:from>
    <xdr:to>
      <xdr:col>15</xdr:col>
      <xdr:colOff>768985</xdr:colOff>
      <xdr:row>27</xdr:row>
      <xdr:rowOff>73025</xdr:rowOff>
    </xdr:to>
    <xdr:graphicFrame>
      <xdr:nvGraphicFramePr>
        <xdr:cNvPr id="3" name="Chart 2" descr="7b0a202020202263686172745265734964223a202234363130333534220a7d0a"/>
        <xdr:cNvGraphicFramePr/>
      </xdr:nvGraphicFramePr>
      <xdr:xfrm>
        <a:off x="9168130" y="3103880"/>
        <a:ext cx="2611755" cy="34620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825500</xdr:colOff>
      <xdr:row>13</xdr:row>
      <xdr:rowOff>85725</xdr:rowOff>
    </xdr:from>
    <xdr:to>
      <xdr:col>19</xdr:col>
      <xdr:colOff>73660</xdr:colOff>
      <xdr:row>27</xdr:row>
      <xdr:rowOff>17145</xdr:rowOff>
    </xdr:to>
    <xdr:graphicFrame>
      <xdr:nvGraphicFramePr>
        <xdr:cNvPr id="4" name="Chart 3" descr="7b0a202020202263686172745265734964223a202234363130333534220a7d0a"/>
        <xdr:cNvGraphicFramePr/>
      </xdr:nvGraphicFramePr>
      <xdr:xfrm>
        <a:off x="11836400" y="3136900"/>
        <a:ext cx="2584450" cy="33731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825500</xdr:colOff>
      <xdr:row>0</xdr:row>
      <xdr:rowOff>6350</xdr:rowOff>
    </xdr:from>
    <xdr:to>
      <xdr:col>19</xdr:col>
      <xdr:colOff>31750</xdr:colOff>
      <xdr:row>12</xdr:row>
      <xdr:rowOff>172085</xdr:rowOff>
    </xdr:to>
    <xdr:graphicFrame>
      <xdr:nvGraphicFramePr>
        <xdr:cNvPr id="5" name="Chart 4" descr="7b0a202020202263686172745265734964223a202234363130333534220a7d0a"/>
        <xdr:cNvGraphicFramePr/>
      </xdr:nvGraphicFramePr>
      <xdr:xfrm>
        <a:off x="11836400" y="6350"/>
        <a:ext cx="2542540" cy="302323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203200</xdr:colOff>
      <xdr:row>13</xdr:row>
      <xdr:rowOff>85725</xdr:rowOff>
    </xdr:from>
    <xdr:to>
      <xdr:col>13</xdr:col>
      <xdr:colOff>38100</xdr:colOff>
      <xdr:row>27</xdr:row>
      <xdr:rowOff>106045</xdr:rowOff>
    </xdr:to>
    <xdr:graphicFrame>
      <xdr:nvGraphicFramePr>
        <xdr:cNvPr id="6" name="Chart 5" descr="7b0a202020202263686172745265734964223a202234363130333534220a7d0a"/>
        <xdr:cNvGraphicFramePr/>
      </xdr:nvGraphicFramePr>
      <xdr:xfrm>
        <a:off x="6454775" y="3136900"/>
        <a:ext cx="2611755" cy="34620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6350</xdr:colOff>
      <xdr:row>8</xdr:row>
      <xdr:rowOff>177800</xdr:rowOff>
    </xdr:from>
    <xdr:to>
      <xdr:col>5</xdr:col>
      <xdr:colOff>17145</xdr:colOff>
      <xdr:row>23</xdr:row>
      <xdr:rowOff>158115</xdr:rowOff>
    </xdr:to>
    <xdr:graphicFrame>
      <xdr:nvGraphicFramePr>
        <xdr:cNvPr id="2" name="Chart 1"/>
        <xdr:cNvGraphicFramePr/>
      </xdr:nvGraphicFramePr>
      <xdr:xfrm>
        <a:off x="6350" y="2316480"/>
        <a:ext cx="4507865" cy="27425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25400</xdr:colOff>
      <xdr:row>8</xdr:row>
      <xdr:rowOff>151765</xdr:rowOff>
    </xdr:from>
    <xdr:to>
      <xdr:col>11</xdr:col>
      <xdr:colOff>29210</xdr:colOff>
      <xdr:row>23</xdr:row>
      <xdr:rowOff>173990</xdr:rowOff>
    </xdr:to>
    <xdr:graphicFrame>
      <xdr:nvGraphicFramePr>
        <xdr:cNvPr id="3" name="Chart 2"/>
        <xdr:cNvGraphicFramePr/>
      </xdr:nvGraphicFramePr>
      <xdr:xfrm>
        <a:off x="4766945" y="2290445"/>
        <a:ext cx="5199380" cy="27844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8</xdr:row>
      <xdr:rowOff>177800</xdr:rowOff>
    </xdr:from>
    <xdr:to>
      <xdr:col>16</xdr:col>
      <xdr:colOff>1409065</xdr:colOff>
      <xdr:row>23</xdr:row>
      <xdr:rowOff>158115</xdr:rowOff>
    </xdr:to>
    <xdr:graphicFrame>
      <xdr:nvGraphicFramePr>
        <xdr:cNvPr id="4" name="Chart 3"/>
        <xdr:cNvGraphicFramePr/>
      </xdr:nvGraphicFramePr>
      <xdr:xfrm>
        <a:off x="10225405" y="2316480"/>
        <a:ext cx="5169535" cy="2742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xdr:colOff>
      <xdr:row>1</xdr:row>
      <xdr:rowOff>29210</xdr:rowOff>
    </xdr:from>
    <xdr:to>
      <xdr:col>16</xdr:col>
      <xdr:colOff>1303020</xdr:colOff>
      <xdr:row>1</xdr:row>
      <xdr:rowOff>620395</xdr:rowOff>
    </xdr:to>
    <mc:AlternateContent xmlns:mc="http://schemas.openxmlformats.org/markup-compatibility/2006">
      <mc:Choice xmlns:a14="http://schemas.microsoft.com/office/drawing/2010/main" Requires="a14">
        <xdr:graphicFrame>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 y="346075"/>
              <a:ext cx="15378430" cy="59118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0</xdr:col>
      <xdr:colOff>6350</xdr:colOff>
      <xdr:row>0</xdr:row>
      <xdr:rowOff>6350</xdr:rowOff>
    </xdr:from>
    <xdr:to>
      <xdr:col>16</xdr:col>
      <xdr:colOff>1309370</xdr:colOff>
      <xdr:row>1</xdr:row>
      <xdr:rowOff>41910</xdr:rowOff>
    </xdr:to>
    <xdr:sp>
      <xdr:nvSpPr>
        <xdr:cNvPr id="6" name="Rounded Rectangle 5"/>
        <xdr:cNvSpPr/>
      </xdr:nvSpPr>
      <xdr:spPr>
        <a:xfrm>
          <a:off x="6350" y="6350"/>
          <a:ext cx="15387955" cy="352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lstStyle/>
        <a:p>
          <a:pPr marL="0" indent="0" algn="ctr"/>
          <a:r>
            <a:rPr lang="en-US" sz="2000" b="1">
              <a:solidFill>
                <a:schemeClr val="lt1"/>
              </a:solidFill>
              <a:latin typeface="+mn-lt"/>
              <a:ea typeface="+mn-lt"/>
              <a:cs typeface="+mn-lt"/>
            </a:rPr>
            <a:t>EXCEL DASHBOARD - SALES</a:t>
          </a:r>
          <a:endParaRPr lang="en-US" sz="2000" b="1">
            <a:solidFill>
              <a:schemeClr val="lt1"/>
            </a:solidFill>
            <a:latin typeface="+mn-lt"/>
            <a:ea typeface="+mn-lt"/>
            <a:cs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24.5391203704" refreshedBy="User" recordCount="1000">
  <cacheSource type="worksheet">
    <worksheetSource ref="A1:J1001" sheet="DAY13-Pivot Table"/>
  </cacheSource>
  <cacheFields count="10">
    <cacheField name="Sale Date" numFmtId="181">
      <sharedItems containsDate="1" containsMixedTypes="1" count="347">
        <s v="6/25/2023"/>
        <d v="2023-01-11T00:00:00"/>
        <d v="2023-06-04T00:00:00"/>
        <s v="10/15/2023"/>
        <d v="2023-07-08T00:00:00"/>
        <s v="12/23/2023"/>
        <d v="2023-01-05T00:00:00"/>
        <s v="10/23/2023"/>
        <s v="11/17/2023"/>
        <s v="2/15/2023"/>
        <s v="4/21/2023"/>
        <d v="2023-12-01T00:00:00"/>
        <s v="1/26/2023"/>
        <s v="5/27/2023"/>
        <s v="11/28/2023"/>
        <d v="2023-02-06T00:00:00"/>
        <s v="2/24/2023"/>
        <s v="2/17/2023"/>
        <s v="2/19/2023"/>
        <s v="4/28/2023"/>
        <d v="2023-06-12T00:00:00"/>
        <s v="6/24/2023"/>
        <s v="3/27/2023"/>
        <d v="2023-01-04T00:00:00"/>
        <s v="12/17/2023"/>
        <s v="7/21/2023"/>
        <s v="8/29/2023"/>
        <d v="2023-06-05T00:00:00"/>
        <s v="1/13/2023"/>
        <s v="6/20/2023"/>
        <d v="2023-11-01T00:00:00"/>
        <s v="11/30/2023"/>
        <d v="2023-10-05T00:00:00"/>
        <s v="1/24/2023"/>
        <s v="8/23/2023"/>
        <s v="2/18/2023"/>
        <d v="2023-04-08T00:00:00"/>
        <d v="2023-01-03T00:00:00"/>
        <s v="3/31/2023"/>
        <s v="4/15/2023"/>
        <s v="12/28/2023"/>
        <d v="2023-04-03T00:00:00"/>
        <d v="2023-04-02T00:00:00"/>
        <s v="4/19/2023"/>
        <s v="9/21/2023"/>
        <s v="10/21/2023"/>
        <d v="2023-06-02T00:00:00"/>
        <s v="4/26/2023"/>
        <s v="1/16/2023"/>
        <d v="2023-03-10T00:00:00"/>
        <d v="2023-11-06T00:00:00"/>
        <d v="2023-02-10T00:00:00"/>
        <s v="11/24/2023"/>
        <d v="2023-09-07T00:00:00"/>
        <s v="4/20/2023"/>
        <d v="2023-10-03T00:00:00"/>
        <d v="2023-03-05T00:00:00"/>
        <s v="10/29/2023"/>
        <d v="2023-03-12T00:00:00"/>
        <s v="5/26/2023"/>
        <s v="12/26/2023"/>
        <d v="2023-05-08T00:00:00"/>
        <s v="4/25/2023"/>
        <s v="4/27/2023"/>
        <s v="6/26/2023"/>
        <s v="6/18/2023"/>
        <d v="2023-02-03T00:00:00"/>
        <s v="3/18/2023"/>
        <d v="2023-10-12T00:00:00"/>
        <s v="10/30/2023"/>
        <d v="2023-07-02T00:00:00"/>
        <s v="8/25/2023"/>
        <s v="9/15/2023"/>
        <s v="7/19/2023"/>
        <s v="5/17/2023"/>
        <s v="6/30/2023"/>
        <s v="11/29/2023"/>
        <d v="2023-04-04T00:00:00"/>
        <s v="3/13/2023"/>
        <s v="10/22/2023"/>
        <d v="2023-01-12T00:00:00"/>
        <s v="3/29/2023"/>
        <d v="2023-03-02T00:00:00"/>
        <d v="2023-11-05T00:00:00"/>
        <d v="2023-03-07T00:00:00"/>
        <d v="2023-02-09T00:00:00"/>
        <s v="7/15/2023"/>
        <d v="2023-03-11T00:00:00"/>
        <s v="6/13/2023"/>
        <d v="2023-09-05T00:00:00"/>
        <s v="1/20/2023"/>
        <s v="5/16/2023"/>
        <s v="1/18/2023"/>
        <s v="5/29/2023"/>
        <d v="2023-03-09T00:00:00"/>
        <s v="3/24/2023"/>
        <s v="11/14/2023"/>
        <s v="5/31/2023"/>
        <s v="6/21/2023"/>
        <d v="2023-06-01T00:00:00"/>
        <d v="2023-09-01T00:00:00"/>
        <s v="1/30/2023"/>
        <s v="2/26/2023"/>
        <s v="12/15/2023"/>
        <d v="2023-08-07T00:00:00"/>
        <s v="9/23/2023"/>
        <s v="3/14/2023"/>
        <d v="2023-11-09T00:00:00"/>
        <s v="9/25/2023"/>
        <d v="2023-04-10T00:00:00"/>
        <d v="2023-06-09T00:00:00"/>
        <d v="2023-07-12T00:00:00"/>
        <s v="5/14/2023"/>
        <d v="2023-04-01T00:00:00"/>
        <s v="7/22/2023"/>
        <s v="11/18/2023"/>
        <d v="2023-08-01T00:00:00"/>
        <s v="4/13/2023"/>
        <d v="2023-11-02T00:00:00"/>
        <s v="10/31/2023"/>
        <s v="3/26/2023"/>
        <d v="2023-04-11T00:00:00"/>
        <d v="2023-10-11T00:00:00"/>
        <s v="3/20/2023"/>
        <s v="1/19/2023"/>
        <s v="2/14/2023"/>
        <s v="11/25/2023"/>
        <s v="5/30/2023"/>
        <s v="10/28/2023"/>
        <s v="3/15/2023"/>
        <s v="7/14/2023"/>
        <d v="2023-06-06T00:00:00"/>
        <d v="2023-02-12T00:00:00"/>
        <d v="2023-03-03T00:00:00"/>
        <s v="10/25/2023"/>
        <d v="2023-05-05T00:00:00"/>
        <s v="10/19/2023"/>
        <s v="4/29/2023"/>
        <s v="11/13/2023"/>
        <d v="2023-04-09T00:00:00"/>
        <s v="11/26/2023"/>
        <s v="6/27/2023"/>
        <s v="7/29/2023"/>
        <d v="2023-04-07T00:00:00"/>
        <d v="2023-02-01T00:00:00"/>
        <s v="10/18/2023"/>
        <d v="2023-12-06T00:00:00"/>
        <s v="9/18/2023"/>
        <d v="2023-12-08T00:00:00"/>
        <s v="1/25/2023"/>
        <s v="3/22/2023"/>
        <s v="1/17/2023"/>
        <s v="12/19/2023"/>
        <s v="7/17/2023"/>
        <s v="3/17/2023"/>
        <s v="8/19/2023"/>
        <d v="2023-10-10T00:00:00"/>
        <s v="8/16/2023"/>
        <d v="2023-09-06T00:00:00"/>
        <d v="2023-11-07T00:00:00"/>
        <s v="2/13/2023"/>
        <s v="9/16/2023"/>
        <s v="12/25/2023"/>
        <d v="2023-02-02T00:00:00"/>
        <d v="2023-08-04T00:00:00"/>
        <s v="6/22/2023"/>
        <d v="2023-04-06T00:00:00"/>
        <s v="3/30/2023"/>
        <s v="5/22/2023"/>
        <s v="2/20/2023"/>
        <d v="2023-10-09T00:00:00"/>
        <s v="11/27/2023"/>
        <d v="2023-08-08T00:00:00"/>
        <s v="5/23/2023"/>
        <d v="2023-11-11T00:00:00"/>
        <s v="7/30/2023"/>
        <s v="5/18/2023"/>
        <s v="8/14/2023"/>
        <d v="2023-09-12T00:00:00"/>
        <d v="2023-03-01T00:00:00"/>
        <d v="2023-06-03T00:00:00"/>
        <d v="2023-10-02T00:00:00"/>
        <s v="10/13/2023"/>
        <d v="2023-02-07T00:00:00"/>
        <s v="6/15/2023"/>
        <d v="2023-12-11T00:00:00"/>
        <s v="8/30/2023"/>
        <s v="1/22/2023"/>
        <s v="9/13/2023"/>
        <s v="5/21/2023"/>
        <s v="12/14/2023"/>
        <s v="12/24/2023"/>
        <s v="10/26/2023"/>
        <s v="5/24/2023"/>
        <d v="2023-11-03T00:00:00"/>
        <s v="1/21/2023"/>
        <d v="2023-02-04T00:00:00"/>
        <d v="2023-07-09T00:00:00"/>
        <d v="2023-05-11T00:00:00"/>
        <d v="2023-09-03T00:00:00"/>
        <d v="2023-12-12T00:00:00"/>
        <s v="1/27/2023"/>
        <d v="2023-05-02T00:00:00"/>
        <d v="2023-10-04T00:00:00"/>
        <s v="4/22/2023"/>
        <d v="2023-09-11T00:00:00"/>
        <d v="2023-02-11T00:00:00"/>
        <s v="4/30/2023"/>
        <s v="12/31/2023"/>
        <d v="2023-07-11T00:00:00"/>
        <d v="2023-03-08T00:00:00"/>
        <s v="8/20/2023"/>
        <d v="2023-10-01T00:00:00"/>
        <d v="2023-08-02T00:00:00"/>
        <s v="5/25/2023"/>
        <s v="9/17/2023"/>
        <d v="2023-07-06T00:00:00"/>
        <s v="10/17/2023"/>
        <s v="4/17/2023"/>
        <s v="10/20/2023"/>
        <d v="2023-01-10T00:00:00"/>
        <s v="7/13/2023"/>
        <d v="2023-09-10T00:00:00"/>
        <s v="12/20/2023"/>
        <d v="2023-01-07T00:00:00"/>
        <d v="2023-09-09T00:00:00"/>
        <s v="2/22/2023"/>
        <s v="6/16/2023"/>
        <s v="8/22/2023"/>
        <d v="2023-12-09T00:00:00"/>
        <s v="6/29/2023"/>
        <d v="2023-05-10T00:00:00"/>
        <d v="2023-11-08T00:00:00"/>
        <d v="2023-08-10T00:00:00"/>
        <s v="9/27/2023"/>
        <d v="2023-08-03T00:00:00"/>
        <s v="4/16/2023"/>
        <d v="2023-09-08T00:00:00"/>
        <s v="8/26/2023"/>
        <s v="6/23/2023"/>
        <s v="5/15/2023"/>
        <d v="2023-12-03T00:00:00"/>
        <d v="2023-12-10T00:00:00"/>
        <s v="12/21/2023"/>
        <d v="2023-04-05T00:00:00"/>
        <s v="10/16/2023"/>
        <s v="6/28/2023"/>
        <s v="1/23/2023"/>
        <s v="10/24/2023"/>
        <d v="2023-10-08T00:00:00"/>
        <s v="10/14/2023"/>
        <s v="1/14/2023"/>
        <s v="9/20/2023"/>
        <s v="12/16/2023"/>
        <s v="1/15/2023"/>
        <d v="2023-12-04T00:00:00"/>
        <s v="7/27/2023"/>
        <s v="6/14/2023"/>
        <d v="2023-12-02T00:00:00"/>
        <d v="2023-05-06T00:00:00"/>
        <s v="7/16/2023"/>
        <s v="9/26/2023"/>
        <s v="4/18/2023"/>
        <s v="2/21/2023"/>
        <d v="2023-08-05T00:00:00"/>
        <s v="11/21/2023"/>
        <s v="11/16/2023"/>
        <d v="2023-11-12T00:00:00"/>
        <s v="8/15/2023"/>
        <d v="2023-04-12T00:00:00"/>
        <s v="9/14/2023"/>
        <d v="2023-06-07T00:00:00"/>
        <d v="2023-07-10T00:00:00"/>
        <d v="2023-11-10T00:00:00"/>
        <s v="8/27/2023"/>
        <s v="2/28/2023"/>
        <s v="12/13/2023"/>
        <s v="7/31/2023"/>
        <s v="5/19/2023"/>
        <s v="9/28/2023"/>
        <s v="2/23/2023"/>
        <s v="6/19/2023"/>
        <d v="2023-07-07T00:00:00"/>
        <s v="7/18/2023"/>
        <d v="2023-10-06T00:00:00"/>
        <s v="7/24/2023"/>
        <s v="7/25/2023"/>
        <s v="11/19/2023"/>
        <d v="2023-06-10T00:00:00"/>
        <d v="2023-06-11T00:00:00"/>
        <d v="2023-01-06T00:00:00"/>
        <s v="5/20/2023"/>
        <s v="1/31/2023"/>
        <d v="2023-08-06T00:00:00"/>
        <s v="3/19/2023"/>
        <s v="9/19/2023"/>
        <d v="2023-11-04T00:00:00"/>
        <s v="12/22/2023"/>
        <d v="2023-05-12T00:00:00"/>
        <d v="2023-05-01T00:00:00"/>
        <d v="2023-09-04T00:00:00"/>
        <d v="2023-06-08T00:00:00"/>
        <s v="8/28/2023"/>
        <d v="2023-05-07T00:00:00"/>
        <d v="2023-02-08T00:00:00"/>
        <s v="2/16/2023"/>
        <d v="2023-07-03T00:00:00"/>
        <s v="3/21/2023"/>
        <s v="12/30/2023"/>
        <s v="4/14/2023"/>
        <s v="4/24/2023"/>
        <d v="2023-07-01T00:00:00"/>
        <s v="9/30/2023"/>
        <d v="2023-01-02T00:00:00"/>
        <d v="2023-10-07T00:00:00"/>
        <s v="8/31/2023"/>
        <s v="9/24/2023"/>
        <s v="9/29/2023"/>
        <s v="3/16/2023"/>
        <s v="2/27/2023"/>
        <s v="8/13/2023"/>
        <s v="1/28/2023"/>
        <s v="12/29/2023"/>
        <d v="2023-01-09T00:00:00"/>
        <s v="3/28/2023"/>
        <s v="8/21/2023"/>
        <s v="11/20/2023"/>
        <s v="11/15/2023"/>
        <d v="2023-12-05T00:00:00"/>
        <d v="2023-09-02T00:00:00"/>
        <s v="5/13/2023"/>
        <d v="2023-12-07T00:00:00"/>
        <s v="7/20/2023"/>
        <d v="2023-08-11T00:00:00"/>
        <s v="11/22/2023"/>
        <s v="6/17/2023"/>
        <d v="2023-02-05T00:00:00"/>
        <s v="7/23/2023"/>
        <s v="7/28/2023"/>
        <d v="2023-03-06T00:00:00"/>
        <s v="11/23/2023"/>
        <d v="2023-05-04T00:00:00"/>
        <s v="8/18/2023"/>
        <s v="3/23/2023"/>
        <s v="8/24/2023"/>
        <s v="7/26/2023"/>
        <s v="3/25/2023"/>
      </sharedItems>
    </cacheField>
    <cacheField name="Customer Name" numFmtId="0">
      <sharedItems count="10">
        <s v="Meera"/>
        <s v="Vihaan"/>
        <s v="Nishant"/>
        <s v="Aditi"/>
        <s v="Ishita"/>
        <s v="Aarav"/>
        <s v="Riya"/>
        <s v="Aryan"/>
        <s v="Ananya"/>
        <s v="Kabir"/>
      </sharedItems>
    </cacheField>
    <cacheField name="City" numFmtId="0">
      <sharedItems count="15">
        <s v="Nagpur"/>
        <s v="Coimbatore"/>
        <s v="Bengaluru"/>
        <s v="Madurai"/>
        <s v="Mumbai"/>
        <s v="Chennai"/>
        <s v="Mysuru"/>
        <s v="Ahmedabad"/>
        <s v="Dwarka"/>
        <s v="Pune"/>
        <s v="Surat"/>
        <s v="Karol Bagh"/>
        <s v="Hubli"/>
        <s v="New Delhi"/>
        <s v="Vadodara"/>
      </sharedItems>
    </cacheField>
    <cacheField name="State" numFmtId="0">
      <sharedItems count="5">
        <s v="Maharashtra"/>
        <s v="Tamil Nadu"/>
        <s v="Karnataka"/>
        <s v="Gujarat"/>
        <s v="Delhi"/>
      </sharedItems>
    </cacheField>
    <cacheField name="Region" numFmtId="0">
      <sharedItems count="3">
        <s v="West"/>
        <s v="South"/>
        <s v="North"/>
      </sharedItems>
    </cacheField>
    <cacheField name="Product Category" numFmtId="0">
      <sharedItems count="5">
        <s v="Furniture"/>
        <s v="Stationery"/>
        <s v="Clothing"/>
        <s v="Groceries"/>
        <s v="Electronics"/>
      </sharedItems>
    </cacheField>
    <cacheField name="Product Name" numFmtId="0">
      <sharedItems count="20">
        <s v="Table"/>
        <s v="Ruler"/>
        <s v="Dress"/>
        <s v="Lentils"/>
        <s v="Eraser"/>
        <s v="Headphones"/>
        <s v="Laptop"/>
        <s v="Pants"/>
        <s v="Shirt"/>
        <s v="Rice"/>
        <s v="Sugar"/>
        <s v="Bed"/>
        <s v="Oil"/>
        <s v="Jacket"/>
        <s v="Pen"/>
        <s v="Smartphone"/>
        <s v="Tablet"/>
        <s v="Sofa"/>
        <s v="Notebook"/>
        <s v="Chair"/>
      </sharedItems>
    </cacheField>
    <cacheField name="Quantity" numFmtId="0">
      <sharedItems containsSemiMixedTypes="0" containsString="0" containsNumber="1" containsInteger="1" minValue="0" maxValue="20" count="20">
        <n v="6"/>
        <n v="9"/>
        <n v="11"/>
        <n v="17"/>
        <n v="7"/>
        <n v="5"/>
        <n v="18"/>
        <n v="10"/>
        <n v="19"/>
        <n v="20"/>
        <n v="3"/>
        <n v="15"/>
        <n v="2"/>
        <n v="4"/>
        <n v="14"/>
        <n v="12"/>
        <n v="8"/>
        <n v="16"/>
        <n v="1"/>
        <n v="13"/>
      </sharedItems>
    </cacheField>
    <cacheField name="Price per Unit" numFmtId="0">
      <sharedItems containsSemiMixedTypes="0" containsString="0" containsNumber="1" minValue="0" maxValue="4997.45" count="1000">
        <n v="4016.25"/>
        <n v="3801.85"/>
        <n v="3594.07"/>
        <n v="4487"/>
        <n v="1240.77"/>
        <n v="4772.29"/>
        <n v="2196.99"/>
        <n v="967.6"/>
        <n v="3128.59"/>
        <n v="2754.3"/>
        <n v="4896.31"/>
        <n v="4562.02"/>
        <n v="4231.77"/>
        <n v="1027.53"/>
        <n v="1257.34"/>
        <n v="2634.14"/>
        <n v="4509.49"/>
        <n v="2738.83"/>
        <n v="4247.74"/>
        <n v="1133.19"/>
        <n v="623.22"/>
        <n v="698.42"/>
        <n v="2494.11"/>
        <n v="3368.77"/>
        <n v="962.28"/>
        <n v="1065.27"/>
        <n v="4507.62"/>
        <n v="4373.75"/>
        <n v="791.28"/>
        <n v="4868.33"/>
        <n v="1958.77"/>
        <n v="3690.75"/>
        <n v="1037.05"/>
        <n v="2215.55"/>
        <n v="1343.6"/>
        <n v="4455.43"/>
        <n v="3892.79"/>
        <n v="4618.59"/>
        <n v="3385.93"/>
        <n v="2452.98"/>
        <n v="695.96"/>
        <n v="1979.54"/>
        <n v="3727.82"/>
        <n v="1495.61"/>
        <n v="1928.15"/>
        <n v="4192.39"/>
        <n v="4988.71"/>
        <n v="1328.13"/>
        <n v="722.44"/>
        <n v="4726.06"/>
        <n v="2263.47"/>
        <n v="4365.58"/>
        <n v="3925.65"/>
        <n v="3613.98"/>
        <n v="2483.54"/>
        <n v="2145.21"/>
        <n v="4997.45"/>
        <n v="1753.98"/>
        <n v="1207.92"/>
        <n v="4196.33"/>
        <n v="1310.78"/>
        <n v="2142.9"/>
        <n v="1359.7"/>
        <n v="4896.07"/>
        <n v="4216.03"/>
        <n v="2134.06"/>
        <n v="1523.33"/>
        <n v="646.63"/>
        <n v="4965.34"/>
        <n v="2883.11"/>
        <n v="2819.87"/>
        <n v="3961.23"/>
        <n v="2194.72"/>
        <n v="3058.74"/>
        <n v="827.59"/>
        <n v="2008.29"/>
        <n v="4157.17"/>
        <n v="2880.28"/>
        <n v="1212.76"/>
        <n v="4463.48"/>
        <n v="3975.74"/>
        <n v="2158.22"/>
        <n v="1720.9"/>
        <n v="3562.92"/>
        <n v="608.79"/>
        <n v="4856.17"/>
        <n v="4298"/>
        <n v="1160.35"/>
        <n v="2488.34"/>
        <n v="1990"/>
        <n v="2446.21"/>
        <n v="1841.84"/>
        <n v="3289.83"/>
        <n v="549.8"/>
        <n v="4397.46"/>
        <n v="3107.88"/>
        <n v="1451.86"/>
        <n v="4087.03"/>
        <n v="3040.08"/>
        <n v="3968.42"/>
        <n v="894.64"/>
        <n v="1787.99"/>
        <n v="2910.12"/>
        <n v="827.8"/>
        <n v="3093.44"/>
        <n v="2469.04"/>
        <n v="2127.28"/>
        <n v="1811.76"/>
        <n v="4485.82"/>
        <n v="4649.35"/>
        <n v="4027.17"/>
        <n v="4406.29"/>
        <n v="4072.4"/>
        <n v="4801.38"/>
        <n v="828.26"/>
        <n v="4331.5"/>
        <n v="3404.4"/>
        <n v="3734.44"/>
        <n v="112.76"/>
        <n v="4751.77"/>
        <n v="3214.1"/>
        <n v="598.97"/>
        <n v="1513.67"/>
        <n v="194.62"/>
        <n v="4508.3"/>
        <n v="4055.72"/>
        <n v="2986.89"/>
        <n v="4933.06"/>
        <n v="4837.17"/>
        <n v="4813.23"/>
        <n v="3158.66"/>
        <n v="2920.43"/>
        <n v="2170.02"/>
        <n v="4542.61"/>
        <n v="3091.48"/>
        <n v="2205.6"/>
        <n v="4282.18"/>
        <n v="4252.84"/>
        <n v="916.33"/>
        <n v="1270.15"/>
        <n v="1750.35"/>
        <n v="1105.03"/>
        <n v="1801.69"/>
        <n v="717.29"/>
        <n v="4547.16"/>
        <n v="4818.49"/>
        <n v="1410.91"/>
        <n v="239.35"/>
        <n v="4096.74"/>
        <n v="3507.25"/>
        <n v="4507.37"/>
        <n v="239.55"/>
        <n v="679.78"/>
        <n v="2658.57"/>
        <n v="4937.99"/>
        <n v="3421.31"/>
        <n v="1555.9"/>
        <n v="932.42"/>
        <n v="459.48"/>
        <n v="568.87"/>
        <n v="1468.96"/>
        <n v="3080.25"/>
        <n v="1817.43"/>
        <n v="3800.55"/>
        <n v="2809.13"/>
        <n v="4712.98"/>
        <n v="4541.77"/>
        <n v="3122.72"/>
        <n v="4198.92"/>
        <n v="4415.85"/>
        <n v="4684.86"/>
        <n v="4156.25"/>
        <n v="3776.8"/>
        <n v="310.33"/>
        <n v="1313.4"/>
        <n v="2332.11"/>
        <n v="4955.22"/>
        <n v="3827.64"/>
        <n v="3857.33"/>
        <n v="1421.21"/>
        <n v="1544.87"/>
        <n v="2764.71"/>
        <n v="2210.8"/>
        <n v="4359.9"/>
        <n v="3836.77"/>
        <n v="560.58"/>
        <n v="1574.45"/>
        <n v="578.67"/>
        <n v="1441.02"/>
        <n v="618.02"/>
        <n v="4093.93"/>
        <n v="2714.37"/>
        <n v="4658.57"/>
        <n v="3203.76"/>
        <n v="3572.02"/>
        <n v="328.82"/>
        <n v="4210.63"/>
        <n v="211.9"/>
        <n v="1847.42"/>
        <n v="3875.6"/>
        <n v="1323.63"/>
        <n v="3916.11"/>
        <n v="4624.91"/>
        <n v="4091.1"/>
        <n v="3369.55"/>
        <n v="3591.92"/>
        <n v="4298.35"/>
        <n v="3687.73"/>
        <n v="548.36"/>
        <n v="3931.61"/>
        <n v="1120.1"/>
        <n v="1473.35"/>
        <n v="297.27"/>
        <n v="4872.89"/>
        <n v="4711.51"/>
        <n v="4096.54"/>
        <n v="830.82"/>
        <n v="4637.38"/>
        <n v="3770.1"/>
        <n v="285.96"/>
        <n v="1912.36"/>
        <n v="3648.27"/>
        <n v="473.23"/>
        <n v="1870.47"/>
        <n v="835.8"/>
        <n v="4850.91"/>
        <n v="2200.91"/>
        <n v="1694.83"/>
        <n v="1229.56"/>
        <n v="705.15"/>
        <n v="3485.85"/>
        <n v="3633.26"/>
        <n v="1245.9"/>
        <n v="4553.52"/>
        <n v="1417.18"/>
        <n v="1249.36"/>
        <n v="3911.96"/>
        <n v="3087.87"/>
        <n v="628.15"/>
        <n v="3100.61"/>
        <n v="4017.66"/>
        <n v="3389.2"/>
        <n v="2441.83"/>
        <n v="2655.98"/>
        <n v="4908.74"/>
        <n v="4121.8"/>
        <n v="2083.78"/>
        <n v="697.88"/>
        <n v="3754.7"/>
        <n v="2449.44"/>
        <n v="2862.86"/>
        <n v="4795.4"/>
        <n v="672.84"/>
        <n v="4423.53"/>
        <n v="1330.85"/>
        <n v="1785.76"/>
        <n v="505.39"/>
        <n v="4966.86"/>
        <n v="4988.76"/>
        <n v="1745.63"/>
        <n v="3024.56"/>
        <n v="4599.74"/>
        <n v="330.49"/>
        <n v="4775.74"/>
        <n v="2329.86"/>
        <n v="1426.64"/>
        <n v="2663.16"/>
        <n v="1690.56"/>
        <n v="776.08"/>
        <n v="1435.01"/>
        <n v="1473.98"/>
        <n v="1822.86"/>
        <n v="739.6"/>
        <n v="4209.66"/>
        <n v="4105.17"/>
        <n v="4100.4"/>
        <n v="2295.08"/>
        <n v="4970.33"/>
        <n v="3939.5"/>
        <n v="1450.75"/>
        <n v="3279.33"/>
        <n v="579.92"/>
        <n v="2515.54"/>
        <n v="2976.69"/>
        <n v="4047.21"/>
        <n v="2825.07"/>
        <n v="1406.82"/>
        <n v="1090.18"/>
        <n v="3696.43"/>
        <n v="4535.14"/>
        <n v="4931.69"/>
        <n v="3263.65"/>
        <n v="4083.07"/>
        <n v="528.69"/>
        <n v="528.93"/>
        <n v="1749.31"/>
        <n v="2635.95"/>
        <n v="2850.31"/>
        <n v="1413.03"/>
        <n v="4541.87"/>
        <n v="3395.71"/>
        <n v="4050.46"/>
        <n v="3617.81"/>
        <n v="1527.71"/>
        <n v="1420.32"/>
        <n v="1336.86"/>
        <n v="359.4"/>
        <n v="4109.02"/>
        <n v="3700.23"/>
        <n v="221.41"/>
        <n v="4446.15"/>
        <n v="2393.97"/>
        <n v="256.57"/>
        <n v="4218.36"/>
        <n v="4930.67"/>
        <n v="1264.68"/>
        <n v="2192.74"/>
        <n v="3943.42"/>
        <n v="2951.18"/>
        <n v="4325.83"/>
        <n v="1417.87"/>
        <n v="2511.64"/>
        <n v="862.76"/>
        <n v="1412.15"/>
        <n v="3295.29"/>
        <n v="4132.69"/>
        <n v="1557.83"/>
        <n v="4673.31"/>
        <n v="3775.72"/>
        <n v="3524.48"/>
        <n v="2961.1"/>
        <n v="513.06"/>
        <n v="953.26"/>
        <n v="1189.65"/>
        <n v="1915.3"/>
        <n v="3927.74"/>
        <n v="2682.33"/>
        <n v="4086.27"/>
        <n v="827.02"/>
        <n v="4728.44"/>
        <n v="575.73"/>
        <n v="578.35"/>
        <n v="3043.72"/>
        <n v="3339.72"/>
        <n v="2286.4"/>
        <n v="4862.26"/>
        <n v="3470.44"/>
        <n v="4175.13"/>
        <n v="1880.67"/>
        <n v="2187.71"/>
        <n v="1024.22"/>
        <n v="544.42"/>
        <n v="942.96"/>
        <n v="1799.38"/>
        <n v="1634.39"/>
        <n v="2950.28"/>
        <n v="4788"/>
        <n v="1807.67"/>
        <n v="797.02"/>
        <n v="1195.99"/>
        <n v="2056.65"/>
        <n v="4817.63"/>
        <n v="4950.24"/>
        <n v="2935.97"/>
        <n v="3560.8"/>
        <n v="4890.92"/>
        <n v="4143.56"/>
        <n v="2395.66"/>
        <n v="1582.02"/>
        <n v="3381.77"/>
        <n v="2580.42"/>
        <n v="3838.25"/>
        <n v="591.6"/>
        <n v="2709.05"/>
        <n v="194.7"/>
        <n v="900.33"/>
        <n v="3574.45"/>
        <n v="1637.44"/>
        <n v="3177.8"/>
        <n v="3382.37"/>
        <n v="2816.52"/>
        <n v="3417.94"/>
        <n v="917.55"/>
        <n v="1598.87"/>
        <n v="405.27"/>
        <n v="2819.92"/>
        <n v="4023.6"/>
        <n v="4911.79"/>
        <n v="2186.75"/>
        <n v="2304.23"/>
        <n v="2282.55"/>
        <n v="4778.23"/>
        <n v="1286.08"/>
        <n v="1844.31"/>
        <n v="148.43"/>
        <n v="2502.81"/>
        <n v="3721.37"/>
        <n v="3719.83"/>
        <n v="2862.47"/>
        <n v="4715.05"/>
        <n v="3314"/>
        <n v="4146.75"/>
        <n v="4062.52"/>
        <n v="3022.21"/>
        <n v="217.04"/>
        <n v="4883.56"/>
        <n v="2015.76"/>
        <n v="2777.22"/>
        <n v="4318.62"/>
        <n v="3225.2"/>
        <n v="631.99"/>
        <n v="981"/>
        <n v="1049.21"/>
        <n v="3276.84"/>
        <n v="1693.46"/>
        <n v="1790.58"/>
        <n v="1018.83"/>
        <n v="1246.59"/>
        <n v="859.79"/>
        <n v="149.16"/>
        <n v="1108.83"/>
        <n v="3628.65"/>
        <n v="1317.72"/>
        <n v="2995.01"/>
        <n v="2318.96"/>
        <n v="4935.3"/>
        <n v="1083.26"/>
        <n v="1673.53"/>
        <n v="3829.38"/>
        <n v="470.36"/>
        <n v="2489.14"/>
        <n v="1729.16"/>
        <n v="2789.92"/>
        <n v="3244.79"/>
        <n v="2155.17"/>
        <n v="2526.2"/>
        <n v="1995.21"/>
        <n v="1139.74"/>
        <n v="3015.93"/>
        <n v="3831.39"/>
        <n v="105.05"/>
        <n v="2416.18"/>
        <n v="549.14"/>
        <n v="3771.5"/>
        <n v="956.49"/>
        <n v="3575.92"/>
        <n v="3971.12"/>
        <n v="3631.62"/>
        <n v="2589.64"/>
        <n v="2713.34"/>
        <n v="1294.56"/>
        <n v="1171.53"/>
        <n v="4060.63"/>
        <n v="442.23"/>
        <n v="3725.36"/>
        <n v="2974.89"/>
        <n v="1717.6"/>
        <n v="2849.56"/>
        <n v="4150.77"/>
        <n v="2490.14"/>
        <n v="500.54"/>
        <n v="1067.94"/>
        <n v="2264.87"/>
        <n v="2584.07"/>
        <n v="4621.13"/>
        <n v="4826.2"/>
        <n v="4773.56"/>
        <n v="3220.44"/>
        <n v="4945.79"/>
        <n v="2355.56"/>
        <n v="4412.41"/>
        <n v="355.6"/>
        <n v="4405.19"/>
        <n v="877.89"/>
        <n v="2970.66"/>
        <n v="3579.98"/>
        <n v="1605.02"/>
        <n v="1982.64"/>
        <n v="3195.53"/>
        <n v="1580.59"/>
        <n v="809.57"/>
        <n v="1221.52"/>
        <n v="2457.5"/>
        <n v="2820.88"/>
        <n v="1512.64"/>
        <n v="3199.14"/>
        <n v="4315"/>
        <n v="2118.17"/>
        <n v="1042.99"/>
        <n v="4707.38"/>
        <n v="360.87"/>
        <n v="2519.65"/>
        <n v="2861.67"/>
        <n v="4896.83"/>
        <n v="4180.61"/>
        <n v="3747.71"/>
        <n v="2792.38"/>
        <n v="683.31"/>
        <n v="3463.6"/>
        <n v="1609.98"/>
        <n v="2836.34"/>
        <n v="3238.98"/>
        <n v="2791.25"/>
        <n v="3165.04"/>
        <n v="3414.59"/>
        <n v="3896.69"/>
        <n v="2024.36"/>
        <n v="102.62"/>
        <n v="146.52"/>
        <n v="4248"/>
        <n v="3075.58"/>
        <n v="1246.14"/>
        <n v="3942.95"/>
        <n v="936.56"/>
        <n v="1628.68"/>
        <n v="3400.28"/>
        <n v="2722.99"/>
        <n v="4612.53"/>
        <n v="2040.1"/>
        <n v="1122.98"/>
        <n v="2458.6"/>
        <n v="3195.18"/>
        <n v="384.96"/>
        <n v="3714.59"/>
        <n v="1765.86"/>
        <n v="3069.86"/>
        <n v="1720.47"/>
        <n v="3416.74"/>
        <n v="4741.12"/>
        <n v="2721.24"/>
        <n v="3751.49"/>
        <n v="4513.6"/>
        <n v="3514.12"/>
        <n v="2109.15"/>
        <n v="4090.26"/>
        <n v="219.32"/>
        <n v="264.77"/>
        <n v="2624.88"/>
        <n v="1063.88"/>
        <n v="4277.9"/>
        <n v="1762.69"/>
        <n v="2069.96"/>
        <n v="3822.54"/>
        <n v="242.23"/>
        <n v="2290.76"/>
        <n v="1957.78"/>
        <n v="4370.57"/>
        <n v="1894.71"/>
        <n v="367.1"/>
        <n v="4678.49"/>
        <n v="1020.42"/>
        <n v="1669.04"/>
        <n v="138.01"/>
        <n v="3847.76"/>
        <n v="3246.52"/>
        <n v="569.91"/>
        <n v="4316.17"/>
        <n v="2209.62"/>
        <n v="3296.61"/>
        <n v="523.83"/>
        <n v="916.53"/>
        <n v="1836.55"/>
        <n v="2253.92"/>
        <n v="3617.07"/>
        <n v="417.76"/>
        <n v="864.29"/>
        <n v="2006.79"/>
        <n v="403.2"/>
        <n v="2846.83"/>
        <n v="850.9"/>
        <n v="3337.15"/>
        <n v="1299.55"/>
        <n v="4898.57"/>
        <n v="2471.65"/>
        <n v="1125.53"/>
        <n v="2835.8"/>
        <n v="3973.87"/>
        <n v="1998.26"/>
        <n v="3820.3"/>
        <n v="2199.32"/>
        <n v="578.64"/>
        <n v="1488.21"/>
        <n v="3196.27"/>
        <n v="1018.53"/>
        <n v="1367.15"/>
        <n v="4996.28"/>
        <n v="4447.9"/>
        <n v="1318.51"/>
        <n v="1731.99"/>
        <n v="4514.39"/>
        <n v="1710.93"/>
        <n v="491.53"/>
        <n v="203.88"/>
        <n v="4786.89"/>
        <n v="2666.77"/>
        <n v="2174.76"/>
        <n v="1678.18"/>
        <n v="2163.95"/>
        <n v="3511.28"/>
        <n v="2979.65"/>
        <n v="2985.48"/>
        <n v="3989.44"/>
        <n v="2251.87"/>
        <n v="2519.3"/>
        <n v="1129.88"/>
        <n v="4146.03"/>
        <n v="3564.22"/>
        <n v="414.51"/>
        <n v="1788.39"/>
        <n v="2867.98"/>
        <n v="3566.53"/>
        <n v="2669.5"/>
        <n v="3842.46"/>
        <n v="1419.3"/>
        <n v="3187.31"/>
        <n v="1837.2"/>
        <n v="4081.92"/>
        <n v="3184.86"/>
        <n v="3402.24"/>
        <n v="2750.69"/>
        <n v="4090.9"/>
        <n v="4234"/>
        <n v="1701.3"/>
        <n v="1599.01"/>
        <n v="4564.73"/>
        <n v="3507.75"/>
        <n v="810.38"/>
        <n v="698.8"/>
        <n v="2833.44"/>
        <n v="2409.68"/>
        <n v="2448.51"/>
        <n v="4029.58"/>
        <n v="3999.29"/>
        <n v="583.88"/>
        <n v="1319.32"/>
        <n v="2698.6"/>
        <n v="4364.64"/>
        <n v="4740.97"/>
        <n v="917.97"/>
        <n v="224.53"/>
        <n v="3246.08"/>
        <n v="1411.33"/>
        <n v="2174.06"/>
        <n v="1194.4"/>
        <n v="3726.58"/>
        <n v="1599.65"/>
        <n v="1628.19"/>
        <n v="3381.75"/>
        <n v="3627.09"/>
        <n v="3106.64"/>
        <n v="4310.01"/>
        <n v="3352.19"/>
        <n v="214.47"/>
        <n v="1810.87"/>
        <n v="1105.46"/>
        <n v="3707.43"/>
        <n v="584.4"/>
        <n v="2498.74"/>
        <n v="2460.73"/>
        <n v="4630.98"/>
        <n v="4324.88"/>
        <n v="4049.4"/>
        <n v="2347.21"/>
        <n v="3743.52"/>
        <n v="303.48"/>
        <n v="1373.41"/>
        <n v="3048.2"/>
        <n v="2818.78"/>
        <n v="4647.3"/>
        <n v="2302.47"/>
        <n v="2805.45"/>
        <n v="413.26"/>
        <n v="3203.04"/>
        <n v="1906.89"/>
        <n v="3829.68"/>
        <n v="2636.08"/>
        <n v="3994.86"/>
        <n v="1554.75"/>
        <n v="4674.04"/>
        <n v="1252.3"/>
        <n v="1738.86"/>
        <n v="2527.15"/>
        <n v="4247.56"/>
        <n v="978.4"/>
        <n v="1530.16"/>
        <n v="4748.62"/>
        <n v="4402.72"/>
        <n v="3858.12"/>
        <n v="4939.99"/>
        <n v="2394.87"/>
        <n v="3277.74"/>
        <n v="2411.33"/>
        <n v="3844.7"/>
        <n v="816.99"/>
        <n v="3102.92"/>
        <n v="490.34"/>
        <n v="4079.26"/>
        <n v="3229.61"/>
        <n v="1873.12"/>
        <n v="1640.58"/>
        <n v="4843.21"/>
        <n v="1782.01"/>
        <n v="1120.6"/>
        <n v="1927.02"/>
        <n v="4642.69"/>
        <n v="3316.87"/>
        <n v="1372.28"/>
        <n v="4786.48"/>
        <n v="620.93"/>
        <n v="1241.21"/>
        <n v="1823.34"/>
        <n v="4304.71"/>
        <n v="4446.37"/>
        <n v="465.32"/>
        <n v="3431.7"/>
        <n v="1365.33"/>
        <n v="2343.4"/>
        <n v="447.71"/>
        <n v="2393.72"/>
        <n v="138.6"/>
        <n v="3119.62"/>
        <n v="4175.7"/>
        <n v="2655.23"/>
        <n v="4235.22"/>
        <n v="3393.01"/>
        <n v="1247.48"/>
        <n v="4428.59"/>
        <n v="2251.19"/>
        <n v="2240.89"/>
        <n v="4089.21"/>
        <n v="4286.28"/>
        <n v="1316.67"/>
        <n v="3145.73"/>
        <n v="2523.59"/>
        <n v="2851.64"/>
        <n v="3193.18"/>
        <n v="4663.82"/>
        <n v="4263.79"/>
        <n v="819.85"/>
        <n v="2784.08"/>
        <n v="2240.22"/>
        <n v="1039.38"/>
        <n v="1297.93"/>
        <n v="4293.74"/>
        <n v="2133.36"/>
        <n v="735.74"/>
        <n v="271.27"/>
        <n v="4759.19"/>
        <n v="941.97"/>
        <n v="2182.46"/>
        <n v="2112.91"/>
        <n v="3495.08"/>
        <n v="3439.47"/>
        <n v="3279.25"/>
        <n v="3320.8"/>
        <n v="4105.19"/>
        <n v="1830.46"/>
        <n v="3901.75"/>
        <n v="3031.91"/>
        <n v="3575.04"/>
        <n v="2920.06"/>
        <n v="2796.48"/>
        <n v="2918.29"/>
        <n v="1097.83"/>
        <n v="3391.5"/>
        <n v="2225.88"/>
        <n v="1559.76"/>
        <n v="4719.96"/>
        <n v="1593.02"/>
        <n v="1233.63"/>
        <n v="2261.69"/>
        <n v="1197.31"/>
        <n v="3441.09"/>
        <n v="3325.99"/>
        <n v="991.8"/>
        <n v="4763.01"/>
        <n v="826.71"/>
        <n v="209.57"/>
        <n v="2538.43"/>
        <n v="4116.98"/>
        <n v="3638.01"/>
        <n v="4523.44"/>
        <n v="2042"/>
        <n v="2357.62"/>
        <n v="941.19"/>
        <n v="3927.83"/>
        <n v="4555.42"/>
        <n v="3271.29"/>
        <n v="4406.31"/>
        <n v="2016.56"/>
        <n v="3531.03"/>
        <n v="4077.95"/>
        <n v="1628.88"/>
        <n v="2093.03"/>
        <n v="2441.07"/>
        <n v="134.67"/>
        <n v="2518.13"/>
        <n v="2366.64"/>
        <n v="3167.49"/>
        <n v="109.56"/>
        <n v="652.87"/>
        <n v="2563.65"/>
        <n v="771.23"/>
        <n v="2290.68"/>
        <n v="4965.3"/>
        <n v="3684.5"/>
        <n v="4566.12"/>
        <n v="2246.82"/>
        <n v="215.21"/>
        <n v="1294.31"/>
        <n v="1558.74"/>
        <n v="4382.91"/>
        <n v="4197.59"/>
        <n v="4137.49"/>
        <n v="1598.06"/>
        <n v="3044.02"/>
        <n v="4270.03"/>
        <n v="298.09"/>
        <n v="1453.68"/>
        <n v="1009.78"/>
        <n v="231.07"/>
        <n v="1410.03"/>
        <n v="1610.91"/>
        <n v="3396.62"/>
        <n v="4164.33"/>
        <n v="4414.27"/>
        <n v="3101.42"/>
        <n v="3002.55"/>
        <n v="2098.65"/>
        <n v="4106.79"/>
        <n v="3041.26"/>
        <n v="4514.21"/>
        <n v="2971.68"/>
        <n v="2263.36"/>
        <n v="3859.28"/>
        <n v="3044.71"/>
        <n v="4653.38"/>
        <n v="3425.59"/>
        <n v="4671.69"/>
        <n v="4600.38"/>
        <n v="2183.09"/>
        <n v="1850.8"/>
        <n v="3695.68"/>
        <n v="3099.57"/>
        <n v="3758.07"/>
        <n v="2536.65"/>
        <n v="564.08"/>
        <n v="3762.47"/>
        <n v="4180.57"/>
        <n v="1947.01"/>
        <n v="4686.21"/>
        <n v="4418.17"/>
        <n v="4186.64"/>
        <n v="1003.96"/>
        <n v="1028.74"/>
        <n v="4751.14"/>
        <n v="565.82"/>
        <n v="1903.53"/>
        <n v="3286.69"/>
        <n v="1176.4"/>
        <n v="2038.9"/>
        <n v="3990.16"/>
        <n v="3765.36"/>
        <n v="1794.88"/>
        <n v="2750.97"/>
        <n v="3677.4"/>
        <n v="2253.94"/>
        <n v="1762.43"/>
        <n v="278.55"/>
        <n v="1940.86"/>
        <n v="414.64"/>
        <n v="1073.54"/>
        <n v="2078.33"/>
        <n v="4188.84"/>
        <n v="3046.66"/>
        <n v="566.56"/>
        <n v="4726.68"/>
        <n v="2503.47"/>
        <n v="2244.77"/>
        <n v="3559.2"/>
        <n v="4238.64"/>
        <n v="151.65"/>
        <n v="4242.9"/>
        <n v="4639.93"/>
        <n v="4336.92"/>
        <n v="1005.44"/>
        <n v="2231.56"/>
        <n v="3677.67"/>
        <n v="1047.72"/>
        <n v="827.08"/>
        <n v="1726.65"/>
        <n v="2339.57"/>
        <n v="4984.96"/>
        <n v="3259.21"/>
        <n v="4847.62"/>
        <n v="2260.16"/>
        <n v="1795.37"/>
        <n v="2040.79"/>
        <n v="1764.64"/>
        <n v="746.23"/>
        <n v="2385.99"/>
        <n v="2362.15"/>
        <n v="1236.8"/>
        <n v="1248.03"/>
        <n v="665.83"/>
        <n v="615.7"/>
        <n v="3616.99"/>
        <n v="1940.11"/>
        <n v="1064.93"/>
        <n v="4845.74"/>
        <n v="4766.28"/>
        <n v="3946.23"/>
        <n v="1804.27"/>
        <n v="2055.45"/>
        <n v="1568.68"/>
        <n v="2288.68"/>
        <n v="2133.05"/>
        <n v="1208.42"/>
        <n v="630.45"/>
        <n v="2713.47"/>
        <n v="3273.61"/>
        <n v="566.92"/>
        <n v="3830.39"/>
        <n v="4456.5"/>
        <n v="202.66"/>
        <n v="1018.19"/>
        <n v="3300.36"/>
        <n v="957.01"/>
        <n v="1933.19"/>
        <n v="834.13"/>
        <n v="2535.82"/>
        <n v="2299.93"/>
        <n v="606.49"/>
        <n v="1919.03"/>
        <n v="662.41"/>
        <n v="970.52"/>
        <n v="4112.53"/>
        <n v="4968.93"/>
        <n v="339.56"/>
        <n v="3853.05"/>
        <n v="2212.9"/>
        <n v="509.79"/>
        <n v="2724.77"/>
        <n v="4718.22"/>
        <n v="4811.76"/>
        <n v="4021.86"/>
        <n v="4008.72"/>
        <n v="4793.38"/>
        <n v="4816.39"/>
        <n v="4072.51"/>
        <n v="1269.81"/>
        <n v="3071.93"/>
        <n v="4686.67"/>
        <n v="4504.17"/>
        <n v="559.7"/>
        <n v="1975.71"/>
        <n v="4175.56"/>
        <n v="2535.08"/>
        <n v="2161.65"/>
        <n v="3424.45"/>
        <n v="1167.21"/>
        <n v="500.63"/>
        <n v="1050.84"/>
        <n v="3726.3"/>
        <n v="651.83"/>
        <n v="1077.23"/>
        <n v="4554.78"/>
        <n v="1003.13"/>
        <n v="3168.77"/>
        <n v="4528.95"/>
        <n v="2480.84"/>
        <n v="4740.79"/>
        <n v="2687.77"/>
        <n v="2472.8"/>
        <n v="3814.12"/>
        <n v="2333.78"/>
        <n v="2628.56"/>
        <n v="284.02"/>
        <n v="1011.67"/>
        <n v="3918.07"/>
        <n v="3313.63"/>
        <n v="809.24"/>
        <n v="2338.61"/>
        <n v="2773.93"/>
        <n v="2540.06"/>
        <n v="1178.71"/>
        <n v="4724.33"/>
        <n v="3481"/>
        <n v="4608.55"/>
        <n v="2336.88"/>
        <n v="2993.55"/>
        <n v="4080.77"/>
        <n v="3659.61"/>
        <n v="1819.46"/>
        <n v="3520.87"/>
        <n v="4532.88"/>
        <n v="1709.52"/>
        <n v="3803.22"/>
        <n v="1853"/>
        <n v="2623.43"/>
      </sharedItems>
    </cacheField>
    <cacheField name="Sales Amount" numFmtId="0">
      <sharedItems containsSemiMixedTypes="0" containsString="0" containsNumber="1" minValue="0" maxValue="99406.6" count="1000">
        <n v="24097.5"/>
        <n v="34216.65"/>
        <n v="39534.77"/>
        <n v="40383"/>
        <n v="21093.09"/>
        <n v="33406.03"/>
        <n v="10984.95"/>
        <n v="4838"/>
        <n v="56314.62"/>
        <n v="27543"/>
        <n v="93029.89"/>
        <n v="86678.38"/>
        <n v="25390.62"/>
        <n v="20550.6"/>
        <n v="8801.38"/>
        <n v="23707.26"/>
        <n v="49604.39"/>
        <n v="8216.49"/>
        <n v="42477.4"/>
        <n v="3399.57"/>
        <n v="3739.32"/>
        <n v="12571.56"/>
        <n v="47388.09"/>
        <n v="50531.55"/>
        <n v="1924.56"/>
        <n v="20240.13"/>
        <n v="45076.2"/>
        <n v="17495"/>
        <n v="3165.12"/>
        <n v="68156.62"/>
        <n v="23505.24"/>
        <n v="36907.5"/>
        <n v="17629.85"/>
        <n v="37664.35"/>
        <n v="25528.4"/>
        <n v="35643.44"/>
        <n v="35035.11"/>
        <n v="41567.31"/>
        <n v="37245.23"/>
        <n v="34341.72"/>
        <n v="11135.36"/>
        <n v="1979.54"/>
        <n v="33550.38"/>
        <n v="1495.61"/>
        <n v="34706.7"/>
        <n v="4192.39"/>
        <n v="34920.97"/>
        <n v="11953.17"/>
        <n v="6501.96"/>
        <n v="9452.12"/>
        <n v="6790.41"/>
        <n v="87311.6"/>
        <n v="78513"/>
        <n v="10841.94"/>
        <n v="17384.78"/>
        <n v="30032.94"/>
        <n v="39979.6"/>
        <n v="5261.94"/>
        <n v="2415.84"/>
        <n v="54552.29"/>
        <n v="23594.04"/>
        <n v="42858"/>
        <n v="25834.3"/>
        <n v="78337.12"/>
        <n v="33728.24"/>
        <n v="29876.84"/>
        <n v="9139.98"/>
        <n v="8406.19"/>
        <n v="19861.36"/>
        <n v="40363.54"/>
        <n v="25378.83"/>
        <n v="47534.76"/>
        <n v="32920.8"/>
        <n v="15293.7"/>
        <n v="9103.49"/>
        <n v="20082.9"/>
        <n v="12471.51"/>
        <n v="54725.32"/>
        <n v="7276.56"/>
        <n v="49098.28"/>
        <n v="67587.58"/>
        <n v="32373.3"/>
        <n v="29255.3"/>
        <n v="39192.12"/>
        <n v="10349.43"/>
        <n v="97123.4"/>
        <n v="51576"/>
        <n v="8122.45"/>
        <n v="7465.02"/>
        <n v="15920"/>
        <n v="48924.2"/>
        <n v="20260.24"/>
        <n v="16449.15"/>
        <n v="3298.8"/>
        <n v="87949.2"/>
        <n v="9323.64"/>
        <n v="15970.46"/>
        <n v="53131.39"/>
        <n v="36480.96"/>
        <n v="75399.98"/>
        <n v="3578.56"/>
        <n v="35759.8"/>
        <n v="49472.04"/>
        <n v="13244.8"/>
        <n v="55681.92"/>
        <n v="24690.4"/>
        <n v="25527.36"/>
        <n v="1811.76"/>
        <n v="17943.28"/>
        <n v="37194.8"/>
        <n v="12081.51"/>
        <n v="61688.06"/>
        <n v="81448"/>
        <n v="4801.38"/>
        <n v="14080.42"/>
        <n v="56309.5"/>
        <n v="47661.6"/>
        <n v="74688.8"/>
        <n v="676.56"/>
        <n v="28510.62"/>
        <n v="12856.4"/>
        <n v="11979.4"/>
        <n v="22705.05"/>
        <n v="1167.72"/>
        <n v="27049.8"/>
        <n v="81114.4"/>
        <n v="23895.12"/>
        <n v="34531.42"/>
        <n v="19348.68"/>
        <n v="4813.23"/>
        <n v="50538.56"/>
        <n v="17522.58"/>
        <n v="26040.24"/>
        <n v="9085.22"/>
        <n v="3091.48"/>
        <n v="6616.8"/>
        <n v="42821.8"/>
        <n v="21264.2"/>
        <n v="2748.99"/>
        <n v="3810.45"/>
        <n v="10502.1"/>
        <n v="6630.18"/>
        <n v="30628.73"/>
        <n v="13628.51"/>
        <n v="9094.32"/>
        <n v="9636.98"/>
        <n v="19752.74"/>
        <n v="4787"/>
        <n v="65547.84"/>
        <n v="49101.5"/>
        <n v="72117.92"/>
        <n v="2395.5"/>
        <n v="11556.26"/>
        <n v="47854.26"/>
        <n v="88883.82"/>
        <n v="58162.27"/>
        <n v="6223.6"/>
        <n v="11189.04"/>
        <n v="9189.6"/>
        <n v="2844.35"/>
        <n v="14689.6"/>
        <n v="18481.5"/>
        <n v="19991.73"/>
        <n v="72210.45"/>
        <n v="47755.21"/>
        <n v="42416.82"/>
        <n v="4541.77"/>
        <n v="28104.48"/>
        <n v="37790.28"/>
        <n v="75069.45"/>
        <n v="74957.76"/>
        <n v="70656.25"/>
        <n v="37768"/>
        <n v="2482.64"/>
        <n v="6567"/>
        <n v="13992.66"/>
        <n v="14865.66"/>
        <n v="65069.88"/>
        <n v="65574.61"/>
        <n v="11369.68"/>
        <n v="1544.87"/>
        <n v="38705.94"/>
        <n v="19897.2"/>
        <n v="13079.7"/>
        <n v="26857.39"/>
        <n v="3924.06"/>
        <n v="26765.65"/>
        <n v="9837.39"/>
        <n v="27379.38"/>
        <n v="11742.38"/>
        <n v="61408.95"/>
        <n v="43429.92"/>
        <n v="37268.56"/>
        <n v="64075.2"/>
        <n v="17860.1"/>
        <n v="1315.28"/>
        <n v="42106.3"/>
        <n v="3178.5"/>
        <n v="11084.52"/>
        <n v="58134"/>
        <n v="1323.63"/>
        <n v="70489.98"/>
        <n v="73998.56"/>
        <n v="32728.8"/>
        <n v="53912.8"/>
        <n v="10775.76"/>
        <n v="17193.4"/>
        <n v="40565.03"/>
        <n v="6580.32"/>
        <n v="23589.66"/>
        <n v="20161.8"/>
        <n v="16206.85"/>
        <n v="1783.62"/>
        <n v="24364.45"/>
        <n v="94230.2"/>
        <n v="20482.7"/>
        <n v="4984.92"/>
        <n v="13912.14"/>
        <n v="18850.5"/>
        <n v="5719.2"/>
        <n v="11474.16"/>
        <n v="69317.13"/>
        <n v="9464.6"/>
        <n v="29927.52"/>
        <n v="15044.4"/>
        <n v="87316.38"/>
        <n v="22009.1"/>
        <n v="15253.47"/>
        <n v="12295.6"/>
        <n v="9872.1"/>
        <n v="66231.15"/>
        <n v="36332.6"/>
        <n v="17442.6"/>
        <n v="18214.08"/>
        <n v="4251.54"/>
        <n v="8745.52"/>
        <n v="27383.72"/>
        <n v="12351.48"/>
        <n v="10050.4"/>
        <n v="46509.15"/>
        <n v="40176.6"/>
        <n v="10167.6"/>
        <n v="48836.6"/>
        <n v="45151.66"/>
        <n v="14726.22"/>
        <n v="53583.4"/>
        <n v="14586.46"/>
        <n v="2791.52"/>
        <n v="11264.1"/>
        <n v="48988.8"/>
        <n v="17177.16"/>
        <n v="19181.6"/>
        <n v="2018.52"/>
        <n v="22117.65"/>
        <n v="17301.05"/>
        <n v="3571.52"/>
        <n v="5053.9"/>
        <n v="4966.86"/>
        <n v="24943.8"/>
        <n v="31421.34"/>
        <n v="6049.12"/>
        <n v="68996.1"/>
        <n v="5948.82"/>
        <n v="38205.92"/>
        <n v="37277.76"/>
        <n v="22826.24"/>
        <n v="21305.28"/>
        <n v="33811.2"/>
        <n v="776.08"/>
        <n v="4305.03"/>
        <n v="23583.68"/>
        <n v="10937.16"/>
        <n v="9614.8"/>
        <n v="46306.26"/>
        <n v="32841.36"/>
        <n v="8200.8"/>
        <n v="45901.6"/>
        <n v="99406.6"/>
        <n v="47274"/>
        <n v="21761.25"/>
        <n v="26234.64"/>
        <n v="4059.44"/>
        <n v="25155.4"/>
        <n v="29766.9"/>
        <n v="64755.36"/>
        <n v="50851.26"/>
        <n v="18288.66"/>
        <n v="17442.88"/>
        <n v="44357.16"/>
        <n v="31745.98"/>
        <n v="14795.07"/>
        <n v="52218.4"/>
        <n v="69412.19"/>
        <n v="6344.28"/>
        <n v="4231.44"/>
        <n v="19242.41"/>
        <n v="28995.45"/>
        <n v="17101.86"/>
        <n v="7065.15"/>
        <n v="63586.18"/>
        <n v="16978.55"/>
        <n v="8100.92"/>
        <n v="21706.86"/>
        <n v="16804.81"/>
        <n v="9942.24"/>
        <n v="22726.62"/>
        <n v="5391"/>
        <n v="24654.12"/>
        <n v="44402.76"/>
        <n v="1107.05"/>
        <n v="53353.8"/>
        <n v="28727.64"/>
        <n v="1795.99"/>
        <n v="37965.24"/>
        <n v="39445.36"/>
        <n v="2529.36"/>
        <n v="35083.84"/>
        <n v="55207.88"/>
        <n v="32462.98"/>
        <n v="47584.13"/>
        <n v="2835.74"/>
        <n v="32651.32"/>
        <n v="6039.32"/>
        <n v="25418.7"/>
        <n v="19771.74"/>
        <n v="74388.42"/>
        <n v="10904.81"/>
        <n v="32713.17"/>
        <n v="18878.6"/>
        <n v="21146.88"/>
        <n v="2961.1"/>
        <n v="6669.78"/>
        <n v="2859.78"/>
        <n v="2379.3"/>
        <n v="1915.3"/>
        <n v="31421.92"/>
        <n v="26823.3"/>
        <n v="24517.62"/>
        <n v="6616.16"/>
        <n v="66198.16"/>
        <n v="6333.03"/>
        <n v="2313.4"/>
        <n v="24349.76"/>
        <n v="33397.2"/>
        <n v="16004.8"/>
        <n v="29173.56"/>
        <n v="20822.64"/>
        <n v="20875.65"/>
        <n v="30090.72"/>
        <n v="15313.97"/>
        <n v="14339.08"/>
        <n v="9255.14"/>
        <n v="3771.84"/>
        <n v="21592.56"/>
        <n v="17978.29"/>
        <n v="8850.84"/>
        <n v="47880"/>
        <n v="14461.36"/>
        <n v="15143.38"/>
        <n v="2391.98"/>
        <n v="41133"/>
        <n v="77082.08"/>
        <n v="34651.68"/>
        <n v="26423.73"/>
        <n v="32047.2"/>
        <n v="53800.12"/>
        <n v="33148.48"/>
        <n v="9582.64"/>
        <n v="28476.36"/>
        <n v="47344.78"/>
        <n v="41286.72"/>
        <n v="11514.75"/>
        <n v="1183.2"/>
        <n v="2709.05"/>
        <n v="973.5"/>
        <n v="3601.32"/>
        <n v="46467.85"/>
        <n v="32748.8"/>
        <n v="44489.2"/>
        <n v="3382.37"/>
        <n v="53513.88"/>
        <n v="44433.22"/>
        <n v="12845.7"/>
        <n v="1598.87"/>
        <n v="2836.89"/>
        <n v="14099.6"/>
        <n v="28165.2"/>
        <n v="29470.74"/>
        <n v="15307.25"/>
        <n v="20738.07"/>
        <n v="13695.3"/>
        <n v="19112.92"/>
        <n v="14146.88"/>
        <n v="35041.89"/>
        <n v="2078.02"/>
        <n v="7508.43"/>
        <n v="26049.59"/>
        <n v="7439.66"/>
        <n v="54386.93"/>
        <n v="23575.25"/>
        <n v="36454"/>
        <n v="12440.25"/>
        <n v="16250.08"/>
        <n v="12088.84"/>
        <n v="1519.28"/>
        <n v="9767.12"/>
        <n v="32252.16"/>
        <n v="2777.22"/>
        <n v="56142.06"/>
        <n v="48378"/>
        <n v="5687.91"/>
        <n v="15696"/>
        <n v="14688.94"/>
        <n v="9830.52"/>
        <n v="16934.6"/>
        <n v="26858.7"/>
        <n v="16301.28"/>
        <n v="7479.54"/>
        <n v="12037.06"/>
        <n v="1789.92"/>
        <n v="22176.6"/>
        <n v="29029.2"/>
        <n v="25036.68"/>
        <n v="47920.16"/>
        <n v="25508.56"/>
        <n v="69094.2"/>
        <n v="1083.26"/>
        <n v="18408.83"/>
        <n v="38293.8"/>
        <n v="2822.16"/>
        <n v="29869.68"/>
        <n v="24208.24"/>
        <n v="5579.84"/>
        <n v="55161.43"/>
        <n v="43103.4"/>
        <n v="32840.6"/>
        <n v="21947.31"/>
        <n v="4558.96"/>
        <n v="12063.72"/>
        <n v="15325.56"/>
        <n v="735.35"/>
        <n v="26577.98"/>
        <n v="549.14"/>
        <n v="37715"/>
        <n v="12434.37"/>
        <n v="67942.48"/>
        <n v="31768.96"/>
        <n v="50842.68"/>
        <n v="46613.52"/>
        <n v="5426.68"/>
        <n v="22007.52"/>
        <n v="9372.24"/>
        <n v="60909.45"/>
        <n v="1768.92"/>
        <n v="18626.8"/>
        <n v="59497.8"/>
        <n v="1717.6"/>
        <n v="14247.8"/>
        <n v="74713.86"/>
        <n v="44822.52"/>
        <n v="8509.18"/>
        <n v="20290.86"/>
        <n v="15854.09"/>
        <n v="46513.26"/>
        <n v="60074.69"/>
        <n v="77219.2"/>
        <n v="23867.8"/>
        <n v="28983.96"/>
        <n v="74186.85"/>
        <n v="32977.84"/>
        <n v="17649.64"/>
        <n v="1778"/>
        <n v="52862.28"/>
        <n v="7901.01"/>
        <n v="2970.66"/>
        <n v="53699.7"/>
        <n v="14445.18"/>
        <n v="23791.68"/>
        <n v="63910.6"/>
        <n v="31611.8"/>
        <n v="4857.42"/>
        <n v="7329.12"/>
        <n v="9830"/>
        <n v="33850.56"/>
        <n v="15126.4"/>
        <n v="15995.7"/>
        <n v="47465"/>
        <n v="19063.53"/>
        <n v="18773.82"/>
        <n v="28244.28"/>
        <n v="2886.96"/>
        <n v="30235.8"/>
        <n v="20031.69"/>
        <n v="53865.13"/>
        <n v="62709.15"/>
        <n v="7495.42"/>
        <n v="8377.14"/>
        <n v="11616.27"/>
        <n v="69272"/>
        <n v="14489.82"/>
        <n v="11345.36"/>
        <n v="58301.64"/>
        <n v="55825"/>
        <n v="3165.04"/>
        <n v="47804.26"/>
        <n v="15586.76"/>
        <n v="10121.8"/>
        <n v="1744.54"/>
        <n v="1025.64"/>
        <n v="8496"/>
        <n v="24604.64"/>
        <n v="16199.82"/>
        <n v="63087.2"/>
        <n v="936.56"/>
        <n v="11400.76"/>
        <n v="34002.8"/>
        <n v="49013.82"/>
        <n v="36900.24"/>
        <n v="26521.3"/>
        <n v="19090.66"/>
        <n v="39337.6"/>
        <n v="28756.62"/>
        <n v="1154.88"/>
        <n v="14858.36"/>
        <n v="15892.74"/>
        <n v="24558.88"/>
        <n v="15484.23"/>
        <n v="23917.18"/>
        <n v="33187.84"/>
        <n v="54424.8"/>
        <n v="15005.96"/>
        <n v="85758.4"/>
        <n v="38655.32"/>
        <n v="27418.95"/>
        <n v="65444.16"/>
        <n v="2631.84"/>
        <n v="3706.78"/>
        <n v="23623.92"/>
        <n v="15958.2"/>
        <n v="8555.8"/>
        <n v="22914.97"/>
        <n v="12419.76"/>
        <n v="72628.26"/>
        <n v="3875.68"/>
        <n v="27489.12"/>
        <n v="35240.04"/>
        <n v="4370.57"/>
        <n v="5684.13"/>
        <n v="5139.4"/>
        <n v="46784.9"/>
        <n v="12245.04"/>
        <n v="25035.6"/>
        <n v="2484.18"/>
        <n v="23086.56"/>
        <n v="12986.08"/>
        <n v="7978.74"/>
        <n v="64742.55"/>
        <n v="37563.54"/>
        <n v="52745.76"/>
        <n v="6809.79"/>
        <n v="2749.59"/>
        <n v="23875.15"/>
        <n v="42824.48"/>
        <n v="47021.91"/>
        <n v="2088.8"/>
        <n v="9507.19"/>
        <n v="38129.01"/>
        <n v="403.2"/>
        <n v="19927.81"/>
        <n v="4254.5"/>
        <n v="53394.4"/>
        <n v="19493.25"/>
        <n v="34289.99"/>
        <n v="27188.15"/>
        <n v="2251.06"/>
        <n v="36865.4"/>
        <n v="67555.79"/>
        <n v="7993.04"/>
        <n v="26742.1"/>
        <n v="41787.08"/>
        <n v="3471.84"/>
        <n v="7441.05"/>
        <n v="60729.13"/>
        <n v="5092.65"/>
        <n v="17772.95"/>
        <n v="94929.32"/>
        <n v="13343.7"/>
        <n v="13185.1"/>
        <n v="34639.8"/>
        <n v="54172.68"/>
        <n v="34218.6"/>
        <n v="9339.07"/>
        <n v="1223.28"/>
        <n v="90950.91"/>
        <n v="29334.47"/>
        <n v="41320.44"/>
        <n v="1678.18"/>
        <n v="43279"/>
        <n v="63203.04"/>
        <n v="38735.45"/>
        <n v="11941.92"/>
        <n v="71809.92"/>
        <n v="31526.18"/>
        <n v="20154.4"/>
        <n v="3389.64"/>
        <n v="62190.45"/>
        <n v="14256.88"/>
        <n v="5803.14"/>
        <n v="19672.29"/>
        <n v="17207.88"/>
        <n v="21399.18"/>
        <n v="34703.5"/>
        <n v="23054.76"/>
        <n v="18450.9"/>
        <n v="3187.31"/>
        <n v="22046.4"/>
        <n v="8163.84"/>
        <n v="63697.2"/>
        <n v="27217.92"/>
        <n v="27506.9"/>
        <n v="53181.7"/>
        <n v="12702"/>
        <n v="20415.6"/>
        <n v="28782.18"/>
        <n v="50212.03"/>
        <n v="49108.5"/>
        <n v="3241.52"/>
        <n v="4891.6"/>
        <n v="39668.16"/>
        <n v="48193.6"/>
        <n v="41624.67"/>
        <n v="28207.06"/>
        <n v="59989.35"/>
        <n v="9925.96"/>
        <n v="9235.24"/>
        <n v="40479"/>
        <n v="82928.16"/>
        <n v="37927.76"/>
        <n v="3671.88"/>
        <n v="2245.3"/>
        <n v="3246.08"/>
        <n v="22581.28"/>
        <n v="41307.14"/>
        <n v="2388.8"/>
        <n v="7453.16"/>
        <n v="7998.25"/>
        <n v="26051.04"/>
        <n v="57489.75"/>
        <n v="65287.62"/>
        <n v="6213.28"/>
        <n v="64650.15"/>
        <n v="46930.66"/>
        <n v="3860.46"/>
        <n v="5432.61"/>
        <n v="3316.38"/>
        <n v="37074.3"/>
        <n v="10519.2"/>
        <n v="2498.74"/>
        <n v="41832.41"/>
        <n v="60202.74"/>
        <n v="12974.64"/>
        <n v="80988"/>
        <n v="37555.36"/>
        <n v="7487.04"/>
        <n v="2427.84"/>
        <n v="9613.87"/>
        <n v="30482"/>
        <n v="56375.6"/>
        <n v="4647.3"/>
        <n v="46049.4"/>
        <n v="47692.65"/>
        <n v="1239.78"/>
        <n v="54451.68"/>
        <n v="7627.56"/>
        <n v="53615.52"/>
        <n v="50085.52"/>
        <n v="51933.18"/>
        <n v="18657"/>
        <n v="42066.36"/>
        <n v="2504.6"/>
        <n v="26082.9"/>
        <n v="10108.6"/>
        <n v="72208.52"/>
        <n v="7827.2"/>
        <n v="7650.8"/>
        <n v="71229.3"/>
        <n v="22013.6"/>
        <n v="61729.92"/>
        <n v="49399.9"/>
        <n v="19158.96"/>
        <n v="36055.14"/>
        <n v="12056.65"/>
        <n v="65359.9"/>
        <n v="11437.86"/>
        <n v="9308.76"/>
        <n v="5393.74"/>
        <n v="24475.56"/>
        <n v="38755.32"/>
        <n v="29969.92"/>
        <n v="11484.06"/>
        <n v="62961.73"/>
        <n v="23166.13"/>
        <n v="21291.4"/>
        <n v="3854.04"/>
        <n v="69640.35"/>
        <n v="63020.53"/>
        <n v="26073.32"/>
        <n v="38291.84"/>
        <n v="11176.74"/>
        <n v="4964.84"/>
        <n v="18233.4"/>
        <n v="43047.1"/>
        <n v="48910.07"/>
        <n v="3722.56"/>
        <n v="3431.7"/>
        <n v="27306.6"/>
        <n v="32807.6"/>
        <n v="6715.65"/>
        <n v="7181.16"/>
        <n v="2772"/>
        <n v="18717.72"/>
        <n v="4175.7"/>
        <n v="45138.91"/>
        <n v="59293.08"/>
        <n v="67860.2"/>
        <n v="17464.72"/>
        <n v="88571.8"/>
        <n v="20260.71"/>
        <n v="42576.91"/>
        <n v="77694.99"/>
        <n v="25717.68"/>
        <n v="26333.4"/>
        <n v="53477.41"/>
        <n v="25235.9"/>
        <n v="5703.28"/>
        <n v="63863.6"/>
        <n v="37310.56"/>
        <n v="55429.27"/>
        <n v="9018.35"/>
        <n v="22272.64"/>
        <n v="17921.76"/>
        <n v="18708.84"/>
        <n v="23362.74"/>
        <n v="17174.96"/>
        <n v="23466.96"/>
        <n v="8093.14"/>
        <n v="3797.78"/>
        <n v="23795.95"/>
        <n v="10361.67"/>
        <n v="24007.06"/>
        <n v="21129.1"/>
        <n v="45436.04"/>
        <n v="6878.94"/>
        <n v="65585"/>
        <n v="53132.8"/>
        <n v="24631.14"/>
        <n v="12813.22"/>
        <n v="74133.25"/>
        <n v="30319.1"/>
        <n v="64350.72"/>
        <n v="49641.02"/>
        <n v="41947.2"/>
        <n v="2918.29"/>
        <n v="10978.3"/>
        <n v="33915"/>
        <n v="28936.44"/>
        <n v="3119.52"/>
        <n v="61359.48"/>
        <n v="7965.1"/>
        <n v="8635.41"/>
        <n v="4523.38"/>
        <n v="17959.65"/>
        <n v="30969.81"/>
        <n v="6651.98"/>
        <n v="1983.6"/>
        <n v="42867.09"/>
        <n v="6613.68"/>
        <n v="1886.13"/>
        <n v="17769.01"/>
        <n v="28818.86"/>
        <n v="72760.2"/>
        <n v="36187.52"/>
        <n v="34714"/>
        <n v="44794.78"/>
        <n v="16941.42"/>
        <n v="35350.47"/>
        <n v="4555.42"/>
        <n v="58883.22"/>
        <n v="66094.65"/>
        <n v="38314.64"/>
        <n v="45903.39"/>
        <n v="28545.65"/>
        <n v="1628.88"/>
        <n v="31395.45"/>
        <n v="34174.98"/>
        <n v="2424.06"/>
        <n v="20145.04"/>
        <n v="2366.64"/>
        <n v="44344.86"/>
        <n v="986.04"/>
        <n v="13057.4"/>
        <n v="10254.6"/>
        <n v="1542.46"/>
        <n v="43522.92"/>
        <n v="44687.7"/>
        <n v="14738"/>
        <n v="63925.68"/>
        <n v="38195.94"/>
        <n v="645.63"/>
        <n v="9060.17"/>
        <n v="14028.66"/>
        <n v="48212.01"/>
        <n v="25185.54"/>
        <n v="8274.98"/>
        <n v="25568.96"/>
        <n v="9132.06"/>
        <n v="25620.18"/>
        <n v="3875.17"/>
        <n v="4361.04"/>
        <n v="4039.12"/>
        <n v="2772.84"/>
        <n v="16920.36"/>
        <n v="9665.46"/>
        <n v="23776.34"/>
        <n v="58300.62"/>
        <n v="52971.24"/>
        <n v="40318.46"/>
        <n v="54045.9"/>
        <n v="27282.45"/>
        <n v="20533.95"/>
        <n v="3041.26"/>
        <n v="31599.47"/>
        <n v="53490.24"/>
        <n v="13580.16"/>
        <n v="30874.24"/>
        <n v="42625.94"/>
        <n v="51187.18"/>
        <n v="30830.31"/>
        <n v="70075.35"/>
        <n v="23001.9"/>
        <n v="41478.71"/>
        <n v="14806.4"/>
        <n v="44348.16"/>
        <n v="43393.98"/>
        <n v="3758.07"/>
        <n v="12683.25"/>
        <n v="5076.72"/>
        <n v="15049.88"/>
        <n v="20902.85"/>
        <n v="9735.05"/>
        <n v="60920.73"/>
        <n v="30927.19"/>
        <n v="79546.16"/>
        <n v="6023.76"/>
        <n v="13373.62"/>
        <n v="95022.8"/>
        <n v="4526.56"/>
        <n v="1903.53"/>
        <n v="65733.8"/>
        <n v="23528"/>
        <n v="22427.9"/>
        <n v="75813.04"/>
        <n v="56480.4"/>
        <n v="21538.56"/>
        <n v="52268.43"/>
        <n v="62515.8"/>
        <n v="15777.58"/>
        <n v="14099.44"/>
        <n v="5571"/>
        <n v="13586.02"/>
        <n v="414.64"/>
        <n v="7514.78"/>
        <n v="4156.66"/>
        <n v="62832.6"/>
        <n v="48746.56"/>
        <n v="7365.28"/>
        <n v="42540.12"/>
        <n v="37552.05"/>
        <n v="29182.01"/>
        <n v="64065.6"/>
        <n v="67818.24"/>
        <n v="1971.45"/>
        <n v="46671.9"/>
        <n v="41759.37"/>
        <n v="17347.68"/>
        <n v="17092.48"/>
        <n v="40168.08"/>
        <n v="51487.38"/>
        <n v="6286.32"/>
        <n v="16541.6"/>
        <n v="32806.35"/>
        <n v="39772.69"/>
        <n v="39879.68"/>
        <n v="55406.57"/>
        <n v="33933.34"/>
        <n v="13560.96"/>
        <n v="28725.92"/>
        <n v="38775.01"/>
        <n v="22940.32"/>
        <n v="4477.38"/>
        <n v="33403.86"/>
        <n v="2362.15"/>
        <n v="19788.8"/>
        <n v="21216.51"/>
        <n v="10653.28"/>
        <n v="9851.2"/>
        <n v="47020.87"/>
        <n v="17460.99"/>
        <n v="17038.88"/>
        <n v="9691.48"/>
        <n v="14298.84"/>
        <n v="59193.45"/>
        <n v="21651.24"/>
        <n v="6166.35"/>
        <n v="7843.4"/>
        <n v="36618.88"/>
        <n v="25596.6"/>
        <n v="4833.68"/>
        <n v="8826.3"/>
        <n v="37988.58"/>
        <n v="22915.27"/>
        <n v="5102.28"/>
        <n v="7660.78"/>
        <n v="31195.5"/>
        <n v="3039.9"/>
        <n v="10181.9"/>
        <n v="13201.44"/>
        <n v="11484.12"/>
        <n v="36730.61"/>
        <n v="12511.95"/>
        <n v="45644.76"/>
        <n v="41398.74"/>
        <n v="3032.45"/>
        <n v="11514.18"/>
        <n v="5961.69"/>
        <n v="17469.36"/>
        <n v="8225.06"/>
        <n v="19875.72"/>
        <n v="679.12"/>
        <n v="11559.15"/>
        <n v="24341.9"/>
        <n v="9176.22"/>
        <n v="43596.32"/>
        <n v="84927.96"/>
        <n v="43305.84"/>
        <n v="32174.88"/>
        <n v="64139.52"/>
        <n v="67107.32"/>
        <n v="67429.46"/>
        <n v="24435.06"/>
        <n v="2539.62"/>
        <n v="39935.09"/>
        <n v="23433.35"/>
        <n v="22520.85"/>
        <n v="1679.1"/>
        <n v="33587.07"/>
        <n v="33404.48"/>
        <n v="35491.12"/>
        <n v="30263.1"/>
        <n v="37668.95"/>
        <n v="11672.1"/>
        <n v="3504.41"/>
        <n v="10508.4"/>
        <n v="52168.2"/>
        <n v="6518.3"/>
        <n v="4308.92"/>
        <n v="68321.7"/>
        <n v="19059.47"/>
        <n v="22181.39"/>
        <n v="86050.05"/>
        <n v="12404.2"/>
        <n v="52148.69"/>
        <n v="43004.32"/>
        <n v="37092"/>
        <n v="11442.36"/>
        <n v="2333.78"/>
        <n v="26285.6"/>
        <n v="4544.32"/>
        <n v="8093.36"/>
        <n v="23508.42"/>
        <n v="6627.26"/>
        <n v="14566.32"/>
        <n v="4677.22"/>
        <n v="49930.74"/>
        <n v="38100.9"/>
        <n v="4714.84"/>
        <n v="18897.32"/>
        <n v="24367"/>
        <n v="73736.8"/>
        <n v="23368.8"/>
        <n v="2993.55"/>
        <n v="77534.63"/>
        <n v="14638.44"/>
        <n v="21833.52"/>
        <n v="45771.31"/>
        <n v="63460.32"/>
        <n v="10257.12"/>
        <n v="38032.2"/>
        <n v="27795"/>
        <n v="5246.86"/>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6225.0250231481" refreshedBy="User" recordCount="141">
  <cacheSource type="worksheet">
    <worksheetSource ref="A1:L142" sheet="DAY15-Project"/>
  </cacheSource>
  <cacheFields count="12">
    <cacheField name="Emp Code" numFmtId="0">
      <sharedItems count="141">
        <s v="Mum-TCL001"/>
        <s v="Mum-TCL002"/>
        <s v="Mum-TCL003"/>
        <s v="Mum-TCL004"/>
        <s v="Mum-TCL005"/>
        <s v="Mum-TCL006"/>
        <s v="Mum-TCL007"/>
        <s v="Mum-TCL008"/>
        <s v="Mum-TCL009"/>
        <s v="Mum-TCL010"/>
        <s v="Mum-TCL011"/>
        <s v="Mum-TCL012"/>
        <s v="Mum-TCL013"/>
        <s v="Mum-TCL014"/>
        <s v="Mum-TCL015"/>
        <s v="Mum-TCL016"/>
        <s v="Mum-TCL017"/>
        <s v="Mum-TCL018"/>
        <s v="Mum-TCL019"/>
        <s v="Mum-TCL020"/>
        <s v="Mum-TCL021"/>
        <s v="Mum-TCL022"/>
        <s v="Mum-TCL023"/>
        <s v="Mum-TCL024"/>
        <s v="Mum-TCL025"/>
        <s v="Mum-TCL026"/>
        <s v="Mum-TCL027"/>
        <s v="Mum-TCL028"/>
        <s v="Mum-TCL029"/>
        <s v="Mum-TCL030"/>
        <s v="Mum-TCL031"/>
        <s v="Mum-TCL032"/>
        <s v="Mum-TCL033"/>
        <s v="Mum-TCL034"/>
        <s v="Mum-TCL035"/>
        <s v="Mum-TCL036"/>
        <s v="Mum-TCL037"/>
        <s v="Mum-TCL038"/>
        <s v="Mum-TCL039"/>
        <s v="Mum-TCL040"/>
        <s v="Mum-TCL041"/>
        <s v="Mum-TCL042"/>
        <s v="Mum-TCL043"/>
        <s v="Mum-TCL044"/>
        <s v="Mum-TCL045"/>
        <s v="Mum-TCL046"/>
        <s v="Mum-TCL047"/>
        <s v="Mum-TCL048"/>
        <s v="Mum-TCL049"/>
        <s v="Mum-TCL050"/>
        <s v="Mum-TCL051"/>
        <s v="Mum-TCL052"/>
        <s v="Mum-TCL053"/>
        <s v="Mum-TCL054"/>
        <s v="Mum-TCL055"/>
        <s v="Mum-TCL056"/>
        <s v="Mum-TCL057"/>
        <s v="Mum-TCL058"/>
        <s v="Mum-TCL059"/>
        <s v="Mum-TCL060"/>
        <s v="Mum-TCL061"/>
        <s v="Mum-TCL062"/>
        <s v="Mum-TCL063"/>
        <s v="Mum-TCL064"/>
        <s v="Mum-TCL065"/>
        <s v="Mum-TCL066"/>
        <s v="Mum-TCL067"/>
        <s v="Mum-TCL068"/>
        <s v="Mum-TCL069"/>
        <s v="Mum-TCL070"/>
        <s v="Mum-TCL071"/>
        <s v="Mum-TCL072"/>
        <s v="Mum-TCL073"/>
        <s v="Mum-TCL074"/>
        <s v="Mum-TCL075"/>
        <s v="Mum-TCL076"/>
        <s v="Mum-TCL077"/>
        <s v="Mum-TCL078"/>
        <s v="Mum-TCL079"/>
        <s v="Mum-TCL080"/>
        <s v="Mum-TCL081"/>
        <s v="Mum-TCL082"/>
        <s v="Mum-TCL083"/>
        <s v="Mum-TCL084"/>
        <s v="Mum-TCL085"/>
        <s v="Mum-TCL086"/>
        <s v="Mum-TCL087"/>
        <s v="Mum-TCL088"/>
        <s v="Mum-TCL089"/>
        <s v="Mum-TCL090"/>
        <s v="Mum-TCL091"/>
        <s v="Mum-TCL092"/>
        <s v="Mum-TCL093"/>
        <s v="Mum-TCL094"/>
        <s v="Mum-TCL095"/>
        <s v="Mum-TCL096"/>
        <s v="Mum-TCL097"/>
        <s v="Mum-TCL098"/>
        <s v="Mum-TCL099"/>
        <s v="Mum-TCL100"/>
        <s v="Mum-TCL101"/>
        <s v="Mum-TCL102"/>
        <s v="Mum-TCL103"/>
        <s v="Mum-TCL104"/>
        <s v="Mum-TCL105"/>
        <s v="Mum-TCL106"/>
        <s v="Mum-TCL107"/>
        <s v="Mum-TCL108"/>
        <s v="Mum-TCL109"/>
        <s v="Mum-TCL110"/>
        <s v="Mum-TCL111"/>
        <s v="Mum-TCL112"/>
        <s v="Mum-TCL113"/>
        <s v="Mum-TCL114"/>
        <s v="Mum-TCL115"/>
        <s v="Mum-TCL116"/>
        <s v="Mum-TCL117"/>
        <s v="Mum-TCL118"/>
        <s v="Mum-TCL119"/>
        <s v="Mum-TCL120"/>
        <s v="Mum-TCL121"/>
        <s v="Mum-TCL122"/>
        <s v="Mum-TCL123"/>
        <s v="Mum-TCL124"/>
        <s v="Mum-TCL125"/>
        <s v="Mum-TCL126"/>
        <s v="Mum-TCL127"/>
        <s v="Mum-TCL128"/>
        <s v="Mum-TCL129"/>
        <s v="Mum-TCL130"/>
        <s v="Mum-TCL131"/>
        <s v="Mum-TCL132"/>
        <s v="Mum-TCL133"/>
        <s v="Mum-TCL134"/>
        <s v="Mum-TCL135"/>
        <s v="Mum-TCL136"/>
        <s v="Mum-TCL137"/>
        <s v="Mum-TCL138"/>
        <s v="Mum-TCL139"/>
        <s v="Mum-TCL140"/>
        <s v="Mum-TCL141"/>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0" maxValue="99" count="70">
        <n v="49"/>
        <n v="44"/>
        <n v="45"/>
        <n v="52"/>
        <n v="35"/>
        <n v="86"/>
        <n v="84"/>
        <n v="73"/>
        <n v="54"/>
        <n v="63"/>
        <n v="79"/>
        <n v="95"/>
        <n v="83"/>
        <n v="78"/>
        <n v="14"/>
        <n v="37"/>
        <n v="11"/>
        <n v="19"/>
        <n v="93"/>
        <n v="68"/>
        <n v="99"/>
        <n v="57"/>
        <n v="40"/>
        <n v="47"/>
        <n v="16"/>
        <n v="72"/>
        <n v="30"/>
        <n v="65"/>
        <n v="10"/>
        <n v="82"/>
        <n v="91"/>
        <n v="66"/>
        <n v="70"/>
        <n v="74"/>
        <n v="80"/>
        <n v="17"/>
        <n v="88"/>
        <n v="23"/>
        <n v="15"/>
        <n v="18"/>
        <n v="34"/>
        <n v="76"/>
        <n v="43"/>
        <n v="75"/>
        <n v="87"/>
        <n v="51"/>
        <n v="32"/>
        <n v="41"/>
        <n v="12"/>
        <n v="98"/>
        <n v="50"/>
        <n v="71"/>
        <n v="48"/>
        <n v="77"/>
        <n v="81"/>
        <n v="39"/>
        <n v="46"/>
        <n v="96"/>
        <n v="31"/>
        <n v="92"/>
        <n v="55"/>
        <n v="61"/>
        <n v="24"/>
        <n v="26"/>
        <n v="20"/>
        <n v="25"/>
        <n v="60"/>
        <n v="42"/>
        <n v="90"/>
        <n v="85"/>
      </sharedItems>
    </cacheField>
    <cacheField name="Day2" numFmtId="0">
      <sharedItems containsSemiMixedTypes="0" containsString="0" containsNumber="1" containsInteger="1" minValue="0" maxValue="99" count="70">
        <n v="84"/>
        <n v="85"/>
        <n v="79"/>
        <n v="99"/>
        <n v="54"/>
        <n v="31"/>
        <n v="28"/>
        <n v="97"/>
        <n v="26"/>
        <n v="52"/>
        <n v="17"/>
        <n v="88"/>
        <n v="77"/>
        <n v="58"/>
        <n v="25"/>
        <n v="69"/>
        <n v="46"/>
        <n v="34"/>
        <n v="73"/>
        <n v="22"/>
        <n v="71"/>
        <n v="87"/>
        <n v="38"/>
        <n v="90"/>
        <n v="66"/>
        <n v="30"/>
        <n v="59"/>
        <n v="23"/>
        <n v="13"/>
        <n v="18"/>
        <n v="60"/>
        <n v="51"/>
        <n v="82"/>
        <n v="16"/>
        <n v="72"/>
        <n v="36"/>
        <n v="67"/>
        <n v="39"/>
        <n v="14"/>
        <n v="35"/>
        <n v="12"/>
        <n v="55"/>
        <n v="70"/>
        <n v="78"/>
        <n v="75"/>
        <n v="74"/>
        <n v="11"/>
        <n v="15"/>
        <n v="44"/>
        <n v="83"/>
        <n v="94"/>
        <n v="49"/>
        <n v="63"/>
        <n v="19"/>
        <n v="42"/>
        <n v="80"/>
        <n v="48"/>
        <n v="45"/>
        <n v="96"/>
        <n v="91"/>
        <n v="53"/>
        <n v="62"/>
        <n v="65"/>
        <n v="61"/>
        <n v="92"/>
        <n v="24"/>
        <n v="68"/>
        <n v="21"/>
        <n v="43"/>
        <n v="81"/>
      </sharedItems>
    </cacheField>
    <cacheField name="Day3" numFmtId="0">
      <sharedItems containsSemiMixedTypes="0" containsString="0" containsNumber="1" containsInteger="1" minValue="0" maxValue="99" count="69">
        <n v="98"/>
        <n v="47"/>
        <n v="88"/>
        <n v="13"/>
        <n v="49"/>
        <n v="23"/>
        <n v="38"/>
        <n v="53"/>
        <n v="19"/>
        <n v="40"/>
        <n v="95"/>
        <n v="11"/>
        <n v="66"/>
        <n v="34"/>
        <n v="45"/>
        <n v="96"/>
        <n v="91"/>
        <n v="64"/>
        <n v="97"/>
        <n v="48"/>
        <n v="31"/>
        <n v="18"/>
        <n v="94"/>
        <n v="80"/>
        <n v="92"/>
        <n v="70"/>
        <n v="99"/>
        <n v="17"/>
        <n v="41"/>
        <n v="79"/>
        <n v="25"/>
        <n v="44"/>
        <n v="33"/>
        <n v="74"/>
        <n v="10"/>
        <n v="15"/>
        <n v="12"/>
        <n v="90"/>
        <n v="84"/>
        <n v="72"/>
        <n v="82"/>
        <n v="42"/>
        <n v="56"/>
        <n v="71"/>
        <n v="89"/>
        <n v="46"/>
        <n v="27"/>
        <n v="58"/>
        <n v="87"/>
        <n v="63"/>
        <n v="68"/>
        <n v="62"/>
        <n v="59"/>
        <n v="43"/>
        <n v="65"/>
        <n v="21"/>
        <n v="20"/>
        <n v="50"/>
        <n v="86"/>
        <n v="81"/>
        <n v="16"/>
        <n v="32"/>
        <n v="85"/>
        <n v="35"/>
        <n v="61"/>
        <n v="93"/>
        <n v="26"/>
        <n v="75"/>
        <n v="57"/>
      </sharedItems>
    </cacheField>
    <cacheField name="Day4" numFmtId="0">
      <sharedItems containsSemiMixedTypes="0" containsString="0" containsNumber="1" containsInteger="1" minValue="0" maxValue="99" count="73">
        <n v="67"/>
        <n v="15"/>
        <n v="73"/>
        <n v="95"/>
        <n v="26"/>
        <n v="48"/>
        <n v="80"/>
        <n v="24"/>
        <n v="36"/>
        <n v="53"/>
        <n v="12"/>
        <n v="78"/>
        <n v="22"/>
        <n v="84"/>
        <n v="70"/>
        <n v="66"/>
        <n v="98"/>
        <n v="65"/>
        <n v="45"/>
        <n v="76"/>
        <n v="44"/>
        <n v="34"/>
        <n v="11"/>
        <n v="75"/>
        <n v="72"/>
        <n v="89"/>
        <n v="85"/>
        <n v="77"/>
        <n v="94"/>
        <n v="17"/>
        <n v="61"/>
        <n v="64"/>
        <n v="55"/>
        <n v="46"/>
        <n v="54"/>
        <n v="97"/>
        <n v="60"/>
        <n v="19"/>
        <n v="41"/>
        <n v="99"/>
        <n v="58"/>
        <n v="31"/>
        <n v="81"/>
        <n v="83"/>
        <n v="16"/>
        <n v="43"/>
        <n v="14"/>
        <n v="20"/>
        <n v="33"/>
        <n v="35"/>
        <n v="29"/>
        <n v="82"/>
        <n v="13"/>
        <n v="42"/>
        <n v="23"/>
        <n v="63"/>
        <n v="57"/>
        <n v="90"/>
        <n v="32"/>
        <n v="68"/>
        <n v="69"/>
        <n v="91"/>
        <n v="40"/>
        <n v="25"/>
        <n v="30"/>
        <n v="47"/>
        <n v="28"/>
        <n v="71"/>
        <n v="96"/>
        <n v="92"/>
        <n v="51"/>
        <n v="86"/>
        <n v="56"/>
      </sharedItems>
    </cacheField>
    <cacheField name="Day5" numFmtId="0">
      <sharedItems containsSemiMixedTypes="0" containsString="0" containsNumber="1" containsInteger="1" minValue="0" maxValue="99" count="76">
        <n v="41"/>
        <n v="48"/>
        <n v="94"/>
        <n v="29"/>
        <n v="49"/>
        <n v="77"/>
        <n v="79"/>
        <n v="53"/>
        <n v="20"/>
        <n v="37"/>
        <n v="51"/>
        <n v="91"/>
        <n v="60"/>
        <n v="40"/>
        <n v="31"/>
        <n v="45"/>
        <n v="38"/>
        <n v="70"/>
        <n v="18"/>
        <n v="93"/>
        <n v="52"/>
        <n v="92"/>
        <n v="33"/>
        <n v="34"/>
        <n v="97"/>
        <n v="10"/>
        <n v="89"/>
        <n v="67"/>
        <n v="22"/>
        <n v="47"/>
        <n v="61"/>
        <n v="59"/>
        <n v="30"/>
        <n v="58"/>
        <n v="56"/>
        <n v="28"/>
        <n v="13"/>
        <n v="42"/>
        <n v="78"/>
        <n v="21"/>
        <n v="90"/>
        <n v="72"/>
        <n v="57"/>
        <n v="23"/>
        <n v="71"/>
        <n v="35"/>
        <n v="26"/>
        <n v="44"/>
        <n v="50"/>
        <n v="65"/>
        <n v="11"/>
        <n v="17"/>
        <n v="39"/>
        <n v="27"/>
        <n v="83"/>
        <n v="46"/>
        <n v="63"/>
        <n v="81"/>
        <n v="54"/>
        <n v="73"/>
        <n v="99"/>
        <n v="95"/>
        <n v="19"/>
        <n v="16"/>
        <n v="25"/>
        <n v="76"/>
        <n v="55"/>
        <n v="86"/>
        <n v="88"/>
        <n v="96"/>
        <n v="15"/>
        <n v="98"/>
        <n v="75"/>
        <n v="12"/>
        <n v="43"/>
        <n v="64"/>
      </sharedItems>
    </cacheField>
    <cacheField name="Total Sales" numFmtId="0">
      <sharedItems containsSemiMixedTypes="0" containsString="0" containsNumber="1" containsInteger="1" minValue="0" maxValue="389" count="102">
        <n v="339"/>
        <n v="239"/>
        <n v="379"/>
        <n v="288"/>
        <n v="213"/>
        <n v="265"/>
        <n v="369"/>
        <n v="285"/>
        <n v="189"/>
        <n v="219"/>
        <n v="376"/>
        <n v="332"/>
        <n v="199"/>
        <n v="306"/>
        <n v="291"/>
        <n v="252"/>
        <n v="253"/>
        <n v="367"/>
        <n v="301"/>
        <n v="202"/>
        <n v="183"/>
        <n v="344"/>
        <n v="276"/>
        <n v="357"/>
        <n v="324"/>
        <n v="341"/>
        <n v="353"/>
        <n v="176"/>
        <n v="230"/>
        <n v="223"/>
        <n v="323"/>
        <n v="214"/>
        <n v="335"/>
        <n v="264"/>
        <n v="274"/>
        <n v="232"/>
        <n v="207"/>
        <n v="371"/>
        <n v="206"/>
        <n v="350"/>
        <n v="192"/>
        <n v="233"/>
        <n v="292"/>
        <n v="340"/>
        <n v="270"/>
        <n v="249"/>
        <n v="322"/>
        <n v="260"/>
        <n v="284"/>
        <n v="300"/>
        <n v="217"/>
        <n v="246"/>
        <n v="267"/>
        <n v="385"/>
        <n v="328"/>
        <n v="166"/>
        <n v="342"/>
        <n v="293"/>
        <n v="171"/>
        <n v="229"/>
        <n v="156"/>
        <n v="208"/>
        <n v="143"/>
        <n v="254"/>
        <n v="224"/>
        <n v="287"/>
        <n v="286"/>
        <n v="245"/>
        <n v="281"/>
        <n v="317"/>
        <n v="351"/>
        <n v="209"/>
        <n v="290"/>
        <n v="384"/>
        <n v="349"/>
        <n v="215"/>
        <n v="318"/>
        <n v="205"/>
        <n v="234"/>
        <n v="303"/>
        <n v="268"/>
        <n v="220"/>
        <n v="228"/>
        <n v="374"/>
        <n v="211"/>
        <n v="236"/>
        <n v="355"/>
        <n v="320"/>
        <n v="389"/>
        <n v="311"/>
        <n v="243"/>
        <n v="283"/>
        <n v="280"/>
        <n v="258"/>
        <n v="316"/>
        <n v="327"/>
        <n v="302"/>
        <n v="273"/>
        <n v="307"/>
        <n v="346"/>
        <n v="271"/>
        <n v="382"/>
      </sharedItems>
    </cacheField>
    <cacheField name="Target" numFmtId="0">
      <sharedItems containsSemiMixedTypes="0" containsString="0" containsNumber="1" containsInteger="1" minValue="0" maxValue="500" count="1">
        <n v="500"/>
      </sharedItems>
    </cacheField>
    <cacheField name="Target Hit %" numFmtId="10">
      <sharedItems containsSemiMixedTypes="0" containsString="0" containsNumber="1" minValue="0" maxValue="0.778" count="102">
        <n v="0.678"/>
        <n v="0.478"/>
        <n v="0.758"/>
        <n v="0.576"/>
        <n v="0.426"/>
        <n v="0.53"/>
        <n v="0.738"/>
        <n v="0.57"/>
        <n v="0.378"/>
        <n v="0.438"/>
        <n v="0.752"/>
        <n v="0.664"/>
        <n v="0.398"/>
        <n v="0.612"/>
        <n v="0.582"/>
        <n v="0.504"/>
        <n v="0.506"/>
        <n v="0.734"/>
        <n v="0.602"/>
        <n v="0.404"/>
        <n v="0.366"/>
        <n v="0.688"/>
        <n v="0.552"/>
        <n v="0.714"/>
        <n v="0.648"/>
        <n v="0.682"/>
        <n v="0.706"/>
        <n v="0.352"/>
        <n v="0.46"/>
        <n v="0.446"/>
        <n v="0.646"/>
        <n v="0.428"/>
        <n v="0.67"/>
        <n v="0.528"/>
        <n v="0.548"/>
        <n v="0.464"/>
        <n v="0.414"/>
        <n v="0.742"/>
        <n v="0.412"/>
        <n v="0.7"/>
        <n v="0.384"/>
        <n v="0.466"/>
        <n v="0.584"/>
        <n v="0.68"/>
        <n v="0.54"/>
        <n v="0.498"/>
        <n v="0.644"/>
        <n v="0.52"/>
        <n v="0.568"/>
        <n v="0.6"/>
        <n v="0.434"/>
        <n v="0.492"/>
        <n v="0.534"/>
        <n v="0.77"/>
        <n v="0.656"/>
        <n v="0.332"/>
        <n v="0.684"/>
        <n v="0.586"/>
        <n v="0.342"/>
        <n v="0.458"/>
        <n v="0.312"/>
        <n v="0.416"/>
        <n v="0.286"/>
        <n v="0.508"/>
        <n v="0.448"/>
        <n v="0.574"/>
        <n v="0.572"/>
        <n v="0.49"/>
        <n v="0.562"/>
        <n v="0.634"/>
        <n v="0.702"/>
        <n v="0.418"/>
        <n v="0.58"/>
        <n v="0.768"/>
        <n v="0.698"/>
        <n v="0.43"/>
        <n v="0.636"/>
        <n v="0.41"/>
        <n v="0.468"/>
        <n v="0.606"/>
        <n v="0.536"/>
        <n v="0.44"/>
        <n v="0.456"/>
        <n v="0.748"/>
        <n v="0.422"/>
        <n v="0.472"/>
        <n v="0.71"/>
        <n v="0.64"/>
        <n v="0.778"/>
        <n v="0.622"/>
        <n v="0.486"/>
        <n v="0.566"/>
        <n v="0.56"/>
        <n v="0.516"/>
        <n v="0.632"/>
        <n v="0.654"/>
        <n v="0.604"/>
        <n v="0.546"/>
        <n v="0.614"/>
        <n v="0.692"/>
        <n v="0.542"/>
        <n v="0.764"/>
      </sharedItems>
    </cacheField>
    <cacheField name="Away From Target %" numFmtId="10">
      <sharedItems containsSemiMixedTypes="0" containsString="0" containsNumber="1" minValue="0" maxValue="0.714" count="102">
        <n v="0.322"/>
        <n v="0.522"/>
        <n v="0.242"/>
        <n v="0.424"/>
        <n v="0.574"/>
        <n v="0.47"/>
        <n v="0.262"/>
        <n v="0.43"/>
        <n v="0.622"/>
        <n v="0.562"/>
        <n v="0.248"/>
        <n v="0.336"/>
        <n v="0.602"/>
        <n v="0.388"/>
        <n v="0.418"/>
        <n v="0.496"/>
        <n v="0.494"/>
        <n v="0.266"/>
        <n v="0.398"/>
        <n v="0.596"/>
        <n v="0.634"/>
        <n v="0.312"/>
        <n v="0.448"/>
        <n v="0.286"/>
        <n v="0.352"/>
        <n v="0.318"/>
        <n v="0.294"/>
        <n v="0.648"/>
        <n v="0.54"/>
        <n v="0.554"/>
        <n v="0.354"/>
        <n v="0.572"/>
        <n v="0.33"/>
        <n v="0.472"/>
        <n v="0.452"/>
        <n v="0.536"/>
        <n v="0.586"/>
        <n v="0.258"/>
        <n v="0.588"/>
        <n v="0.3"/>
        <n v="0.616"/>
        <n v="0.534"/>
        <n v="0.416"/>
        <n v="0.32"/>
        <n v="0.46"/>
        <n v="0.502"/>
        <n v="0.356"/>
        <n v="0.48"/>
        <n v="0.432"/>
        <n v="0.4"/>
        <n v="0.566"/>
        <n v="0.508"/>
        <n v="0.466"/>
        <n v="0.23"/>
        <n v="0.344"/>
        <n v="0.668"/>
        <n v="0.316"/>
        <n v="0.414"/>
        <n v="0.658"/>
        <n v="0.542"/>
        <n v="0.688"/>
        <n v="0.584"/>
        <n v="0.714"/>
        <n v="0.492"/>
        <n v="0.552"/>
        <n v="0.426"/>
        <n v="0.428"/>
        <n v="0.51"/>
        <n v="0.438"/>
        <n v="0.366"/>
        <n v="0.298"/>
        <n v="0.582"/>
        <n v="0.42"/>
        <n v="0.232"/>
        <n v="0.302"/>
        <n v="0.57"/>
        <n v="0.364"/>
        <n v="0.59"/>
        <n v="0.532"/>
        <n v="0.394"/>
        <n v="0.464"/>
        <n v="0.56"/>
        <n v="0.544"/>
        <n v="0.252"/>
        <n v="0.578"/>
        <n v="0.528"/>
        <n v="0.29"/>
        <n v="0.36"/>
        <n v="0.222"/>
        <n v="0.378"/>
        <n v="0.514"/>
        <n v="0.434"/>
        <n v="0.44"/>
        <n v="0.484"/>
        <n v="0.368"/>
        <n v="0.346"/>
        <n v="0.396"/>
        <n v="0.454"/>
        <n v="0.386"/>
        <n v="0.308"/>
        <n v="0.458"/>
        <n v="0.236"/>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x v="0"/>
    <x v="0"/>
    <x v="0"/>
    <x v="0"/>
    <x v="0"/>
    <x v="0"/>
    <x v="0"/>
    <x v="0"/>
    <x v="0"/>
  </r>
  <r>
    <x v="1"/>
    <x v="1"/>
    <x v="1"/>
    <x v="1"/>
    <x v="1"/>
    <x v="1"/>
    <x v="1"/>
    <x v="1"/>
    <x v="1"/>
    <x v="1"/>
  </r>
  <r>
    <x v="2"/>
    <x v="2"/>
    <x v="2"/>
    <x v="2"/>
    <x v="1"/>
    <x v="1"/>
    <x v="1"/>
    <x v="2"/>
    <x v="2"/>
    <x v="2"/>
  </r>
  <r>
    <x v="3"/>
    <x v="1"/>
    <x v="3"/>
    <x v="1"/>
    <x v="1"/>
    <x v="2"/>
    <x v="2"/>
    <x v="1"/>
    <x v="3"/>
    <x v="3"/>
  </r>
  <r>
    <x v="4"/>
    <x v="3"/>
    <x v="4"/>
    <x v="0"/>
    <x v="0"/>
    <x v="3"/>
    <x v="3"/>
    <x v="3"/>
    <x v="4"/>
    <x v="4"/>
  </r>
  <r>
    <x v="5"/>
    <x v="4"/>
    <x v="5"/>
    <x v="1"/>
    <x v="1"/>
    <x v="1"/>
    <x v="4"/>
    <x v="4"/>
    <x v="5"/>
    <x v="5"/>
  </r>
  <r>
    <x v="6"/>
    <x v="5"/>
    <x v="6"/>
    <x v="2"/>
    <x v="1"/>
    <x v="4"/>
    <x v="5"/>
    <x v="5"/>
    <x v="6"/>
    <x v="6"/>
  </r>
  <r>
    <x v="5"/>
    <x v="6"/>
    <x v="7"/>
    <x v="3"/>
    <x v="0"/>
    <x v="2"/>
    <x v="2"/>
    <x v="5"/>
    <x v="7"/>
    <x v="7"/>
  </r>
  <r>
    <x v="7"/>
    <x v="1"/>
    <x v="3"/>
    <x v="1"/>
    <x v="1"/>
    <x v="1"/>
    <x v="1"/>
    <x v="6"/>
    <x v="8"/>
    <x v="8"/>
  </r>
  <r>
    <x v="8"/>
    <x v="2"/>
    <x v="5"/>
    <x v="1"/>
    <x v="1"/>
    <x v="0"/>
    <x v="0"/>
    <x v="7"/>
    <x v="9"/>
    <x v="9"/>
  </r>
  <r>
    <x v="9"/>
    <x v="1"/>
    <x v="7"/>
    <x v="3"/>
    <x v="0"/>
    <x v="4"/>
    <x v="6"/>
    <x v="8"/>
    <x v="10"/>
    <x v="10"/>
  </r>
  <r>
    <x v="10"/>
    <x v="5"/>
    <x v="6"/>
    <x v="2"/>
    <x v="1"/>
    <x v="2"/>
    <x v="7"/>
    <x v="8"/>
    <x v="11"/>
    <x v="11"/>
  </r>
  <r>
    <x v="11"/>
    <x v="4"/>
    <x v="4"/>
    <x v="0"/>
    <x v="0"/>
    <x v="1"/>
    <x v="4"/>
    <x v="0"/>
    <x v="12"/>
    <x v="12"/>
  </r>
  <r>
    <x v="12"/>
    <x v="7"/>
    <x v="7"/>
    <x v="3"/>
    <x v="0"/>
    <x v="2"/>
    <x v="8"/>
    <x v="9"/>
    <x v="13"/>
    <x v="13"/>
  </r>
  <r>
    <x v="13"/>
    <x v="8"/>
    <x v="0"/>
    <x v="0"/>
    <x v="0"/>
    <x v="2"/>
    <x v="7"/>
    <x v="4"/>
    <x v="14"/>
    <x v="14"/>
  </r>
  <r>
    <x v="14"/>
    <x v="5"/>
    <x v="8"/>
    <x v="4"/>
    <x v="2"/>
    <x v="2"/>
    <x v="8"/>
    <x v="1"/>
    <x v="15"/>
    <x v="15"/>
  </r>
  <r>
    <x v="15"/>
    <x v="3"/>
    <x v="9"/>
    <x v="0"/>
    <x v="0"/>
    <x v="0"/>
    <x v="0"/>
    <x v="2"/>
    <x v="16"/>
    <x v="16"/>
  </r>
  <r>
    <x v="16"/>
    <x v="4"/>
    <x v="10"/>
    <x v="3"/>
    <x v="0"/>
    <x v="3"/>
    <x v="9"/>
    <x v="10"/>
    <x v="17"/>
    <x v="17"/>
  </r>
  <r>
    <x v="17"/>
    <x v="4"/>
    <x v="0"/>
    <x v="0"/>
    <x v="0"/>
    <x v="2"/>
    <x v="2"/>
    <x v="7"/>
    <x v="18"/>
    <x v="18"/>
  </r>
  <r>
    <x v="9"/>
    <x v="2"/>
    <x v="6"/>
    <x v="2"/>
    <x v="1"/>
    <x v="1"/>
    <x v="4"/>
    <x v="10"/>
    <x v="19"/>
    <x v="19"/>
  </r>
  <r>
    <x v="18"/>
    <x v="9"/>
    <x v="11"/>
    <x v="4"/>
    <x v="2"/>
    <x v="4"/>
    <x v="6"/>
    <x v="0"/>
    <x v="20"/>
    <x v="20"/>
  </r>
  <r>
    <x v="19"/>
    <x v="3"/>
    <x v="1"/>
    <x v="1"/>
    <x v="1"/>
    <x v="1"/>
    <x v="1"/>
    <x v="6"/>
    <x v="21"/>
    <x v="21"/>
  </r>
  <r>
    <x v="20"/>
    <x v="6"/>
    <x v="12"/>
    <x v="2"/>
    <x v="1"/>
    <x v="3"/>
    <x v="10"/>
    <x v="8"/>
    <x v="22"/>
    <x v="22"/>
  </r>
  <r>
    <x v="21"/>
    <x v="5"/>
    <x v="5"/>
    <x v="1"/>
    <x v="1"/>
    <x v="3"/>
    <x v="10"/>
    <x v="11"/>
    <x v="23"/>
    <x v="23"/>
  </r>
  <r>
    <x v="22"/>
    <x v="2"/>
    <x v="6"/>
    <x v="2"/>
    <x v="1"/>
    <x v="0"/>
    <x v="11"/>
    <x v="12"/>
    <x v="24"/>
    <x v="24"/>
  </r>
  <r>
    <x v="23"/>
    <x v="9"/>
    <x v="9"/>
    <x v="0"/>
    <x v="0"/>
    <x v="2"/>
    <x v="8"/>
    <x v="8"/>
    <x v="25"/>
    <x v="25"/>
  </r>
  <r>
    <x v="24"/>
    <x v="9"/>
    <x v="7"/>
    <x v="3"/>
    <x v="0"/>
    <x v="3"/>
    <x v="9"/>
    <x v="7"/>
    <x v="26"/>
    <x v="26"/>
  </r>
  <r>
    <x v="25"/>
    <x v="3"/>
    <x v="11"/>
    <x v="4"/>
    <x v="2"/>
    <x v="2"/>
    <x v="7"/>
    <x v="13"/>
    <x v="27"/>
    <x v="27"/>
  </r>
  <r>
    <x v="26"/>
    <x v="7"/>
    <x v="1"/>
    <x v="1"/>
    <x v="1"/>
    <x v="2"/>
    <x v="7"/>
    <x v="13"/>
    <x v="28"/>
    <x v="28"/>
  </r>
  <r>
    <x v="27"/>
    <x v="6"/>
    <x v="6"/>
    <x v="2"/>
    <x v="1"/>
    <x v="3"/>
    <x v="3"/>
    <x v="14"/>
    <x v="29"/>
    <x v="29"/>
  </r>
  <r>
    <x v="14"/>
    <x v="5"/>
    <x v="8"/>
    <x v="4"/>
    <x v="2"/>
    <x v="2"/>
    <x v="8"/>
    <x v="15"/>
    <x v="30"/>
    <x v="30"/>
  </r>
  <r>
    <x v="28"/>
    <x v="2"/>
    <x v="9"/>
    <x v="0"/>
    <x v="0"/>
    <x v="1"/>
    <x v="4"/>
    <x v="7"/>
    <x v="31"/>
    <x v="31"/>
  </r>
  <r>
    <x v="29"/>
    <x v="2"/>
    <x v="7"/>
    <x v="3"/>
    <x v="0"/>
    <x v="1"/>
    <x v="4"/>
    <x v="3"/>
    <x v="32"/>
    <x v="32"/>
  </r>
  <r>
    <x v="30"/>
    <x v="8"/>
    <x v="12"/>
    <x v="2"/>
    <x v="1"/>
    <x v="3"/>
    <x v="12"/>
    <x v="3"/>
    <x v="33"/>
    <x v="33"/>
  </r>
  <r>
    <x v="31"/>
    <x v="8"/>
    <x v="3"/>
    <x v="1"/>
    <x v="1"/>
    <x v="2"/>
    <x v="13"/>
    <x v="8"/>
    <x v="34"/>
    <x v="34"/>
  </r>
  <r>
    <x v="32"/>
    <x v="8"/>
    <x v="0"/>
    <x v="0"/>
    <x v="0"/>
    <x v="3"/>
    <x v="3"/>
    <x v="16"/>
    <x v="35"/>
    <x v="35"/>
  </r>
  <r>
    <x v="33"/>
    <x v="6"/>
    <x v="5"/>
    <x v="1"/>
    <x v="1"/>
    <x v="1"/>
    <x v="14"/>
    <x v="1"/>
    <x v="36"/>
    <x v="36"/>
  </r>
  <r>
    <x v="20"/>
    <x v="6"/>
    <x v="11"/>
    <x v="4"/>
    <x v="2"/>
    <x v="4"/>
    <x v="6"/>
    <x v="1"/>
    <x v="37"/>
    <x v="37"/>
  </r>
  <r>
    <x v="34"/>
    <x v="7"/>
    <x v="12"/>
    <x v="2"/>
    <x v="1"/>
    <x v="2"/>
    <x v="13"/>
    <x v="2"/>
    <x v="38"/>
    <x v="38"/>
  </r>
  <r>
    <x v="35"/>
    <x v="6"/>
    <x v="7"/>
    <x v="3"/>
    <x v="0"/>
    <x v="1"/>
    <x v="4"/>
    <x v="14"/>
    <x v="39"/>
    <x v="39"/>
  </r>
  <r>
    <x v="36"/>
    <x v="0"/>
    <x v="2"/>
    <x v="2"/>
    <x v="1"/>
    <x v="4"/>
    <x v="5"/>
    <x v="17"/>
    <x v="40"/>
    <x v="40"/>
  </r>
  <r>
    <x v="37"/>
    <x v="3"/>
    <x v="7"/>
    <x v="3"/>
    <x v="0"/>
    <x v="4"/>
    <x v="15"/>
    <x v="18"/>
    <x v="41"/>
    <x v="41"/>
  </r>
  <r>
    <x v="38"/>
    <x v="5"/>
    <x v="11"/>
    <x v="4"/>
    <x v="2"/>
    <x v="1"/>
    <x v="1"/>
    <x v="1"/>
    <x v="42"/>
    <x v="42"/>
  </r>
  <r>
    <x v="39"/>
    <x v="0"/>
    <x v="10"/>
    <x v="3"/>
    <x v="0"/>
    <x v="3"/>
    <x v="12"/>
    <x v="18"/>
    <x v="43"/>
    <x v="43"/>
  </r>
  <r>
    <x v="40"/>
    <x v="7"/>
    <x v="4"/>
    <x v="0"/>
    <x v="0"/>
    <x v="2"/>
    <x v="7"/>
    <x v="6"/>
    <x v="44"/>
    <x v="44"/>
  </r>
  <r>
    <x v="41"/>
    <x v="4"/>
    <x v="4"/>
    <x v="0"/>
    <x v="0"/>
    <x v="1"/>
    <x v="4"/>
    <x v="18"/>
    <x v="45"/>
    <x v="45"/>
  </r>
  <r>
    <x v="42"/>
    <x v="7"/>
    <x v="5"/>
    <x v="1"/>
    <x v="1"/>
    <x v="4"/>
    <x v="16"/>
    <x v="4"/>
    <x v="46"/>
    <x v="46"/>
  </r>
  <r>
    <x v="43"/>
    <x v="6"/>
    <x v="12"/>
    <x v="2"/>
    <x v="1"/>
    <x v="2"/>
    <x v="7"/>
    <x v="1"/>
    <x v="47"/>
    <x v="47"/>
  </r>
  <r>
    <x v="44"/>
    <x v="7"/>
    <x v="9"/>
    <x v="0"/>
    <x v="0"/>
    <x v="0"/>
    <x v="17"/>
    <x v="1"/>
    <x v="48"/>
    <x v="48"/>
  </r>
  <r>
    <x v="45"/>
    <x v="2"/>
    <x v="0"/>
    <x v="0"/>
    <x v="0"/>
    <x v="2"/>
    <x v="7"/>
    <x v="12"/>
    <x v="49"/>
    <x v="49"/>
  </r>
  <r>
    <x v="46"/>
    <x v="6"/>
    <x v="2"/>
    <x v="2"/>
    <x v="1"/>
    <x v="2"/>
    <x v="8"/>
    <x v="10"/>
    <x v="50"/>
    <x v="50"/>
  </r>
  <r>
    <x v="47"/>
    <x v="2"/>
    <x v="6"/>
    <x v="2"/>
    <x v="1"/>
    <x v="0"/>
    <x v="11"/>
    <x v="9"/>
    <x v="51"/>
    <x v="51"/>
  </r>
  <r>
    <x v="48"/>
    <x v="8"/>
    <x v="13"/>
    <x v="4"/>
    <x v="2"/>
    <x v="4"/>
    <x v="5"/>
    <x v="9"/>
    <x v="52"/>
    <x v="52"/>
  </r>
  <r>
    <x v="49"/>
    <x v="1"/>
    <x v="5"/>
    <x v="1"/>
    <x v="1"/>
    <x v="0"/>
    <x v="17"/>
    <x v="10"/>
    <x v="53"/>
    <x v="53"/>
  </r>
  <r>
    <x v="50"/>
    <x v="7"/>
    <x v="4"/>
    <x v="0"/>
    <x v="0"/>
    <x v="1"/>
    <x v="14"/>
    <x v="4"/>
    <x v="54"/>
    <x v="54"/>
  </r>
  <r>
    <x v="51"/>
    <x v="4"/>
    <x v="8"/>
    <x v="4"/>
    <x v="2"/>
    <x v="0"/>
    <x v="17"/>
    <x v="14"/>
    <x v="55"/>
    <x v="55"/>
  </r>
  <r>
    <x v="52"/>
    <x v="7"/>
    <x v="12"/>
    <x v="2"/>
    <x v="1"/>
    <x v="4"/>
    <x v="15"/>
    <x v="16"/>
    <x v="56"/>
    <x v="56"/>
  </r>
  <r>
    <x v="53"/>
    <x v="8"/>
    <x v="7"/>
    <x v="3"/>
    <x v="0"/>
    <x v="4"/>
    <x v="6"/>
    <x v="10"/>
    <x v="57"/>
    <x v="57"/>
  </r>
  <r>
    <x v="54"/>
    <x v="5"/>
    <x v="6"/>
    <x v="2"/>
    <x v="1"/>
    <x v="4"/>
    <x v="15"/>
    <x v="12"/>
    <x v="58"/>
    <x v="58"/>
  </r>
  <r>
    <x v="55"/>
    <x v="3"/>
    <x v="9"/>
    <x v="0"/>
    <x v="0"/>
    <x v="4"/>
    <x v="16"/>
    <x v="19"/>
    <x v="59"/>
    <x v="59"/>
  </r>
  <r>
    <x v="56"/>
    <x v="9"/>
    <x v="14"/>
    <x v="3"/>
    <x v="0"/>
    <x v="1"/>
    <x v="1"/>
    <x v="6"/>
    <x v="60"/>
    <x v="60"/>
  </r>
  <r>
    <x v="57"/>
    <x v="8"/>
    <x v="9"/>
    <x v="0"/>
    <x v="0"/>
    <x v="0"/>
    <x v="17"/>
    <x v="9"/>
    <x v="61"/>
    <x v="61"/>
  </r>
  <r>
    <x v="58"/>
    <x v="9"/>
    <x v="13"/>
    <x v="4"/>
    <x v="2"/>
    <x v="4"/>
    <x v="16"/>
    <x v="8"/>
    <x v="62"/>
    <x v="62"/>
  </r>
  <r>
    <x v="59"/>
    <x v="0"/>
    <x v="12"/>
    <x v="2"/>
    <x v="1"/>
    <x v="0"/>
    <x v="17"/>
    <x v="17"/>
    <x v="63"/>
    <x v="63"/>
  </r>
  <r>
    <x v="60"/>
    <x v="4"/>
    <x v="2"/>
    <x v="2"/>
    <x v="1"/>
    <x v="1"/>
    <x v="14"/>
    <x v="16"/>
    <x v="64"/>
    <x v="64"/>
  </r>
  <r>
    <x v="61"/>
    <x v="3"/>
    <x v="9"/>
    <x v="0"/>
    <x v="0"/>
    <x v="3"/>
    <x v="9"/>
    <x v="14"/>
    <x v="65"/>
    <x v="65"/>
  </r>
  <r>
    <x v="62"/>
    <x v="9"/>
    <x v="8"/>
    <x v="4"/>
    <x v="2"/>
    <x v="0"/>
    <x v="11"/>
    <x v="0"/>
    <x v="66"/>
    <x v="66"/>
  </r>
  <r>
    <x v="63"/>
    <x v="2"/>
    <x v="3"/>
    <x v="1"/>
    <x v="1"/>
    <x v="3"/>
    <x v="3"/>
    <x v="19"/>
    <x v="67"/>
    <x v="67"/>
  </r>
  <r>
    <x v="38"/>
    <x v="5"/>
    <x v="12"/>
    <x v="2"/>
    <x v="1"/>
    <x v="1"/>
    <x v="18"/>
    <x v="13"/>
    <x v="68"/>
    <x v="68"/>
  </r>
  <r>
    <x v="64"/>
    <x v="7"/>
    <x v="9"/>
    <x v="0"/>
    <x v="0"/>
    <x v="1"/>
    <x v="4"/>
    <x v="14"/>
    <x v="69"/>
    <x v="69"/>
  </r>
  <r>
    <x v="65"/>
    <x v="4"/>
    <x v="11"/>
    <x v="4"/>
    <x v="2"/>
    <x v="3"/>
    <x v="9"/>
    <x v="1"/>
    <x v="70"/>
    <x v="70"/>
  </r>
  <r>
    <x v="8"/>
    <x v="3"/>
    <x v="4"/>
    <x v="0"/>
    <x v="0"/>
    <x v="2"/>
    <x v="2"/>
    <x v="15"/>
    <x v="71"/>
    <x v="71"/>
  </r>
  <r>
    <x v="66"/>
    <x v="5"/>
    <x v="3"/>
    <x v="1"/>
    <x v="1"/>
    <x v="2"/>
    <x v="2"/>
    <x v="11"/>
    <x v="72"/>
    <x v="72"/>
  </r>
  <r>
    <x v="67"/>
    <x v="4"/>
    <x v="6"/>
    <x v="2"/>
    <x v="1"/>
    <x v="4"/>
    <x v="15"/>
    <x v="5"/>
    <x v="73"/>
    <x v="73"/>
  </r>
  <r>
    <x v="68"/>
    <x v="6"/>
    <x v="4"/>
    <x v="0"/>
    <x v="0"/>
    <x v="2"/>
    <x v="2"/>
    <x v="2"/>
    <x v="74"/>
    <x v="74"/>
  </r>
  <r>
    <x v="69"/>
    <x v="7"/>
    <x v="3"/>
    <x v="1"/>
    <x v="1"/>
    <x v="4"/>
    <x v="16"/>
    <x v="7"/>
    <x v="75"/>
    <x v="75"/>
  </r>
  <r>
    <x v="16"/>
    <x v="6"/>
    <x v="10"/>
    <x v="3"/>
    <x v="0"/>
    <x v="2"/>
    <x v="7"/>
    <x v="10"/>
    <x v="76"/>
    <x v="76"/>
  </r>
  <r>
    <x v="70"/>
    <x v="3"/>
    <x v="12"/>
    <x v="2"/>
    <x v="1"/>
    <x v="0"/>
    <x v="19"/>
    <x v="8"/>
    <x v="77"/>
    <x v="77"/>
  </r>
  <r>
    <x v="71"/>
    <x v="9"/>
    <x v="7"/>
    <x v="3"/>
    <x v="0"/>
    <x v="4"/>
    <x v="6"/>
    <x v="0"/>
    <x v="78"/>
    <x v="78"/>
  </r>
  <r>
    <x v="72"/>
    <x v="4"/>
    <x v="14"/>
    <x v="3"/>
    <x v="0"/>
    <x v="4"/>
    <x v="15"/>
    <x v="2"/>
    <x v="79"/>
    <x v="79"/>
  </r>
  <r>
    <x v="50"/>
    <x v="7"/>
    <x v="6"/>
    <x v="2"/>
    <x v="1"/>
    <x v="1"/>
    <x v="4"/>
    <x v="3"/>
    <x v="80"/>
    <x v="80"/>
  </r>
  <r>
    <x v="73"/>
    <x v="0"/>
    <x v="1"/>
    <x v="1"/>
    <x v="1"/>
    <x v="2"/>
    <x v="8"/>
    <x v="11"/>
    <x v="81"/>
    <x v="81"/>
  </r>
  <r>
    <x v="74"/>
    <x v="2"/>
    <x v="10"/>
    <x v="3"/>
    <x v="0"/>
    <x v="2"/>
    <x v="7"/>
    <x v="3"/>
    <x v="82"/>
    <x v="82"/>
  </r>
  <r>
    <x v="75"/>
    <x v="6"/>
    <x v="4"/>
    <x v="0"/>
    <x v="0"/>
    <x v="2"/>
    <x v="2"/>
    <x v="2"/>
    <x v="83"/>
    <x v="83"/>
  </r>
  <r>
    <x v="76"/>
    <x v="4"/>
    <x v="4"/>
    <x v="0"/>
    <x v="0"/>
    <x v="1"/>
    <x v="4"/>
    <x v="3"/>
    <x v="84"/>
    <x v="84"/>
  </r>
  <r>
    <x v="43"/>
    <x v="5"/>
    <x v="7"/>
    <x v="3"/>
    <x v="0"/>
    <x v="3"/>
    <x v="3"/>
    <x v="9"/>
    <x v="85"/>
    <x v="85"/>
  </r>
  <r>
    <x v="63"/>
    <x v="9"/>
    <x v="8"/>
    <x v="4"/>
    <x v="2"/>
    <x v="1"/>
    <x v="1"/>
    <x v="15"/>
    <x v="86"/>
    <x v="86"/>
  </r>
  <r>
    <x v="77"/>
    <x v="4"/>
    <x v="11"/>
    <x v="4"/>
    <x v="2"/>
    <x v="4"/>
    <x v="15"/>
    <x v="4"/>
    <x v="87"/>
    <x v="87"/>
  </r>
  <r>
    <x v="4"/>
    <x v="6"/>
    <x v="8"/>
    <x v="4"/>
    <x v="2"/>
    <x v="2"/>
    <x v="7"/>
    <x v="10"/>
    <x v="88"/>
    <x v="88"/>
  </r>
  <r>
    <x v="73"/>
    <x v="2"/>
    <x v="1"/>
    <x v="1"/>
    <x v="1"/>
    <x v="0"/>
    <x v="17"/>
    <x v="16"/>
    <x v="89"/>
    <x v="89"/>
  </r>
  <r>
    <x v="78"/>
    <x v="5"/>
    <x v="14"/>
    <x v="3"/>
    <x v="0"/>
    <x v="4"/>
    <x v="15"/>
    <x v="9"/>
    <x v="90"/>
    <x v="90"/>
  </r>
  <r>
    <x v="79"/>
    <x v="3"/>
    <x v="12"/>
    <x v="2"/>
    <x v="1"/>
    <x v="1"/>
    <x v="18"/>
    <x v="2"/>
    <x v="91"/>
    <x v="91"/>
  </r>
  <r>
    <x v="80"/>
    <x v="5"/>
    <x v="13"/>
    <x v="4"/>
    <x v="2"/>
    <x v="4"/>
    <x v="5"/>
    <x v="5"/>
    <x v="92"/>
    <x v="92"/>
  </r>
  <r>
    <x v="81"/>
    <x v="6"/>
    <x v="4"/>
    <x v="0"/>
    <x v="0"/>
    <x v="3"/>
    <x v="10"/>
    <x v="0"/>
    <x v="93"/>
    <x v="93"/>
  </r>
  <r>
    <x v="82"/>
    <x v="7"/>
    <x v="3"/>
    <x v="1"/>
    <x v="1"/>
    <x v="4"/>
    <x v="5"/>
    <x v="9"/>
    <x v="94"/>
    <x v="94"/>
  </r>
  <r>
    <x v="83"/>
    <x v="6"/>
    <x v="2"/>
    <x v="2"/>
    <x v="1"/>
    <x v="3"/>
    <x v="3"/>
    <x v="10"/>
    <x v="95"/>
    <x v="95"/>
  </r>
  <r>
    <x v="52"/>
    <x v="0"/>
    <x v="10"/>
    <x v="3"/>
    <x v="0"/>
    <x v="0"/>
    <x v="19"/>
    <x v="2"/>
    <x v="96"/>
    <x v="96"/>
  </r>
  <r>
    <x v="84"/>
    <x v="6"/>
    <x v="1"/>
    <x v="1"/>
    <x v="1"/>
    <x v="3"/>
    <x v="12"/>
    <x v="19"/>
    <x v="97"/>
    <x v="97"/>
  </r>
  <r>
    <x v="85"/>
    <x v="0"/>
    <x v="8"/>
    <x v="4"/>
    <x v="2"/>
    <x v="1"/>
    <x v="1"/>
    <x v="15"/>
    <x v="98"/>
    <x v="98"/>
  </r>
  <r>
    <x v="69"/>
    <x v="5"/>
    <x v="13"/>
    <x v="4"/>
    <x v="2"/>
    <x v="3"/>
    <x v="10"/>
    <x v="8"/>
    <x v="99"/>
    <x v="99"/>
  </r>
  <r>
    <x v="86"/>
    <x v="9"/>
    <x v="6"/>
    <x v="2"/>
    <x v="1"/>
    <x v="4"/>
    <x v="6"/>
    <x v="13"/>
    <x v="100"/>
    <x v="100"/>
  </r>
  <r>
    <x v="87"/>
    <x v="6"/>
    <x v="6"/>
    <x v="2"/>
    <x v="1"/>
    <x v="3"/>
    <x v="12"/>
    <x v="9"/>
    <x v="101"/>
    <x v="101"/>
  </r>
  <r>
    <x v="88"/>
    <x v="0"/>
    <x v="4"/>
    <x v="0"/>
    <x v="0"/>
    <x v="0"/>
    <x v="11"/>
    <x v="3"/>
    <x v="102"/>
    <x v="102"/>
  </r>
  <r>
    <x v="82"/>
    <x v="9"/>
    <x v="1"/>
    <x v="1"/>
    <x v="1"/>
    <x v="3"/>
    <x v="3"/>
    <x v="17"/>
    <x v="103"/>
    <x v="103"/>
  </r>
  <r>
    <x v="89"/>
    <x v="2"/>
    <x v="8"/>
    <x v="4"/>
    <x v="2"/>
    <x v="1"/>
    <x v="4"/>
    <x v="6"/>
    <x v="104"/>
    <x v="104"/>
  </r>
  <r>
    <x v="90"/>
    <x v="6"/>
    <x v="5"/>
    <x v="1"/>
    <x v="1"/>
    <x v="2"/>
    <x v="8"/>
    <x v="7"/>
    <x v="105"/>
    <x v="105"/>
  </r>
  <r>
    <x v="91"/>
    <x v="2"/>
    <x v="5"/>
    <x v="1"/>
    <x v="1"/>
    <x v="1"/>
    <x v="1"/>
    <x v="15"/>
    <x v="106"/>
    <x v="106"/>
  </r>
  <r>
    <x v="92"/>
    <x v="5"/>
    <x v="5"/>
    <x v="1"/>
    <x v="1"/>
    <x v="4"/>
    <x v="6"/>
    <x v="18"/>
    <x v="107"/>
    <x v="107"/>
  </r>
  <r>
    <x v="93"/>
    <x v="8"/>
    <x v="12"/>
    <x v="2"/>
    <x v="1"/>
    <x v="0"/>
    <x v="11"/>
    <x v="13"/>
    <x v="108"/>
    <x v="108"/>
  </r>
  <r>
    <x v="94"/>
    <x v="8"/>
    <x v="6"/>
    <x v="2"/>
    <x v="1"/>
    <x v="4"/>
    <x v="6"/>
    <x v="16"/>
    <x v="109"/>
    <x v="109"/>
  </r>
  <r>
    <x v="95"/>
    <x v="1"/>
    <x v="3"/>
    <x v="1"/>
    <x v="1"/>
    <x v="0"/>
    <x v="19"/>
    <x v="10"/>
    <x v="110"/>
    <x v="110"/>
  </r>
  <r>
    <x v="96"/>
    <x v="8"/>
    <x v="13"/>
    <x v="4"/>
    <x v="2"/>
    <x v="4"/>
    <x v="15"/>
    <x v="14"/>
    <x v="111"/>
    <x v="111"/>
  </r>
  <r>
    <x v="97"/>
    <x v="1"/>
    <x v="5"/>
    <x v="1"/>
    <x v="1"/>
    <x v="3"/>
    <x v="10"/>
    <x v="9"/>
    <x v="112"/>
    <x v="112"/>
  </r>
  <r>
    <x v="98"/>
    <x v="4"/>
    <x v="13"/>
    <x v="4"/>
    <x v="2"/>
    <x v="3"/>
    <x v="12"/>
    <x v="18"/>
    <x v="113"/>
    <x v="113"/>
  </r>
  <r>
    <x v="99"/>
    <x v="6"/>
    <x v="2"/>
    <x v="2"/>
    <x v="1"/>
    <x v="2"/>
    <x v="8"/>
    <x v="3"/>
    <x v="114"/>
    <x v="114"/>
  </r>
  <r>
    <x v="100"/>
    <x v="3"/>
    <x v="10"/>
    <x v="3"/>
    <x v="0"/>
    <x v="3"/>
    <x v="10"/>
    <x v="19"/>
    <x v="115"/>
    <x v="115"/>
  </r>
  <r>
    <x v="94"/>
    <x v="4"/>
    <x v="9"/>
    <x v="0"/>
    <x v="0"/>
    <x v="2"/>
    <x v="8"/>
    <x v="14"/>
    <x v="116"/>
    <x v="116"/>
  </r>
  <r>
    <x v="101"/>
    <x v="8"/>
    <x v="0"/>
    <x v="0"/>
    <x v="0"/>
    <x v="0"/>
    <x v="19"/>
    <x v="9"/>
    <x v="117"/>
    <x v="117"/>
  </r>
  <r>
    <x v="102"/>
    <x v="9"/>
    <x v="0"/>
    <x v="0"/>
    <x v="0"/>
    <x v="0"/>
    <x v="11"/>
    <x v="0"/>
    <x v="118"/>
    <x v="118"/>
  </r>
  <r>
    <x v="103"/>
    <x v="9"/>
    <x v="11"/>
    <x v="4"/>
    <x v="2"/>
    <x v="4"/>
    <x v="5"/>
    <x v="0"/>
    <x v="119"/>
    <x v="119"/>
  </r>
  <r>
    <x v="104"/>
    <x v="2"/>
    <x v="10"/>
    <x v="3"/>
    <x v="0"/>
    <x v="3"/>
    <x v="10"/>
    <x v="13"/>
    <x v="120"/>
    <x v="120"/>
  </r>
  <r>
    <x v="105"/>
    <x v="0"/>
    <x v="11"/>
    <x v="4"/>
    <x v="2"/>
    <x v="4"/>
    <x v="6"/>
    <x v="9"/>
    <x v="121"/>
    <x v="121"/>
  </r>
  <r>
    <x v="39"/>
    <x v="9"/>
    <x v="0"/>
    <x v="0"/>
    <x v="0"/>
    <x v="0"/>
    <x v="11"/>
    <x v="11"/>
    <x v="122"/>
    <x v="122"/>
  </r>
  <r>
    <x v="106"/>
    <x v="6"/>
    <x v="14"/>
    <x v="3"/>
    <x v="0"/>
    <x v="2"/>
    <x v="7"/>
    <x v="0"/>
    <x v="123"/>
    <x v="123"/>
  </r>
  <r>
    <x v="80"/>
    <x v="7"/>
    <x v="14"/>
    <x v="3"/>
    <x v="0"/>
    <x v="2"/>
    <x v="7"/>
    <x v="0"/>
    <x v="124"/>
    <x v="124"/>
  </r>
  <r>
    <x v="107"/>
    <x v="5"/>
    <x v="7"/>
    <x v="3"/>
    <x v="0"/>
    <x v="0"/>
    <x v="19"/>
    <x v="9"/>
    <x v="125"/>
    <x v="125"/>
  </r>
  <r>
    <x v="49"/>
    <x v="6"/>
    <x v="3"/>
    <x v="1"/>
    <x v="1"/>
    <x v="0"/>
    <x v="19"/>
    <x v="16"/>
    <x v="126"/>
    <x v="126"/>
  </r>
  <r>
    <x v="62"/>
    <x v="4"/>
    <x v="8"/>
    <x v="4"/>
    <x v="2"/>
    <x v="4"/>
    <x v="15"/>
    <x v="4"/>
    <x v="127"/>
    <x v="127"/>
  </r>
  <r>
    <x v="108"/>
    <x v="8"/>
    <x v="2"/>
    <x v="2"/>
    <x v="1"/>
    <x v="1"/>
    <x v="1"/>
    <x v="13"/>
    <x v="128"/>
    <x v="128"/>
  </r>
  <r>
    <x v="109"/>
    <x v="6"/>
    <x v="11"/>
    <x v="4"/>
    <x v="2"/>
    <x v="1"/>
    <x v="1"/>
    <x v="18"/>
    <x v="129"/>
    <x v="129"/>
  </r>
  <r>
    <x v="22"/>
    <x v="6"/>
    <x v="6"/>
    <x v="2"/>
    <x v="1"/>
    <x v="2"/>
    <x v="13"/>
    <x v="17"/>
    <x v="130"/>
    <x v="130"/>
  </r>
  <r>
    <x v="110"/>
    <x v="1"/>
    <x v="0"/>
    <x v="0"/>
    <x v="0"/>
    <x v="4"/>
    <x v="6"/>
    <x v="0"/>
    <x v="131"/>
    <x v="131"/>
  </r>
  <r>
    <x v="111"/>
    <x v="1"/>
    <x v="0"/>
    <x v="0"/>
    <x v="0"/>
    <x v="2"/>
    <x v="7"/>
    <x v="15"/>
    <x v="132"/>
    <x v="132"/>
  </r>
  <r>
    <x v="112"/>
    <x v="4"/>
    <x v="0"/>
    <x v="0"/>
    <x v="0"/>
    <x v="4"/>
    <x v="5"/>
    <x v="12"/>
    <x v="133"/>
    <x v="133"/>
  </r>
  <r>
    <x v="5"/>
    <x v="2"/>
    <x v="9"/>
    <x v="0"/>
    <x v="0"/>
    <x v="4"/>
    <x v="5"/>
    <x v="18"/>
    <x v="134"/>
    <x v="134"/>
  </r>
  <r>
    <x v="113"/>
    <x v="6"/>
    <x v="10"/>
    <x v="3"/>
    <x v="0"/>
    <x v="0"/>
    <x v="0"/>
    <x v="10"/>
    <x v="135"/>
    <x v="135"/>
  </r>
  <r>
    <x v="114"/>
    <x v="2"/>
    <x v="0"/>
    <x v="0"/>
    <x v="0"/>
    <x v="4"/>
    <x v="15"/>
    <x v="7"/>
    <x v="136"/>
    <x v="136"/>
  </r>
  <r>
    <x v="115"/>
    <x v="4"/>
    <x v="2"/>
    <x v="2"/>
    <x v="1"/>
    <x v="1"/>
    <x v="1"/>
    <x v="5"/>
    <x v="137"/>
    <x v="137"/>
  </r>
  <r>
    <x v="116"/>
    <x v="1"/>
    <x v="13"/>
    <x v="4"/>
    <x v="2"/>
    <x v="0"/>
    <x v="19"/>
    <x v="10"/>
    <x v="138"/>
    <x v="138"/>
  </r>
  <r>
    <x v="117"/>
    <x v="1"/>
    <x v="7"/>
    <x v="3"/>
    <x v="0"/>
    <x v="0"/>
    <x v="19"/>
    <x v="10"/>
    <x v="139"/>
    <x v="139"/>
  </r>
  <r>
    <x v="118"/>
    <x v="2"/>
    <x v="1"/>
    <x v="1"/>
    <x v="1"/>
    <x v="0"/>
    <x v="11"/>
    <x v="0"/>
    <x v="140"/>
    <x v="140"/>
  </r>
  <r>
    <x v="119"/>
    <x v="0"/>
    <x v="1"/>
    <x v="1"/>
    <x v="1"/>
    <x v="3"/>
    <x v="3"/>
    <x v="0"/>
    <x v="141"/>
    <x v="141"/>
  </r>
  <r>
    <x v="120"/>
    <x v="6"/>
    <x v="1"/>
    <x v="1"/>
    <x v="1"/>
    <x v="0"/>
    <x v="0"/>
    <x v="3"/>
    <x v="142"/>
    <x v="142"/>
  </r>
  <r>
    <x v="53"/>
    <x v="7"/>
    <x v="12"/>
    <x v="2"/>
    <x v="1"/>
    <x v="4"/>
    <x v="5"/>
    <x v="8"/>
    <x v="143"/>
    <x v="143"/>
  </r>
  <r>
    <x v="79"/>
    <x v="2"/>
    <x v="14"/>
    <x v="3"/>
    <x v="0"/>
    <x v="1"/>
    <x v="14"/>
    <x v="12"/>
    <x v="144"/>
    <x v="144"/>
  </r>
  <r>
    <x v="121"/>
    <x v="6"/>
    <x v="13"/>
    <x v="4"/>
    <x v="2"/>
    <x v="2"/>
    <x v="2"/>
    <x v="12"/>
    <x v="145"/>
    <x v="145"/>
  </r>
  <r>
    <x v="122"/>
    <x v="3"/>
    <x v="5"/>
    <x v="1"/>
    <x v="1"/>
    <x v="1"/>
    <x v="1"/>
    <x v="14"/>
    <x v="146"/>
    <x v="146"/>
  </r>
  <r>
    <x v="123"/>
    <x v="9"/>
    <x v="2"/>
    <x v="2"/>
    <x v="1"/>
    <x v="2"/>
    <x v="2"/>
    <x v="9"/>
    <x v="147"/>
    <x v="147"/>
  </r>
  <r>
    <x v="15"/>
    <x v="4"/>
    <x v="14"/>
    <x v="3"/>
    <x v="0"/>
    <x v="1"/>
    <x v="14"/>
    <x v="17"/>
    <x v="148"/>
    <x v="148"/>
  </r>
  <r>
    <x v="124"/>
    <x v="4"/>
    <x v="5"/>
    <x v="1"/>
    <x v="1"/>
    <x v="1"/>
    <x v="4"/>
    <x v="14"/>
    <x v="149"/>
    <x v="149"/>
  </r>
  <r>
    <x v="125"/>
    <x v="3"/>
    <x v="9"/>
    <x v="0"/>
    <x v="0"/>
    <x v="1"/>
    <x v="14"/>
    <x v="17"/>
    <x v="150"/>
    <x v="150"/>
  </r>
  <r>
    <x v="59"/>
    <x v="4"/>
    <x v="13"/>
    <x v="4"/>
    <x v="2"/>
    <x v="0"/>
    <x v="11"/>
    <x v="7"/>
    <x v="151"/>
    <x v="151"/>
  </r>
  <r>
    <x v="65"/>
    <x v="0"/>
    <x v="0"/>
    <x v="0"/>
    <x v="0"/>
    <x v="1"/>
    <x v="4"/>
    <x v="3"/>
    <x v="152"/>
    <x v="152"/>
  </r>
  <r>
    <x v="126"/>
    <x v="4"/>
    <x v="6"/>
    <x v="2"/>
    <x v="1"/>
    <x v="0"/>
    <x v="19"/>
    <x v="6"/>
    <x v="153"/>
    <x v="153"/>
  </r>
  <r>
    <x v="91"/>
    <x v="7"/>
    <x v="1"/>
    <x v="1"/>
    <x v="1"/>
    <x v="0"/>
    <x v="0"/>
    <x v="6"/>
    <x v="154"/>
    <x v="154"/>
  </r>
  <r>
    <x v="96"/>
    <x v="7"/>
    <x v="10"/>
    <x v="3"/>
    <x v="0"/>
    <x v="0"/>
    <x v="17"/>
    <x v="3"/>
    <x v="155"/>
    <x v="155"/>
  </r>
  <r>
    <x v="115"/>
    <x v="9"/>
    <x v="11"/>
    <x v="4"/>
    <x v="2"/>
    <x v="4"/>
    <x v="5"/>
    <x v="13"/>
    <x v="156"/>
    <x v="156"/>
  </r>
  <r>
    <x v="127"/>
    <x v="5"/>
    <x v="9"/>
    <x v="0"/>
    <x v="0"/>
    <x v="4"/>
    <x v="5"/>
    <x v="15"/>
    <x v="157"/>
    <x v="157"/>
  </r>
  <r>
    <x v="98"/>
    <x v="4"/>
    <x v="6"/>
    <x v="2"/>
    <x v="1"/>
    <x v="0"/>
    <x v="19"/>
    <x v="9"/>
    <x v="158"/>
    <x v="158"/>
  </r>
  <r>
    <x v="81"/>
    <x v="1"/>
    <x v="2"/>
    <x v="2"/>
    <x v="1"/>
    <x v="4"/>
    <x v="15"/>
    <x v="5"/>
    <x v="159"/>
    <x v="159"/>
  </r>
  <r>
    <x v="74"/>
    <x v="2"/>
    <x v="12"/>
    <x v="2"/>
    <x v="1"/>
    <x v="2"/>
    <x v="13"/>
    <x v="7"/>
    <x v="160"/>
    <x v="160"/>
  </r>
  <r>
    <x v="114"/>
    <x v="9"/>
    <x v="11"/>
    <x v="4"/>
    <x v="2"/>
    <x v="0"/>
    <x v="19"/>
    <x v="0"/>
    <x v="161"/>
    <x v="161"/>
  </r>
  <r>
    <x v="128"/>
    <x v="9"/>
    <x v="2"/>
    <x v="2"/>
    <x v="1"/>
    <x v="2"/>
    <x v="7"/>
    <x v="2"/>
    <x v="162"/>
    <x v="162"/>
  </r>
  <r>
    <x v="129"/>
    <x v="0"/>
    <x v="13"/>
    <x v="4"/>
    <x v="2"/>
    <x v="1"/>
    <x v="14"/>
    <x v="8"/>
    <x v="163"/>
    <x v="163"/>
  </r>
  <r>
    <x v="130"/>
    <x v="5"/>
    <x v="14"/>
    <x v="3"/>
    <x v="0"/>
    <x v="4"/>
    <x v="5"/>
    <x v="3"/>
    <x v="164"/>
    <x v="164"/>
  </r>
  <r>
    <x v="131"/>
    <x v="2"/>
    <x v="6"/>
    <x v="2"/>
    <x v="1"/>
    <x v="1"/>
    <x v="1"/>
    <x v="1"/>
    <x v="165"/>
    <x v="165"/>
  </r>
  <r>
    <x v="132"/>
    <x v="2"/>
    <x v="14"/>
    <x v="3"/>
    <x v="0"/>
    <x v="4"/>
    <x v="16"/>
    <x v="18"/>
    <x v="166"/>
    <x v="166"/>
  </r>
  <r>
    <x v="133"/>
    <x v="6"/>
    <x v="8"/>
    <x v="4"/>
    <x v="2"/>
    <x v="4"/>
    <x v="6"/>
    <x v="1"/>
    <x v="167"/>
    <x v="167"/>
  </r>
  <r>
    <x v="123"/>
    <x v="5"/>
    <x v="4"/>
    <x v="0"/>
    <x v="0"/>
    <x v="1"/>
    <x v="14"/>
    <x v="1"/>
    <x v="168"/>
    <x v="168"/>
  </r>
  <r>
    <x v="41"/>
    <x v="4"/>
    <x v="1"/>
    <x v="1"/>
    <x v="1"/>
    <x v="0"/>
    <x v="17"/>
    <x v="3"/>
    <x v="169"/>
    <x v="169"/>
  </r>
  <r>
    <x v="134"/>
    <x v="8"/>
    <x v="2"/>
    <x v="2"/>
    <x v="1"/>
    <x v="3"/>
    <x v="10"/>
    <x v="17"/>
    <x v="170"/>
    <x v="170"/>
  </r>
  <r>
    <x v="5"/>
    <x v="2"/>
    <x v="2"/>
    <x v="2"/>
    <x v="1"/>
    <x v="0"/>
    <x v="11"/>
    <x v="3"/>
    <x v="171"/>
    <x v="171"/>
  </r>
  <r>
    <x v="135"/>
    <x v="2"/>
    <x v="1"/>
    <x v="1"/>
    <x v="1"/>
    <x v="1"/>
    <x v="14"/>
    <x v="7"/>
    <x v="172"/>
    <x v="172"/>
  </r>
  <r>
    <x v="33"/>
    <x v="7"/>
    <x v="10"/>
    <x v="3"/>
    <x v="0"/>
    <x v="4"/>
    <x v="5"/>
    <x v="16"/>
    <x v="173"/>
    <x v="173"/>
  </r>
  <r>
    <x v="135"/>
    <x v="4"/>
    <x v="14"/>
    <x v="3"/>
    <x v="0"/>
    <x v="3"/>
    <x v="9"/>
    <x v="5"/>
    <x v="174"/>
    <x v="174"/>
  </r>
  <r>
    <x v="136"/>
    <x v="9"/>
    <x v="0"/>
    <x v="0"/>
    <x v="0"/>
    <x v="3"/>
    <x v="10"/>
    <x v="0"/>
    <x v="175"/>
    <x v="175"/>
  </r>
  <r>
    <x v="137"/>
    <x v="1"/>
    <x v="13"/>
    <x v="4"/>
    <x v="2"/>
    <x v="1"/>
    <x v="18"/>
    <x v="10"/>
    <x v="176"/>
    <x v="176"/>
  </r>
  <r>
    <x v="138"/>
    <x v="1"/>
    <x v="0"/>
    <x v="0"/>
    <x v="0"/>
    <x v="0"/>
    <x v="0"/>
    <x v="3"/>
    <x v="177"/>
    <x v="177"/>
  </r>
  <r>
    <x v="139"/>
    <x v="0"/>
    <x v="10"/>
    <x v="3"/>
    <x v="0"/>
    <x v="2"/>
    <x v="2"/>
    <x v="3"/>
    <x v="178"/>
    <x v="178"/>
  </r>
  <r>
    <x v="140"/>
    <x v="2"/>
    <x v="3"/>
    <x v="1"/>
    <x v="1"/>
    <x v="2"/>
    <x v="8"/>
    <x v="16"/>
    <x v="179"/>
    <x v="179"/>
  </r>
  <r>
    <x v="141"/>
    <x v="1"/>
    <x v="4"/>
    <x v="0"/>
    <x v="0"/>
    <x v="3"/>
    <x v="12"/>
    <x v="18"/>
    <x v="180"/>
    <x v="180"/>
  </r>
  <r>
    <x v="142"/>
    <x v="2"/>
    <x v="10"/>
    <x v="3"/>
    <x v="0"/>
    <x v="3"/>
    <x v="10"/>
    <x v="14"/>
    <x v="181"/>
    <x v="181"/>
  </r>
  <r>
    <x v="143"/>
    <x v="5"/>
    <x v="6"/>
    <x v="2"/>
    <x v="1"/>
    <x v="2"/>
    <x v="2"/>
    <x v="1"/>
    <x v="182"/>
    <x v="182"/>
  </r>
  <r>
    <x v="144"/>
    <x v="2"/>
    <x v="5"/>
    <x v="1"/>
    <x v="1"/>
    <x v="0"/>
    <x v="19"/>
    <x v="10"/>
    <x v="183"/>
    <x v="183"/>
  </r>
  <r>
    <x v="22"/>
    <x v="7"/>
    <x v="2"/>
    <x v="2"/>
    <x v="1"/>
    <x v="0"/>
    <x v="0"/>
    <x v="4"/>
    <x v="184"/>
    <x v="184"/>
  </r>
  <r>
    <x v="145"/>
    <x v="6"/>
    <x v="10"/>
    <x v="3"/>
    <x v="0"/>
    <x v="1"/>
    <x v="14"/>
    <x v="4"/>
    <x v="185"/>
    <x v="185"/>
  </r>
  <r>
    <x v="146"/>
    <x v="4"/>
    <x v="8"/>
    <x v="4"/>
    <x v="2"/>
    <x v="4"/>
    <x v="5"/>
    <x v="3"/>
    <x v="186"/>
    <x v="186"/>
  </r>
  <r>
    <x v="66"/>
    <x v="3"/>
    <x v="8"/>
    <x v="4"/>
    <x v="2"/>
    <x v="0"/>
    <x v="0"/>
    <x v="3"/>
    <x v="187"/>
    <x v="187"/>
  </r>
  <r>
    <x v="60"/>
    <x v="6"/>
    <x v="1"/>
    <x v="1"/>
    <x v="1"/>
    <x v="3"/>
    <x v="3"/>
    <x v="8"/>
    <x v="188"/>
    <x v="188"/>
  </r>
  <r>
    <x v="147"/>
    <x v="0"/>
    <x v="5"/>
    <x v="1"/>
    <x v="1"/>
    <x v="0"/>
    <x v="17"/>
    <x v="8"/>
    <x v="189"/>
    <x v="189"/>
  </r>
  <r>
    <x v="125"/>
    <x v="7"/>
    <x v="14"/>
    <x v="3"/>
    <x v="0"/>
    <x v="1"/>
    <x v="4"/>
    <x v="11"/>
    <x v="190"/>
    <x v="190"/>
  </r>
  <r>
    <x v="101"/>
    <x v="1"/>
    <x v="7"/>
    <x v="3"/>
    <x v="0"/>
    <x v="0"/>
    <x v="11"/>
    <x v="17"/>
    <x v="191"/>
    <x v="191"/>
  </r>
  <r>
    <x v="98"/>
    <x v="5"/>
    <x v="14"/>
    <x v="3"/>
    <x v="0"/>
    <x v="2"/>
    <x v="2"/>
    <x v="16"/>
    <x v="192"/>
    <x v="192"/>
  </r>
  <r>
    <x v="148"/>
    <x v="6"/>
    <x v="0"/>
    <x v="0"/>
    <x v="0"/>
    <x v="1"/>
    <x v="18"/>
    <x v="9"/>
    <x v="193"/>
    <x v="193"/>
  </r>
  <r>
    <x v="14"/>
    <x v="6"/>
    <x v="11"/>
    <x v="4"/>
    <x v="2"/>
    <x v="4"/>
    <x v="15"/>
    <x v="5"/>
    <x v="194"/>
    <x v="194"/>
  </r>
  <r>
    <x v="149"/>
    <x v="0"/>
    <x v="10"/>
    <x v="3"/>
    <x v="0"/>
    <x v="3"/>
    <x v="12"/>
    <x v="13"/>
    <x v="195"/>
    <x v="195"/>
  </r>
  <r>
    <x v="131"/>
    <x v="0"/>
    <x v="13"/>
    <x v="4"/>
    <x v="2"/>
    <x v="1"/>
    <x v="4"/>
    <x v="7"/>
    <x v="196"/>
    <x v="196"/>
  </r>
  <r>
    <x v="150"/>
    <x v="3"/>
    <x v="2"/>
    <x v="2"/>
    <x v="1"/>
    <x v="2"/>
    <x v="2"/>
    <x v="11"/>
    <x v="197"/>
    <x v="197"/>
  </r>
  <r>
    <x v="151"/>
    <x v="9"/>
    <x v="11"/>
    <x v="4"/>
    <x v="2"/>
    <x v="0"/>
    <x v="0"/>
    <x v="0"/>
    <x v="198"/>
    <x v="198"/>
  </r>
  <r>
    <x v="152"/>
    <x v="1"/>
    <x v="11"/>
    <x v="4"/>
    <x v="2"/>
    <x v="3"/>
    <x v="9"/>
    <x v="11"/>
    <x v="199"/>
    <x v="199"/>
  </r>
  <r>
    <x v="153"/>
    <x v="5"/>
    <x v="11"/>
    <x v="4"/>
    <x v="2"/>
    <x v="1"/>
    <x v="4"/>
    <x v="18"/>
    <x v="200"/>
    <x v="200"/>
  </r>
  <r>
    <x v="133"/>
    <x v="8"/>
    <x v="10"/>
    <x v="3"/>
    <x v="0"/>
    <x v="4"/>
    <x v="15"/>
    <x v="6"/>
    <x v="201"/>
    <x v="201"/>
  </r>
  <r>
    <x v="154"/>
    <x v="2"/>
    <x v="7"/>
    <x v="3"/>
    <x v="0"/>
    <x v="0"/>
    <x v="17"/>
    <x v="17"/>
    <x v="202"/>
    <x v="202"/>
  </r>
  <r>
    <x v="10"/>
    <x v="2"/>
    <x v="0"/>
    <x v="0"/>
    <x v="0"/>
    <x v="1"/>
    <x v="18"/>
    <x v="16"/>
    <x v="203"/>
    <x v="203"/>
  </r>
  <r>
    <x v="155"/>
    <x v="0"/>
    <x v="0"/>
    <x v="0"/>
    <x v="0"/>
    <x v="0"/>
    <x v="17"/>
    <x v="17"/>
    <x v="204"/>
    <x v="204"/>
  </r>
  <r>
    <x v="156"/>
    <x v="4"/>
    <x v="12"/>
    <x v="2"/>
    <x v="1"/>
    <x v="0"/>
    <x v="11"/>
    <x v="10"/>
    <x v="205"/>
    <x v="205"/>
  </r>
  <r>
    <x v="157"/>
    <x v="7"/>
    <x v="4"/>
    <x v="0"/>
    <x v="0"/>
    <x v="2"/>
    <x v="2"/>
    <x v="13"/>
    <x v="206"/>
    <x v="206"/>
  </r>
  <r>
    <x v="4"/>
    <x v="0"/>
    <x v="10"/>
    <x v="3"/>
    <x v="0"/>
    <x v="1"/>
    <x v="14"/>
    <x v="2"/>
    <x v="207"/>
    <x v="207"/>
  </r>
  <r>
    <x v="136"/>
    <x v="1"/>
    <x v="7"/>
    <x v="3"/>
    <x v="0"/>
    <x v="3"/>
    <x v="12"/>
    <x v="15"/>
    <x v="208"/>
    <x v="208"/>
  </r>
  <r>
    <x v="158"/>
    <x v="6"/>
    <x v="2"/>
    <x v="2"/>
    <x v="1"/>
    <x v="2"/>
    <x v="2"/>
    <x v="0"/>
    <x v="209"/>
    <x v="209"/>
  </r>
  <r>
    <x v="159"/>
    <x v="0"/>
    <x v="0"/>
    <x v="0"/>
    <x v="0"/>
    <x v="2"/>
    <x v="7"/>
    <x v="6"/>
    <x v="210"/>
    <x v="210"/>
  </r>
  <r>
    <x v="160"/>
    <x v="8"/>
    <x v="6"/>
    <x v="2"/>
    <x v="1"/>
    <x v="1"/>
    <x v="18"/>
    <x v="2"/>
    <x v="211"/>
    <x v="211"/>
  </r>
  <r>
    <x v="161"/>
    <x v="3"/>
    <x v="10"/>
    <x v="3"/>
    <x v="0"/>
    <x v="4"/>
    <x v="6"/>
    <x v="0"/>
    <x v="212"/>
    <x v="212"/>
  </r>
  <r>
    <x v="162"/>
    <x v="0"/>
    <x v="4"/>
    <x v="0"/>
    <x v="0"/>
    <x v="3"/>
    <x v="9"/>
    <x v="5"/>
    <x v="213"/>
    <x v="213"/>
  </r>
  <r>
    <x v="86"/>
    <x v="5"/>
    <x v="8"/>
    <x v="4"/>
    <x v="2"/>
    <x v="3"/>
    <x v="10"/>
    <x v="9"/>
    <x v="214"/>
    <x v="214"/>
  </r>
  <r>
    <x v="96"/>
    <x v="9"/>
    <x v="10"/>
    <x v="3"/>
    <x v="0"/>
    <x v="4"/>
    <x v="6"/>
    <x v="5"/>
    <x v="215"/>
    <x v="215"/>
  </r>
  <r>
    <x v="3"/>
    <x v="6"/>
    <x v="8"/>
    <x v="4"/>
    <x v="2"/>
    <x v="3"/>
    <x v="10"/>
    <x v="0"/>
    <x v="216"/>
    <x v="216"/>
  </r>
  <r>
    <x v="84"/>
    <x v="7"/>
    <x v="11"/>
    <x v="4"/>
    <x v="2"/>
    <x v="3"/>
    <x v="3"/>
    <x v="10"/>
    <x v="217"/>
    <x v="217"/>
  </r>
  <r>
    <x v="163"/>
    <x v="8"/>
    <x v="2"/>
    <x v="2"/>
    <x v="1"/>
    <x v="1"/>
    <x v="1"/>
    <x v="5"/>
    <x v="218"/>
    <x v="218"/>
  </r>
  <r>
    <x v="31"/>
    <x v="4"/>
    <x v="12"/>
    <x v="2"/>
    <x v="1"/>
    <x v="3"/>
    <x v="9"/>
    <x v="9"/>
    <x v="219"/>
    <x v="219"/>
  </r>
  <r>
    <x v="164"/>
    <x v="5"/>
    <x v="11"/>
    <x v="4"/>
    <x v="2"/>
    <x v="0"/>
    <x v="19"/>
    <x v="0"/>
    <x v="220"/>
    <x v="220"/>
  </r>
  <r>
    <x v="165"/>
    <x v="1"/>
    <x v="14"/>
    <x v="3"/>
    <x v="0"/>
    <x v="2"/>
    <x v="2"/>
    <x v="8"/>
    <x v="221"/>
    <x v="221"/>
  </r>
  <r>
    <x v="166"/>
    <x v="2"/>
    <x v="2"/>
    <x v="2"/>
    <x v="1"/>
    <x v="0"/>
    <x v="17"/>
    <x v="9"/>
    <x v="222"/>
    <x v="222"/>
  </r>
  <r>
    <x v="52"/>
    <x v="0"/>
    <x v="3"/>
    <x v="1"/>
    <x v="1"/>
    <x v="4"/>
    <x v="5"/>
    <x v="17"/>
    <x v="223"/>
    <x v="223"/>
  </r>
  <r>
    <x v="167"/>
    <x v="6"/>
    <x v="13"/>
    <x v="4"/>
    <x v="2"/>
    <x v="3"/>
    <x v="10"/>
    <x v="6"/>
    <x v="224"/>
    <x v="224"/>
  </r>
  <r>
    <x v="84"/>
    <x v="9"/>
    <x v="0"/>
    <x v="0"/>
    <x v="0"/>
    <x v="1"/>
    <x v="14"/>
    <x v="6"/>
    <x v="225"/>
    <x v="225"/>
  </r>
  <r>
    <x v="10"/>
    <x v="2"/>
    <x v="9"/>
    <x v="0"/>
    <x v="0"/>
    <x v="0"/>
    <x v="0"/>
    <x v="7"/>
    <x v="226"/>
    <x v="226"/>
  </r>
  <r>
    <x v="68"/>
    <x v="8"/>
    <x v="6"/>
    <x v="2"/>
    <x v="1"/>
    <x v="4"/>
    <x v="5"/>
    <x v="1"/>
    <x v="227"/>
    <x v="227"/>
  </r>
  <r>
    <x v="46"/>
    <x v="9"/>
    <x v="1"/>
    <x v="1"/>
    <x v="1"/>
    <x v="0"/>
    <x v="17"/>
    <x v="7"/>
    <x v="228"/>
    <x v="228"/>
  </r>
  <r>
    <x v="12"/>
    <x v="9"/>
    <x v="10"/>
    <x v="3"/>
    <x v="0"/>
    <x v="3"/>
    <x v="3"/>
    <x v="14"/>
    <x v="229"/>
    <x v="229"/>
  </r>
  <r>
    <x v="168"/>
    <x v="7"/>
    <x v="11"/>
    <x v="4"/>
    <x v="2"/>
    <x v="2"/>
    <x v="7"/>
    <x v="8"/>
    <x v="230"/>
    <x v="230"/>
  </r>
  <r>
    <x v="169"/>
    <x v="1"/>
    <x v="8"/>
    <x v="4"/>
    <x v="2"/>
    <x v="4"/>
    <x v="5"/>
    <x v="7"/>
    <x v="231"/>
    <x v="231"/>
  </r>
  <r>
    <x v="170"/>
    <x v="7"/>
    <x v="0"/>
    <x v="0"/>
    <x v="0"/>
    <x v="3"/>
    <x v="12"/>
    <x v="14"/>
    <x v="232"/>
    <x v="232"/>
  </r>
  <r>
    <x v="171"/>
    <x v="3"/>
    <x v="8"/>
    <x v="4"/>
    <x v="2"/>
    <x v="0"/>
    <x v="0"/>
    <x v="13"/>
    <x v="233"/>
    <x v="233"/>
  </r>
  <r>
    <x v="172"/>
    <x v="1"/>
    <x v="9"/>
    <x v="0"/>
    <x v="0"/>
    <x v="0"/>
    <x v="11"/>
    <x v="10"/>
    <x v="234"/>
    <x v="234"/>
  </r>
  <r>
    <x v="173"/>
    <x v="5"/>
    <x v="0"/>
    <x v="0"/>
    <x v="0"/>
    <x v="4"/>
    <x v="16"/>
    <x v="4"/>
    <x v="235"/>
    <x v="235"/>
  </r>
  <r>
    <x v="98"/>
    <x v="4"/>
    <x v="1"/>
    <x v="1"/>
    <x v="1"/>
    <x v="2"/>
    <x v="13"/>
    <x v="4"/>
    <x v="236"/>
    <x v="236"/>
  </r>
  <r>
    <x v="63"/>
    <x v="3"/>
    <x v="6"/>
    <x v="2"/>
    <x v="1"/>
    <x v="2"/>
    <x v="7"/>
    <x v="13"/>
    <x v="237"/>
    <x v="237"/>
  </r>
  <r>
    <x v="174"/>
    <x v="3"/>
    <x v="0"/>
    <x v="0"/>
    <x v="0"/>
    <x v="4"/>
    <x v="16"/>
    <x v="17"/>
    <x v="238"/>
    <x v="238"/>
  </r>
  <r>
    <x v="175"/>
    <x v="5"/>
    <x v="2"/>
    <x v="2"/>
    <x v="1"/>
    <x v="3"/>
    <x v="12"/>
    <x v="11"/>
    <x v="239"/>
    <x v="239"/>
  </r>
  <r>
    <x v="176"/>
    <x v="1"/>
    <x v="6"/>
    <x v="2"/>
    <x v="1"/>
    <x v="2"/>
    <x v="7"/>
    <x v="7"/>
    <x v="240"/>
    <x v="240"/>
  </r>
  <r>
    <x v="177"/>
    <x v="1"/>
    <x v="12"/>
    <x v="2"/>
    <x v="1"/>
    <x v="0"/>
    <x v="11"/>
    <x v="10"/>
    <x v="241"/>
    <x v="241"/>
  </r>
  <r>
    <x v="59"/>
    <x v="2"/>
    <x v="0"/>
    <x v="0"/>
    <x v="0"/>
    <x v="3"/>
    <x v="3"/>
    <x v="9"/>
    <x v="242"/>
    <x v="242"/>
  </r>
  <r>
    <x v="178"/>
    <x v="1"/>
    <x v="13"/>
    <x v="4"/>
    <x v="2"/>
    <x v="0"/>
    <x v="17"/>
    <x v="3"/>
    <x v="243"/>
    <x v="243"/>
  </r>
  <r>
    <x v="179"/>
    <x v="1"/>
    <x v="6"/>
    <x v="2"/>
    <x v="1"/>
    <x v="4"/>
    <x v="16"/>
    <x v="10"/>
    <x v="244"/>
    <x v="244"/>
  </r>
  <r>
    <x v="105"/>
    <x v="7"/>
    <x v="11"/>
    <x v="4"/>
    <x v="2"/>
    <x v="4"/>
    <x v="16"/>
    <x v="19"/>
    <x v="245"/>
    <x v="245"/>
  </r>
  <r>
    <x v="180"/>
    <x v="9"/>
    <x v="0"/>
    <x v="0"/>
    <x v="0"/>
    <x v="4"/>
    <x v="16"/>
    <x v="4"/>
    <x v="246"/>
    <x v="246"/>
  </r>
  <r>
    <x v="181"/>
    <x v="5"/>
    <x v="9"/>
    <x v="0"/>
    <x v="0"/>
    <x v="2"/>
    <x v="13"/>
    <x v="13"/>
    <x v="247"/>
    <x v="247"/>
  </r>
  <r>
    <x v="23"/>
    <x v="9"/>
    <x v="8"/>
    <x v="4"/>
    <x v="2"/>
    <x v="4"/>
    <x v="15"/>
    <x v="10"/>
    <x v="248"/>
    <x v="248"/>
  </r>
  <r>
    <x v="182"/>
    <x v="2"/>
    <x v="1"/>
    <x v="1"/>
    <x v="1"/>
    <x v="0"/>
    <x v="19"/>
    <x v="9"/>
    <x v="249"/>
    <x v="249"/>
  </r>
  <r>
    <x v="183"/>
    <x v="3"/>
    <x v="5"/>
    <x v="1"/>
    <x v="1"/>
    <x v="4"/>
    <x v="6"/>
    <x v="0"/>
    <x v="250"/>
    <x v="250"/>
  </r>
  <r>
    <x v="184"/>
    <x v="6"/>
    <x v="5"/>
    <x v="1"/>
    <x v="1"/>
    <x v="1"/>
    <x v="1"/>
    <x v="13"/>
    <x v="251"/>
    <x v="251"/>
  </r>
  <r>
    <x v="185"/>
    <x v="6"/>
    <x v="8"/>
    <x v="4"/>
    <x v="2"/>
    <x v="0"/>
    <x v="17"/>
    <x v="10"/>
    <x v="252"/>
    <x v="252"/>
  </r>
  <r>
    <x v="110"/>
    <x v="9"/>
    <x v="12"/>
    <x v="2"/>
    <x v="1"/>
    <x v="0"/>
    <x v="19"/>
    <x v="5"/>
    <x v="253"/>
    <x v="253"/>
  </r>
  <r>
    <x v="56"/>
    <x v="6"/>
    <x v="5"/>
    <x v="1"/>
    <x v="1"/>
    <x v="0"/>
    <x v="19"/>
    <x v="19"/>
    <x v="254"/>
    <x v="254"/>
  </r>
  <r>
    <x v="186"/>
    <x v="9"/>
    <x v="0"/>
    <x v="0"/>
    <x v="0"/>
    <x v="1"/>
    <x v="14"/>
    <x v="12"/>
    <x v="255"/>
    <x v="255"/>
  </r>
  <r>
    <x v="187"/>
    <x v="2"/>
    <x v="8"/>
    <x v="4"/>
    <x v="2"/>
    <x v="0"/>
    <x v="17"/>
    <x v="7"/>
    <x v="256"/>
    <x v="256"/>
  </r>
  <r>
    <x v="126"/>
    <x v="4"/>
    <x v="2"/>
    <x v="2"/>
    <x v="1"/>
    <x v="4"/>
    <x v="15"/>
    <x v="18"/>
    <x v="257"/>
    <x v="257"/>
  </r>
  <r>
    <x v="188"/>
    <x v="2"/>
    <x v="14"/>
    <x v="3"/>
    <x v="0"/>
    <x v="0"/>
    <x v="11"/>
    <x v="5"/>
    <x v="258"/>
    <x v="258"/>
  </r>
  <r>
    <x v="189"/>
    <x v="5"/>
    <x v="6"/>
    <x v="2"/>
    <x v="1"/>
    <x v="4"/>
    <x v="15"/>
    <x v="6"/>
    <x v="259"/>
    <x v="259"/>
  </r>
  <r>
    <x v="190"/>
    <x v="2"/>
    <x v="4"/>
    <x v="0"/>
    <x v="0"/>
    <x v="2"/>
    <x v="13"/>
    <x v="12"/>
    <x v="260"/>
    <x v="260"/>
  </r>
  <r>
    <x v="131"/>
    <x v="7"/>
    <x v="1"/>
    <x v="1"/>
    <x v="1"/>
    <x v="1"/>
    <x v="4"/>
    <x v="11"/>
    <x v="261"/>
    <x v="261"/>
  </r>
  <r>
    <x v="60"/>
    <x v="2"/>
    <x v="8"/>
    <x v="4"/>
    <x v="2"/>
    <x v="3"/>
    <x v="12"/>
    <x v="6"/>
    <x v="262"/>
    <x v="262"/>
  </r>
  <r>
    <x v="191"/>
    <x v="3"/>
    <x v="12"/>
    <x v="2"/>
    <x v="1"/>
    <x v="2"/>
    <x v="2"/>
    <x v="16"/>
    <x v="263"/>
    <x v="263"/>
  </r>
  <r>
    <x v="192"/>
    <x v="9"/>
    <x v="14"/>
    <x v="3"/>
    <x v="0"/>
    <x v="1"/>
    <x v="4"/>
    <x v="17"/>
    <x v="264"/>
    <x v="264"/>
  </r>
  <r>
    <x v="98"/>
    <x v="1"/>
    <x v="7"/>
    <x v="3"/>
    <x v="0"/>
    <x v="4"/>
    <x v="5"/>
    <x v="17"/>
    <x v="265"/>
    <x v="265"/>
  </r>
  <r>
    <x v="193"/>
    <x v="4"/>
    <x v="14"/>
    <x v="3"/>
    <x v="0"/>
    <x v="2"/>
    <x v="8"/>
    <x v="16"/>
    <x v="266"/>
    <x v="266"/>
  </r>
  <r>
    <x v="194"/>
    <x v="8"/>
    <x v="7"/>
    <x v="3"/>
    <x v="0"/>
    <x v="2"/>
    <x v="2"/>
    <x v="9"/>
    <x v="267"/>
    <x v="267"/>
  </r>
  <r>
    <x v="195"/>
    <x v="8"/>
    <x v="9"/>
    <x v="0"/>
    <x v="0"/>
    <x v="2"/>
    <x v="2"/>
    <x v="18"/>
    <x v="268"/>
    <x v="268"/>
  </r>
  <r>
    <x v="196"/>
    <x v="1"/>
    <x v="2"/>
    <x v="2"/>
    <x v="1"/>
    <x v="3"/>
    <x v="10"/>
    <x v="10"/>
    <x v="269"/>
    <x v="269"/>
  </r>
  <r>
    <x v="197"/>
    <x v="3"/>
    <x v="10"/>
    <x v="3"/>
    <x v="0"/>
    <x v="1"/>
    <x v="14"/>
    <x v="17"/>
    <x v="270"/>
    <x v="270"/>
  </r>
  <r>
    <x v="198"/>
    <x v="8"/>
    <x v="13"/>
    <x v="4"/>
    <x v="2"/>
    <x v="0"/>
    <x v="11"/>
    <x v="0"/>
    <x v="271"/>
    <x v="271"/>
  </r>
  <r>
    <x v="46"/>
    <x v="8"/>
    <x v="3"/>
    <x v="1"/>
    <x v="1"/>
    <x v="2"/>
    <x v="7"/>
    <x v="19"/>
    <x v="272"/>
    <x v="272"/>
  </r>
  <r>
    <x v="199"/>
    <x v="5"/>
    <x v="7"/>
    <x v="3"/>
    <x v="0"/>
    <x v="3"/>
    <x v="12"/>
    <x v="2"/>
    <x v="273"/>
    <x v="273"/>
  </r>
  <r>
    <x v="37"/>
    <x v="1"/>
    <x v="12"/>
    <x v="2"/>
    <x v="1"/>
    <x v="4"/>
    <x v="6"/>
    <x v="16"/>
    <x v="274"/>
    <x v="274"/>
  </r>
  <r>
    <x v="59"/>
    <x v="5"/>
    <x v="8"/>
    <x v="4"/>
    <x v="2"/>
    <x v="0"/>
    <x v="0"/>
    <x v="12"/>
    <x v="275"/>
    <x v="275"/>
  </r>
  <r>
    <x v="79"/>
    <x v="1"/>
    <x v="1"/>
    <x v="1"/>
    <x v="1"/>
    <x v="3"/>
    <x v="3"/>
    <x v="9"/>
    <x v="276"/>
    <x v="276"/>
  </r>
  <r>
    <x v="174"/>
    <x v="8"/>
    <x v="4"/>
    <x v="0"/>
    <x v="0"/>
    <x v="3"/>
    <x v="9"/>
    <x v="9"/>
    <x v="277"/>
    <x v="277"/>
  </r>
  <r>
    <x v="200"/>
    <x v="5"/>
    <x v="14"/>
    <x v="3"/>
    <x v="0"/>
    <x v="0"/>
    <x v="11"/>
    <x v="15"/>
    <x v="278"/>
    <x v="278"/>
  </r>
  <r>
    <x v="134"/>
    <x v="6"/>
    <x v="6"/>
    <x v="2"/>
    <x v="1"/>
    <x v="4"/>
    <x v="15"/>
    <x v="11"/>
    <x v="279"/>
    <x v="279"/>
  </r>
  <r>
    <x v="198"/>
    <x v="6"/>
    <x v="3"/>
    <x v="1"/>
    <x v="1"/>
    <x v="0"/>
    <x v="0"/>
    <x v="16"/>
    <x v="280"/>
    <x v="280"/>
  </r>
  <r>
    <x v="201"/>
    <x v="8"/>
    <x v="9"/>
    <x v="0"/>
    <x v="0"/>
    <x v="2"/>
    <x v="8"/>
    <x v="4"/>
    <x v="281"/>
    <x v="281"/>
  </r>
  <r>
    <x v="202"/>
    <x v="6"/>
    <x v="3"/>
    <x v="1"/>
    <x v="1"/>
    <x v="4"/>
    <x v="5"/>
    <x v="7"/>
    <x v="282"/>
    <x v="282"/>
  </r>
  <r>
    <x v="123"/>
    <x v="3"/>
    <x v="9"/>
    <x v="0"/>
    <x v="0"/>
    <x v="3"/>
    <x v="9"/>
    <x v="7"/>
    <x v="283"/>
    <x v="283"/>
  </r>
  <r>
    <x v="19"/>
    <x v="3"/>
    <x v="1"/>
    <x v="1"/>
    <x v="1"/>
    <x v="3"/>
    <x v="12"/>
    <x v="17"/>
    <x v="284"/>
    <x v="284"/>
  </r>
  <r>
    <x v="203"/>
    <x v="4"/>
    <x v="10"/>
    <x v="3"/>
    <x v="0"/>
    <x v="3"/>
    <x v="10"/>
    <x v="6"/>
    <x v="285"/>
    <x v="285"/>
  </r>
  <r>
    <x v="189"/>
    <x v="5"/>
    <x v="5"/>
    <x v="1"/>
    <x v="1"/>
    <x v="2"/>
    <x v="13"/>
    <x v="19"/>
    <x v="286"/>
    <x v="286"/>
  </r>
  <r>
    <x v="204"/>
    <x v="9"/>
    <x v="0"/>
    <x v="0"/>
    <x v="0"/>
    <x v="1"/>
    <x v="18"/>
    <x v="17"/>
    <x v="287"/>
    <x v="287"/>
  </r>
  <r>
    <x v="82"/>
    <x v="7"/>
    <x v="13"/>
    <x v="4"/>
    <x v="2"/>
    <x v="4"/>
    <x v="15"/>
    <x v="15"/>
    <x v="288"/>
    <x v="288"/>
  </r>
  <r>
    <x v="205"/>
    <x v="3"/>
    <x v="12"/>
    <x v="2"/>
    <x v="1"/>
    <x v="4"/>
    <x v="15"/>
    <x v="4"/>
    <x v="289"/>
    <x v="289"/>
  </r>
  <r>
    <x v="206"/>
    <x v="4"/>
    <x v="1"/>
    <x v="1"/>
    <x v="1"/>
    <x v="3"/>
    <x v="12"/>
    <x v="10"/>
    <x v="290"/>
    <x v="290"/>
  </r>
  <r>
    <x v="10"/>
    <x v="9"/>
    <x v="11"/>
    <x v="4"/>
    <x v="2"/>
    <x v="3"/>
    <x v="3"/>
    <x v="17"/>
    <x v="291"/>
    <x v="291"/>
  </r>
  <r>
    <x v="207"/>
    <x v="2"/>
    <x v="4"/>
    <x v="0"/>
    <x v="0"/>
    <x v="1"/>
    <x v="14"/>
    <x v="3"/>
    <x v="292"/>
    <x v="292"/>
  </r>
  <r>
    <x v="35"/>
    <x v="6"/>
    <x v="9"/>
    <x v="0"/>
    <x v="0"/>
    <x v="1"/>
    <x v="1"/>
    <x v="15"/>
    <x v="293"/>
    <x v="293"/>
  </r>
  <r>
    <x v="36"/>
    <x v="8"/>
    <x v="3"/>
    <x v="1"/>
    <x v="1"/>
    <x v="4"/>
    <x v="16"/>
    <x v="16"/>
    <x v="294"/>
    <x v="294"/>
  </r>
  <r>
    <x v="148"/>
    <x v="0"/>
    <x v="4"/>
    <x v="0"/>
    <x v="0"/>
    <x v="3"/>
    <x v="3"/>
    <x v="2"/>
    <x v="295"/>
    <x v="295"/>
  </r>
  <r>
    <x v="132"/>
    <x v="0"/>
    <x v="0"/>
    <x v="0"/>
    <x v="0"/>
    <x v="1"/>
    <x v="1"/>
    <x v="2"/>
    <x v="296"/>
    <x v="296"/>
  </r>
  <r>
    <x v="103"/>
    <x v="5"/>
    <x v="0"/>
    <x v="0"/>
    <x v="0"/>
    <x v="3"/>
    <x v="3"/>
    <x v="0"/>
    <x v="297"/>
    <x v="297"/>
  </r>
  <r>
    <x v="117"/>
    <x v="9"/>
    <x v="2"/>
    <x v="2"/>
    <x v="1"/>
    <x v="4"/>
    <x v="6"/>
    <x v="5"/>
    <x v="298"/>
    <x v="298"/>
  </r>
  <r>
    <x v="208"/>
    <x v="4"/>
    <x v="9"/>
    <x v="0"/>
    <x v="0"/>
    <x v="4"/>
    <x v="15"/>
    <x v="14"/>
    <x v="299"/>
    <x v="299"/>
  </r>
  <r>
    <x v="127"/>
    <x v="4"/>
    <x v="8"/>
    <x v="4"/>
    <x v="2"/>
    <x v="2"/>
    <x v="8"/>
    <x v="5"/>
    <x v="300"/>
    <x v="300"/>
  </r>
  <r>
    <x v="209"/>
    <x v="3"/>
    <x v="7"/>
    <x v="3"/>
    <x v="0"/>
    <x v="1"/>
    <x v="14"/>
    <x v="12"/>
    <x v="301"/>
    <x v="301"/>
  </r>
  <r>
    <x v="210"/>
    <x v="7"/>
    <x v="14"/>
    <x v="3"/>
    <x v="0"/>
    <x v="2"/>
    <x v="2"/>
    <x v="0"/>
    <x v="302"/>
    <x v="302"/>
  </r>
  <r>
    <x v="211"/>
    <x v="3"/>
    <x v="1"/>
    <x v="1"/>
    <x v="1"/>
    <x v="3"/>
    <x v="9"/>
    <x v="2"/>
    <x v="303"/>
    <x v="303"/>
  </r>
  <r>
    <x v="46"/>
    <x v="7"/>
    <x v="13"/>
    <x v="4"/>
    <x v="2"/>
    <x v="4"/>
    <x v="16"/>
    <x v="4"/>
    <x v="304"/>
    <x v="304"/>
  </r>
  <r>
    <x v="12"/>
    <x v="4"/>
    <x v="3"/>
    <x v="1"/>
    <x v="1"/>
    <x v="4"/>
    <x v="5"/>
    <x v="3"/>
    <x v="305"/>
    <x v="305"/>
  </r>
  <r>
    <x v="212"/>
    <x v="0"/>
    <x v="14"/>
    <x v="3"/>
    <x v="0"/>
    <x v="2"/>
    <x v="2"/>
    <x v="11"/>
    <x v="306"/>
    <x v="306"/>
  </r>
  <r>
    <x v="105"/>
    <x v="8"/>
    <x v="13"/>
    <x v="4"/>
    <x v="2"/>
    <x v="0"/>
    <x v="19"/>
    <x v="0"/>
    <x v="307"/>
    <x v="307"/>
  </r>
  <r>
    <x v="213"/>
    <x v="2"/>
    <x v="2"/>
    <x v="2"/>
    <x v="1"/>
    <x v="0"/>
    <x v="0"/>
    <x v="15"/>
    <x v="308"/>
    <x v="308"/>
  </r>
  <r>
    <x v="167"/>
    <x v="3"/>
    <x v="3"/>
    <x v="1"/>
    <x v="1"/>
    <x v="0"/>
    <x v="19"/>
    <x v="5"/>
    <x v="309"/>
    <x v="309"/>
  </r>
  <r>
    <x v="93"/>
    <x v="8"/>
    <x v="12"/>
    <x v="2"/>
    <x v="1"/>
    <x v="2"/>
    <x v="2"/>
    <x v="15"/>
    <x v="310"/>
    <x v="310"/>
  </r>
  <r>
    <x v="104"/>
    <x v="4"/>
    <x v="12"/>
    <x v="2"/>
    <x v="1"/>
    <x v="3"/>
    <x v="3"/>
    <x v="15"/>
    <x v="311"/>
    <x v="311"/>
  </r>
  <r>
    <x v="146"/>
    <x v="5"/>
    <x v="8"/>
    <x v="4"/>
    <x v="2"/>
    <x v="3"/>
    <x v="10"/>
    <x v="4"/>
    <x v="312"/>
    <x v="312"/>
  </r>
  <r>
    <x v="214"/>
    <x v="8"/>
    <x v="5"/>
    <x v="1"/>
    <x v="1"/>
    <x v="2"/>
    <x v="13"/>
    <x v="1"/>
    <x v="313"/>
    <x v="313"/>
  </r>
  <r>
    <x v="130"/>
    <x v="4"/>
    <x v="8"/>
    <x v="4"/>
    <x v="2"/>
    <x v="2"/>
    <x v="7"/>
    <x v="16"/>
    <x v="314"/>
    <x v="314"/>
  </r>
  <r>
    <x v="215"/>
    <x v="1"/>
    <x v="3"/>
    <x v="1"/>
    <x v="1"/>
    <x v="2"/>
    <x v="7"/>
    <x v="12"/>
    <x v="315"/>
    <x v="315"/>
  </r>
  <r>
    <x v="216"/>
    <x v="0"/>
    <x v="9"/>
    <x v="0"/>
    <x v="0"/>
    <x v="1"/>
    <x v="4"/>
    <x v="17"/>
    <x v="316"/>
    <x v="316"/>
  </r>
  <r>
    <x v="14"/>
    <x v="1"/>
    <x v="9"/>
    <x v="0"/>
    <x v="0"/>
    <x v="3"/>
    <x v="9"/>
    <x v="14"/>
    <x v="317"/>
    <x v="317"/>
  </r>
  <r>
    <x v="94"/>
    <x v="7"/>
    <x v="10"/>
    <x v="3"/>
    <x v="0"/>
    <x v="3"/>
    <x v="12"/>
    <x v="2"/>
    <x v="318"/>
    <x v="318"/>
  </r>
  <r>
    <x v="217"/>
    <x v="6"/>
    <x v="3"/>
    <x v="1"/>
    <x v="1"/>
    <x v="3"/>
    <x v="10"/>
    <x v="2"/>
    <x v="319"/>
    <x v="319"/>
  </r>
  <r>
    <x v="218"/>
    <x v="6"/>
    <x v="10"/>
    <x v="3"/>
    <x v="0"/>
    <x v="4"/>
    <x v="16"/>
    <x v="12"/>
    <x v="320"/>
    <x v="320"/>
  </r>
  <r>
    <x v="219"/>
    <x v="6"/>
    <x v="4"/>
    <x v="0"/>
    <x v="0"/>
    <x v="1"/>
    <x v="1"/>
    <x v="19"/>
    <x v="321"/>
    <x v="321"/>
  </r>
  <r>
    <x v="6"/>
    <x v="7"/>
    <x v="4"/>
    <x v="0"/>
    <x v="0"/>
    <x v="0"/>
    <x v="0"/>
    <x v="4"/>
    <x v="322"/>
    <x v="322"/>
  </r>
  <r>
    <x v="220"/>
    <x v="1"/>
    <x v="6"/>
    <x v="2"/>
    <x v="1"/>
    <x v="2"/>
    <x v="13"/>
    <x v="6"/>
    <x v="323"/>
    <x v="323"/>
  </r>
  <r>
    <x v="11"/>
    <x v="7"/>
    <x v="14"/>
    <x v="3"/>
    <x v="0"/>
    <x v="1"/>
    <x v="1"/>
    <x v="0"/>
    <x v="324"/>
    <x v="324"/>
  </r>
  <r>
    <x v="221"/>
    <x v="9"/>
    <x v="1"/>
    <x v="1"/>
    <x v="1"/>
    <x v="1"/>
    <x v="14"/>
    <x v="6"/>
    <x v="325"/>
    <x v="325"/>
  </r>
  <r>
    <x v="222"/>
    <x v="2"/>
    <x v="3"/>
    <x v="1"/>
    <x v="1"/>
    <x v="4"/>
    <x v="15"/>
    <x v="4"/>
    <x v="326"/>
    <x v="326"/>
  </r>
  <r>
    <x v="223"/>
    <x v="8"/>
    <x v="8"/>
    <x v="4"/>
    <x v="2"/>
    <x v="1"/>
    <x v="4"/>
    <x v="4"/>
    <x v="327"/>
    <x v="327"/>
  </r>
  <r>
    <x v="154"/>
    <x v="2"/>
    <x v="4"/>
    <x v="0"/>
    <x v="0"/>
    <x v="3"/>
    <x v="12"/>
    <x v="5"/>
    <x v="328"/>
    <x v="328"/>
  </r>
  <r>
    <x v="57"/>
    <x v="7"/>
    <x v="4"/>
    <x v="0"/>
    <x v="0"/>
    <x v="0"/>
    <x v="11"/>
    <x v="0"/>
    <x v="329"/>
    <x v="329"/>
  </r>
  <r>
    <x v="138"/>
    <x v="3"/>
    <x v="10"/>
    <x v="3"/>
    <x v="0"/>
    <x v="4"/>
    <x v="6"/>
    <x v="18"/>
    <x v="330"/>
    <x v="330"/>
  </r>
  <r>
    <x v="23"/>
    <x v="2"/>
    <x v="2"/>
    <x v="2"/>
    <x v="1"/>
    <x v="1"/>
    <x v="18"/>
    <x v="19"/>
    <x v="331"/>
    <x v="331"/>
  </r>
  <r>
    <x v="176"/>
    <x v="2"/>
    <x v="2"/>
    <x v="2"/>
    <x v="1"/>
    <x v="0"/>
    <x v="17"/>
    <x v="10"/>
    <x v="332"/>
    <x v="332"/>
  </r>
  <r>
    <x v="125"/>
    <x v="0"/>
    <x v="11"/>
    <x v="4"/>
    <x v="2"/>
    <x v="1"/>
    <x v="4"/>
    <x v="12"/>
    <x v="333"/>
    <x v="333"/>
  </r>
  <r>
    <x v="224"/>
    <x v="8"/>
    <x v="2"/>
    <x v="2"/>
    <x v="1"/>
    <x v="1"/>
    <x v="4"/>
    <x v="18"/>
    <x v="334"/>
    <x v="334"/>
  </r>
  <r>
    <x v="225"/>
    <x v="7"/>
    <x v="5"/>
    <x v="1"/>
    <x v="1"/>
    <x v="1"/>
    <x v="14"/>
    <x v="16"/>
    <x v="335"/>
    <x v="335"/>
  </r>
  <r>
    <x v="207"/>
    <x v="9"/>
    <x v="13"/>
    <x v="4"/>
    <x v="2"/>
    <x v="2"/>
    <x v="13"/>
    <x v="7"/>
    <x v="336"/>
    <x v="336"/>
  </r>
  <r>
    <x v="49"/>
    <x v="8"/>
    <x v="3"/>
    <x v="1"/>
    <x v="1"/>
    <x v="4"/>
    <x v="15"/>
    <x v="0"/>
    <x v="337"/>
    <x v="337"/>
  </r>
  <r>
    <x v="67"/>
    <x v="8"/>
    <x v="3"/>
    <x v="1"/>
    <x v="1"/>
    <x v="4"/>
    <x v="5"/>
    <x v="16"/>
    <x v="338"/>
    <x v="338"/>
  </r>
  <r>
    <x v="135"/>
    <x v="9"/>
    <x v="11"/>
    <x v="4"/>
    <x v="2"/>
    <x v="3"/>
    <x v="9"/>
    <x v="14"/>
    <x v="339"/>
    <x v="339"/>
  </r>
  <r>
    <x v="226"/>
    <x v="3"/>
    <x v="7"/>
    <x v="3"/>
    <x v="0"/>
    <x v="0"/>
    <x v="11"/>
    <x v="2"/>
    <x v="340"/>
    <x v="340"/>
  </r>
  <r>
    <x v="227"/>
    <x v="2"/>
    <x v="9"/>
    <x v="0"/>
    <x v="0"/>
    <x v="0"/>
    <x v="11"/>
    <x v="13"/>
    <x v="341"/>
    <x v="341"/>
  </r>
  <r>
    <x v="228"/>
    <x v="7"/>
    <x v="3"/>
    <x v="1"/>
    <x v="1"/>
    <x v="1"/>
    <x v="1"/>
    <x v="16"/>
    <x v="342"/>
    <x v="342"/>
  </r>
  <r>
    <x v="214"/>
    <x v="4"/>
    <x v="6"/>
    <x v="2"/>
    <x v="1"/>
    <x v="0"/>
    <x v="0"/>
    <x v="7"/>
    <x v="343"/>
    <x v="343"/>
  </r>
  <r>
    <x v="229"/>
    <x v="0"/>
    <x v="11"/>
    <x v="4"/>
    <x v="2"/>
    <x v="0"/>
    <x v="0"/>
    <x v="4"/>
    <x v="344"/>
    <x v="344"/>
  </r>
  <r>
    <x v="48"/>
    <x v="8"/>
    <x v="5"/>
    <x v="1"/>
    <x v="1"/>
    <x v="1"/>
    <x v="14"/>
    <x v="0"/>
    <x v="345"/>
    <x v="345"/>
  </r>
  <r>
    <x v="171"/>
    <x v="6"/>
    <x v="12"/>
    <x v="2"/>
    <x v="1"/>
    <x v="4"/>
    <x v="6"/>
    <x v="0"/>
    <x v="346"/>
    <x v="346"/>
  </r>
  <r>
    <x v="230"/>
    <x v="5"/>
    <x v="0"/>
    <x v="0"/>
    <x v="0"/>
    <x v="2"/>
    <x v="7"/>
    <x v="5"/>
    <x v="347"/>
    <x v="347"/>
  </r>
  <r>
    <x v="231"/>
    <x v="7"/>
    <x v="2"/>
    <x v="2"/>
    <x v="1"/>
    <x v="3"/>
    <x v="9"/>
    <x v="17"/>
    <x v="348"/>
    <x v="348"/>
  </r>
  <r>
    <x v="232"/>
    <x v="6"/>
    <x v="13"/>
    <x v="4"/>
    <x v="2"/>
    <x v="4"/>
    <x v="15"/>
    <x v="4"/>
    <x v="349"/>
    <x v="349"/>
  </r>
  <r>
    <x v="44"/>
    <x v="2"/>
    <x v="12"/>
    <x v="2"/>
    <x v="1"/>
    <x v="2"/>
    <x v="8"/>
    <x v="14"/>
    <x v="350"/>
    <x v="350"/>
  </r>
  <r>
    <x v="31"/>
    <x v="8"/>
    <x v="3"/>
    <x v="1"/>
    <x v="1"/>
    <x v="2"/>
    <x v="7"/>
    <x v="3"/>
    <x v="351"/>
    <x v="351"/>
  </r>
  <r>
    <x v="81"/>
    <x v="4"/>
    <x v="4"/>
    <x v="0"/>
    <x v="0"/>
    <x v="1"/>
    <x v="14"/>
    <x v="13"/>
    <x v="352"/>
    <x v="352"/>
  </r>
  <r>
    <x v="68"/>
    <x v="8"/>
    <x v="5"/>
    <x v="1"/>
    <x v="1"/>
    <x v="0"/>
    <x v="19"/>
    <x v="15"/>
    <x v="353"/>
    <x v="353"/>
  </r>
  <r>
    <x v="9"/>
    <x v="3"/>
    <x v="5"/>
    <x v="1"/>
    <x v="1"/>
    <x v="2"/>
    <x v="8"/>
    <x v="2"/>
    <x v="354"/>
    <x v="354"/>
  </r>
  <r>
    <x v="233"/>
    <x v="9"/>
    <x v="4"/>
    <x v="0"/>
    <x v="0"/>
    <x v="0"/>
    <x v="17"/>
    <x v="10"/>
    <x v="355"/>
    <x v="355"/>
  </r>
  <r>
    <x v="234"/>
    <x v="3"/>
    <x v="9"/>
    <x v="0"/>
    <x v="0"/>
    <x v="3"/>
    <x v="12"/>
    <x v="7"/>
    <x v="356"/>
    <x v="356"/>
  </r>
  <r>
    <x v="81"/>
    <x v="1"/>
    <x v="1"/>
    <x v="1"/>
    <x v="1"/>
    <x v="0"/>
    <x v="11"/>
    <x v="16"/>
    <x v="357"/>
    <x v="357"/>
  </r>
  <r>
    <x v="51"/>
    <x v="5"/>
    <x v="2"/>
    <x v="2"/>
    <x v="1"/>
    <x v="3"/>
    <x v="12"/>
    <x v="8"/>
    <x v="358"/>
    <x v="358"/>
  </r>
  <r>
    <x v="126"/>
    <x v="1"/>
    <x v="1"/>
    <x v="1"/>
    <x v="1"/>
    <x v="4"/>
    <x v="15"/>
    <x v="12"/>
    <x v="359"/>
    <x v="359"/>
  </r>
  <r>
    <x v="27"/>
    <x v="7"/>
    <x v="10"/>
    <x v="3"/>
    <x v="0"/>
    <x v="2"/>
    <x v="13"/>
    <x v="9"/>
    <x v="360"/>
    <x v="360"/>
  </r>
  <r>
    <x v="41"/>
    <x v="7"/>
    <x v="5"/>
    <x v="1"/>
    <x v="1"/>
    <x v="0"/>
    <x v="19"/>
    <x v="17"/>
    <x v="361"/>
    <x v="361"/>
  </r>
  <r>
    <x v="88"/>
    <x v="1"/>
    <x v="6"/>
    <x v="2"/>
    <x v="1"/>
    <x v="2"/>
    <x v="8"/>
    <x v="4"/>
    <x v="362"/>
    <x v="362"/>
  </r>
  <r>
    <x v="71"/>
    <x v="7"/>
    <x v="4"/>
    <x v="0"/>
    <x v="0"/>
    <x v="2"/>
    <x v="8"/>
    <x v="1"/>
    <x v="363"/>
    <x v="363"/>
  </r>
  <r>
    <x v="178"/>
    <x v="9"/>
    <x v="14"/>
    <x v="3"/>
    <x v="0"/>
    <x v="3"/>
    <x v="3"/>
    <x v="1"/>
    <x v="364"/>
    <x v="364"/>
  </r>
  <r>
    <x v="235"/>
    <x v="9"/>
    <x v="10"/>
    <x v="3"/>
    <x v="0"/>
    <x v="1"/>
    <x v="18"/>
    <x v="2"/>
    <x v="365"/>
    <x v="365"/>
  </r>
  <r>
    <x v="169"/>
    <x v="4"/>
    <x v="6"/>
    <x v="2"/>
    <x v="1"/>
    <x v="2"/>
    <x v="2"/>
    <x v="16"/>
    <x v="366"/>
    <x v="366"/>
  </r>
  <r>
    <x v="236"/>
    <x v="8"/>
    <x v="5"/>
    <x v="1"/>
    <x v="1"/>
    <x v="3"/>
    <x v="12"/>
    <x v="13"/>
    <x v="367"/>
    <x v="367"/>
  </r>
  <r>
    <x v="237"/>
    <x v="4"/>
    <x v="14"/>
    <x v="3"/>
    <x v="0"/>
    <x v="2"/>
    <x v="7"/>
    <x v="6"/>
    <x v="368"/>
    <x v="368"/>
  </r>
  <r>
    <x v="238"/>
    <x v="0"/>
    <x v="10"/>
    <x v="3"/>
    <x v="0"/>
    <x v="2"/>
    <x v="8"/>
    <x v="14"/>
    <x v="369"/>
    <x v="369"/>
  </r>
  <r>
    <x v="54"/>
    <x v="9"/>
    <x v="2"/>
    <x v="2"/>
    <x v="1"/>
    <x v="1"/>
    <x v="4"/>
    <x v="17"/>
    <x v="370"/>
    <x v="370"/>
  </r>
  <r>
    <x v="230"/>
    <x v="6"/>
    <x v="14"/>
    <x v="3"/>
    <x v="0"/>
    <x v="2"/>
    <x v="8"/>
    <x v="10"/>
    <x v="371"/>
    <x v="371"/>
  </r>
  <r>
    <x v="97"/>
    <x v="6"/>
    <x v="5"/>
    <x v="1"/>
    <x v="1"/>
    <x v="3"/>
    <x v="9"/>
    <x v="12"/>
    <x v="372"/>
    <x v="372"/>
  </r>
  <r>
    <x v="239"/>
    <x v="2"/>
    <x v="13"/>
    <x v="4"/>
    <x v="2"/>
    <x v="2"/>
    <x v="8"/>
    <x v="18"/>
    <x v="373"/>
    <x v="373"/>
  </r>
  <r>
    <x v="237"/>
    <x v="3"/>
    <x v="2"/>
    <x v="2"/>
    <x v="1"/>
    <x v="4"/>
    <x v="15"/>
    <x v="5"/>
    <x v="374"/>
    <x v="374"/>
  </r>
  <r>
    <x v="192"/>
    <x v="2"/>
    <x v="10"/>
    <x v="3"/>
    <x v="0"/>
    <x v="1"/>
    <x v="4"/>
    <x v="13"/>
    <x v="375"/>
    <x v="375"/>
  </r>
  <r>
    <x v="240"/>
    <x v="4"/>
    <x v="3"/>
    <x v="1"/>
    <x v="1"/>
    <x v="3"/>
    <x v="3"/>
    <x v="19"/>
    <x v="376"/>
    <x v="376"/>
  </r>
  <r>
    <x v="78"/>
    <x v="1"/>
    <x v="8"/>
    <x v="4"/>
    <x v="2"/>
    <x v="4"/>
    <x v="5"/>
    <x v="9"/>
    <x v="377"/>
    <x v="377"/>
  </r>
  <r>
    <x v="112"/>
    <x v="2"/>
    <x v="12"/>
    <x v="2"/>
    <x v="1"/>
    <x v="0"/>
    <x v="17"/>
    <x v="14"/>
    <x v="378"/>
    <x v="378"/>
  </r>
  <r>
    <x v="193"/>
    <x v="5"/>
    <x v="6"/>
    <x v="2"/>
    <x v="1"/>
    <x v="4"/>
    <x v="6"/>
    <x v="18"/>
    <x v="379"/>
    <x v="379"/>
  </r>
  <r>
    <x v="63"/>
    <x v="0"/>
    <x v="8"/>
    <x v="4"/>
    <x v="2"/>
    <x v="1"/>
    <x v="18"/>
    <x v="8"/>
    <x v="380"/>
    <x v="380"/>
  </r>
  <r>
    <x v="14"/>
    <x v="0"/>
    <x v="13"/>
    <x v="4"/>
    <x v="2"/>
    <x v="3"/>
    <x v="10"/>
    <x v="19"/>
    <x v="381"/>
    <x v="381"/>
  </r>
  <r>
    <x v="5"/>
    <x v="0"/>
    <x v="6"/>
    <x v="2"/>
    <x v="1"/>
    <x v="2"/>
    <x v="13"/>
    <x v="14"/>
    <x v="382"/>
    <x v="382"/>
  </r>
  <r>
    <x v="241"/>
    <x v="6"/>
    <x v="0"/>
    <x v="0"/>
    <x v="0"/>
    <x v="4"/>
    <x v="5"/>
    <x v="18"/>
    <x v="383"/>
    <x v="383"/>
  </r>
  <r>
    <x v="220"/>
    <x v="6"/>
    <x v="8"/>
    <x v="4"/>
    <x v="2"/>
    <x v="0"/>
    <x v="0"/>
    <x v="4"/>
    <x v="384"/>
    <x v="384"/>
  </r>
  <r>
    <x v="242"/>
    <x v="6"/>
    <x v="4"/>
    <x v="0"/>
    <x v="0"/>
    <x v="3"/>
    <x v="9"/>
    <x v="5"/>
    <x v="385"/>
    <x v="385"/>
  </r>
  <r>
    <x v="243"/>
    <x v="2"/>
    <x v="6"/>
    <x v="2"/>
    <x v="1"/>
    <x v="4"/>
    <x v="5"/>
    <x v="4"/>
    <x v="386"/>
    <x v="386"/>
  </r>
  <r>
    <x v="44"/>
    <x v="3"/>
    <x v="5"/>
    <x v="1"/>
    <x v="1"/>
    <x v="3"/>
    <x v="9"/>
    <x v="0"/>
    <x v="387"/>
    <x v="387"/>
  </r>
  <r>
    <x v="122"/>
    <x v="5"/>
    <x v="12"/>
    <x v="2"/>
    <x v="1"/>
    <x v="0"/>
    <x v="11"/>
    <x v="4"/>
    <x v="388"/>
    <x v="388"/>
  </r>
  <r>
    <x v="57"/>
    <x v="9"/>
    <x v="8"/>
    <x v="4"/>
    <x v="2"/>
    <x v="1"/>
    <x v="1"/>
    <x v="1"/>
    <x v="389"/>
    <x v="389"/>
  </r>
  <r>
    <x v="244"/>
    <x v="5"/>
    <x v="4"/>
    <x v="0"/>
    <x v="0"/>
    <x v="4"/>
    <x v="6"/>
    <x v="0"/>
    <x v="390"/>
    <x v="390"/>
  </r>
  <r>
    <x v="192"/>
    <x v="3"/>
    <x v="7"/>
    <x v="3"/>
    <x v="0"/>
    <x v="4"/>
    <x v="15"/>
    <x v="13"/>
    <x v="391"/>
    <x v="391"/>
  </r>
  <r>
    <x v="6"/>
    <x v="6"/>
    <x v="1"/>
    <x v="1"/>
    <x v="1"/>
    <x v="2"/>
    <x v="8"/>
    <x v="2"/>
    <x v="392"/>
    <x v="392"/>
  </r>
  <r>
    <x v="245"/>
    <x v="7"/>
    <x v="9"/>
    <x v="0"/>
    <x v="0"/>
    <x v="4"/>
    <x v="16"/>
    <x v="8"/>
    <x v="393"/>
    <x v="393"/>
  </r>
  <r>
    <x v="132"/>
    <x v="7"/>
    <x v="7"/>
    <x v="3"/>
    <x v="0"/>
    <x v="2"/>
    <x v="2"/>
    <x v="14"/>
    <x v="394"/>
    <x v="394"/>
  </r>
  <r>
    <x v="213"/>
    <x v="7"/>
    <x v="14"/>
    <x v="3"/>
    <x v="0"/>
    <x v="1"/>
    <x v="4"/>
    <x v="10"/>
    <x v="395"/>
    <x v="395"/>
  </r>
  <r>
    <x v="27"/>
    <x v="9"/>
    <x v="7"/>
    <x v="3"/>
    <x v="0"/>
    <x v="0"/>
    <x v="11"/>
    <x v="4"/>
    <x v="396"/>
    <x v="396"/>
  </r>
  <r>
    <x v="246"/>
    <x v="7"/>
    <x v="1"/>
    <x v="1"/>
    <x v="1"/>
    <x v="0"/>
    <x v="17"/>
    <x v="12"/>
    <x v="397"/>
    <x v="397"/>
  </r>
  <r>
    <x v="233"/>
    <x v="2"/>
    <x v="11"/>
    <x v="4"/>
    <x v="2"/>
    <x v="2"/>
    <x v="2"/>
    <x v="8"/>
    <x v="398"/>
    <x v="398"/>
  </r>
  <r>
    <x v="19"/>
    <x v="4"/>
    <x v="3"/>
    <x v="1"/>
    <x v="1"/>
    <x v="1"/>
    <x v="1"/>
    <x v="5"/>
    <x v="399"/>
    <x v="399"/>
  </r>
  <r>
    <x v="208"/>
    <x v="2"/>
    <x v="13"/>
    <x v="4"/>
    <x v="2"/>
    <x v="3"/>
    <x v="10"/>
    <x v="2"/>
    <x v="400"/>
    <x v="400"/>
  </r>
  <r>
    <x v="89"/>
    <x v="5"/>
    <x v="6"/>
    <x v="2"/>
    <x v="1"/>
    <x v="0"/>
    <x v="0"/>
    <x v="10"/>
    <x v="401"/>
    <x v="401"/>
  </r>
  <r>
    <x v="61"/>
    <x v="7"/>
    <x v="5"/>
    <x v="1"/>
    <x v="1"/>
    <x v="4"/>
    <x v="16"/>
    <x v="13"/>
    <x v="402"/>
    <x v="402"/>
  </r>
  <r>
    <x v="235"/>
    <x v="7"/>
    <x v="12"/>
    <x v="2"/>
    <x v="1"/>
    <x v="4"/>
    <x v="16"/>
    <x v="13"/>
    <x v="403"/>
    <x v="403"/>
  </r>
  <r>
    <x v="41"/>
    <x v="2"/>
    <x v="11"/>
    <x v="4"/>
    <x v="2"/>
    <x v="3"/>
    <x v="9"/>
    <x v="4"/>
    <x v="404"/>
    <x v="404"/>
  </r>
  <r>
    <x v="4"/>
    <x v="7"/>
    <x v="12"/>
    <x v="2"/>
    <x v="1"/>
    <x v="3"/>
    <x v="9"/>
    <x v="12"/>
    <x v="405"/>
    <x v="405"/>
  </r>
  <r>
    <x v="247"/>
    <x v="9"/>
    <x v="14"/>
    <x v="3"/>
    <x v="0"/>
    <x v="4"/>
    <x v="15"/>
    <x v="17"/>
    <x v="406"/>
    <x v="406"/>
  </r>
  <r>
    <x v="50"/>
    <x v="8"/>
    <x v="2"/>
    <x v="2"/>
    <x v="1"/>
    <x v="3"/>
    <x v="3"/>
    <x v="18"/>
    <x v="407"/>
    <x v="407"/>
  </r>
  <r>
    <x v="152"/>
    <x v="1"/>
    <x v="2"/>
    <x v="2"/>
    <x v="1"/>
    <x v="0"/>
    <x v="11"/>
    <x v="19"/>
    <x v="408"/>
    <x v="408"/>
  </r>
  <r>
    <x v="248"/>
    <x v="9"/>
    <x v="0"/>
    <x v="0"/>
    <x v="0"/>
    <x v="4"/>
    <x v="15"/>
    <x v="11"/>
    <x v="409"/>
    <x v="409"/>
  </r>
  <r>
    <x v="228"/>
    <x v="5"/>
    <x v="0"/>
    <x v="0"/>
    <x v="0"/>
    <x v="4"/>
    <x v="15"/>
    <x v="1"/>
    <x v="410"/>
    <x v="410"/>
  </r>
  <r>
    <x v="135"/>
    <x v="3"/>
    <x v="11"/>
    <x v="4"/>
    <x v="2"/>
    <x v="1"/>
    <x v="14"/>
    <x v="17"/>
    <x v="411"/>
    <x v="411"/>
  </r>
  <r>
    <x v="146"/>
    <x v="8"/>
    <x v="7"/>
    <x v="3"/>
    <x v="0"/>
    <x v="4"/>
    <x v="6"/>
    <x v="14"/>
    <x v="412"/>
    <x v="412"/>
  </r>
  <r>
    <x v="246"/>
    <x v="9"/>
    <x v="1"/>
    <x v="1"/>
    <x v="1"/>
    <x v="0"/>
    <x v="0"/>
    <x v="10"/>
    <x v="413"/>
    <x v="413"/>
  </r>
  <r>
    <x v="249"/>
    <x v="3"/>
    <x v="4"/>
    <x v="0"/>
    <x v="0"/>
    <x v="4"/>
    <x v="5"/>
    <x v="7"/>
    <x v="414"/>
    <x v="414"/>
  </r>
  <r>
    <x v="140"/>
    <x v="8"/>
    <x v="13"/>
    <x v="4"/>
    <x v="2"/>
    <x v="1"/>
    <x v="14"/>
    <x v="11"/>
    <x v="415"/>
    <x v="415"/>
  </r>
  <r>
    <x v="123"/>
    <x v="4"/>
    <x v="7"/>
    <x v="3"/>
    <x v="0"/>
    <x v="0"/>
    <x v="11"/>
    <x v="17"/>
    <x v="416"/>
    <x v="416"/>
  </r>
  <r>
    <x v="70"/>
    <x v="5"/>
    <x v="12"/>
    <x v="2"/>
    <x v="1"/>
    <x v="4"/>
    <x v="16"/>
    <x v="0"/>
    <x v="417"/>
    <x v="417"/>
  </r>
  <r>
    <x v="28"/>
    <x v="7"/>
    <x v="1"/>
    <x v="1"/>
    <x v="1"/>
    <x v="3"/>
    <x v="10"/>
    <x v="14"/>
    <x v="418"/>
    <x v="418"/>
  </r>
  <r>
    <x v="205"/>
    <x v="0"/>
    <x v="13"/>
    <x v="4"/>
    <x v="2"/>
    <x v="2"/>
    <x v="7"/>
    <x v="15"/>
    <x v="419"/>
    <x v="419"/>
  </r>
  <r>
    <x v="250"/>
    <x v="4"/>
    <x v="0"/>
    <x v="0"/>
    <x v="0"/>
    <x v="0"/>
    <x v="11"/>
    <x v="9"/>
    <x v="420"/>
    <x v="420"/>
  </r>
  <r>
    <x v="154"/>
    <x v="5"/>
    <x v="2"/>
    <x v="2"/>
    <x v="1"/>
    <x v="0"/>
    <x v="19"/>
    <x v="16"/>
    <x v="421"/>
    <x v="421"/>
  </r>
  <r>
    <x v="5"/>
    <x v="0"/>
    <x v="7"/>
    <x v="3"/>
    <x v="0"/>
    <x v="2"/>
    <x v="7"/>
    <x v="8"/>
    <x v="422"/>
    <x v="422"/>
  </r>
  <r>
    <x v="251"/>
    <x v="4"/>
    <x v="11"/>
    <x v="4"/>
    <x v="2"/>
    <x v="2"/>
    <x v="13"/>
    <x v="17"/>
    <x v="423"/>
    <x v="423"/>
  </r>
  <r>
    <x v="214"/>
    <x v="5"/>
    <x v="9"/>
    <x v="0"/>
    <x v="0"/>
    <x v="0"/>
    <x v="19"/>
    <x v="2"/>
    <x v="424"/>
    <x v="424"/>
  </r>
  <r>
    <x v="31"/>
    <x v="2"/>
    <x v="6"/>
    <x v="2"/>
    <x v="1"/>
    <x v="3"/>
    <x v="10"/>
    <x v="14"/>
    <x v="425"/>
    <x v="425"/>
  </r>
  <r>
    <x v="252"/>
    <x v="8"/>
    <x v="12"/>
    <x v="2"/>
    <x v="1"/>
    <x v="0"/>
    <x v="11"/>
    <x v="18"/>
    <x v="426"/>
    <x v="426"/>
  </r>
  <r>
    <x v="231"/>
    <x v="7"/>
    <x v="3"/>
    <x v="1"/>
    <x v="1"/>
    <x v="0"/>
    <x v="11"/>
    <x v="2"/>
    <x v="427"/>
    <x v="427"/>
  </r>
  <r>
    <x v="161"/>
    <x v="3"/>
    <x v="7"/>
    <x v="3"/>
    <x v="0"/>
    <x v="4"/>
    <x v="15"/>
    <x v="7"/>
    <x v="428"/>
    <x v="428"/>
  </r>
  <r>
    <x v="44"/>
    <x v="7"/>
    <x v="2"/>
    <x v="2"/>
    <x v="1"/>
    <x v="2"/>
    <x v="2"/>
    <x v="0"/>
    <x v="429"/>
    <x v="429"/>
  </r>
  <r>
    <x v="117"/>
    <x v="9"/>
    <x v="9"/>
    <x v="0"/>
    <x v="0"/>
    <x v="4"/>
    <x v="15"/>
    <x v="15"/>
    <x v="430"/>
    <x v="430"/>
  </r>
  <r>
    <x v="155"/>
    <x v="7"/>
    <x v="2"/>
    <x v="2"/>
    <x v="1"/>
    <x v="2"/>
    <x v="13"/>
    <x v="14"/>
    <x v="431"/>
    <x v="431"/>
  </r>
  <r>
    <x v="253"/>
    <x v="0"/>
    <x v="5"/>
    <x v="1"/>
    <x v="1"/>
    <x v="1"/>
    <x v="14"/>
    <x v="12"/>
    <x v="432"/>
    <x v="432"/>
  </r>
  <r>
    <x v="59"/>
    <x v="6"/>
    <x v="6"/>
    <x v="2"/>
    <x v="1"/>
    <x v="2"/>
    <x v="2"/>
    <x v="3"/>
    <x v="433"/>
    <x v="433"/>
  </r>
  <r>
    <x v="125"/>
    <x v="2"/>
    <x v="12"/>
    <x v="2"/>
    <x v="1"/>
    <x v="1"/>
    <x v="1"/>
    <x v="9"/>
    <x v="434"/>
    <x v="434"/>
  </r>
  <r>
    <x v="104"/>
    <x v="8"/>
    <x v="1"/>
    <x v="1"/>
    <x v="1"/>
    <x v="3"/>
    <x v="10"/>
    <x v="19"/>
    <x v="435"/>
    <x v="435"/>
  </r>
  <r>
    <x v="33"/>
    <x v="6"/>
    <x v="3"/>
    <x v="1"/>
    <x v="1"/>
    <x v="4"/>
    <x v="6"/>
    <x v="2"/>
    <x v="436"/>
    <x v="436"/>
  </r>
  <r>
    <x v="118"/>
    <x v="8"/>
    <x v="7"/>
    <x v="3"/>
    <x v="0"/>
    <x v="1"/>
    <x v="1"/>
    <x v="13"/>
    <x v="437"/>
    <x v="437"/>
  </r>
  <r>
    <x v="175"/>
    <x v="9"/>
    <x v="11"/>
    <x v="4"/>
    <x v="2"/>
    <x v="0"/>
    <x v="17"/>
    <x v="13"/>
    <x v="438"/>
    <x v="438"/>
  </r>
  <r>
    <x v="203"/>
    <x v="8"/>
    <x v="5"/>
    <x v="1"/>
    <x v="1"/>
    <x v="2"/>
    <x v="7"/>
    <x v="13"/>
    <x v="439"/>
    <x v="439"/>
  </r>
  <r>
    <x v="97"/>
    <x v="0"/>
    <x v="4"/>
    <x v="0"/>
    <x v="0"/>
    <x v="2"/>
    <x v="2"/>
    <x v="4"/>
    <x v="440"/>
    <x v="440"/>
  </r>
  <r>
    <x v="84"/>
    <x v="1"/>
    <x v="7"/>
    <x v="3"/>
    <x v="0"/>
    <x v="1"/>
    <x v="14"/>
    <x v="2"/>
    <x v="441"/>
    <x v="441"/>
  </r>
  <r>
    <x v="254"/>
    <x v="5"/>
    <x v="7"/>
    <x v="3"/>
    <x v="0"/>
    <x v="1"/>
    <x v="14"/>
    <x v="18"/>
    <x v="442"/>
    <x v="442"/>
  </r>
  <r>
    <x v="127"/>
    <x v="5"/>
    <x v="3"/>
    <x v="1"/>
    <x v="1"/>
    <x v="3"/>
    <x v="3"/>
    <x v="7"/>
    <x v="443"/>
    <x v="443"/>
  </r>
  <r>
    <x v="250"/>
    <x v="1"/>
    <x v="7"/>
    <x v="3"/>
    <x v="0"/>
    <x v="0"/>
    <x v="17"/>
    <x v="19"/>
    <x v="444"/>
    <x v="444"/>
  </r>
  <r>
    <x v="101"/>
    <x v="2"/>
    <x v="2"/>
    <x v="2"/>
    <x v="1"/>
    <x v="0"/>
    <x v="11"/>
    <x v="8"/>
    <x v="445"/>
    <x v="445"/>
  </r>
  <r>
    <x v="65"/>
    <x v="8"/>
    <x v="10"/>
    <x v="3"/>
    <x v="0"/>
    <x v="4"/>
    <x v="15"/>
    <x v="16"/>
    <x v="446"/>
    <x v="446"/>
  </r>
  <r>
    <x v="228"/>
    <x v="4"/>
    <x v="3"/>
    <x v="1"/>
    <x v="1"/>
    <x v="2"/>
    <x v="8"/>
    <x v="14"/>
    <x v="447"/>
    <x v="447"/>
  </r>
  <r>
    <x v="6"/>
    <x v="7"/>
    <x v="0"/>
    <x v="0"/>
    <x v="0"/>
    <x v="0"/>
    <x v="11"/>
    <x v="6"/>
    <x v="448"/>
    <x v="448"/>
  </r>
  <r>
    <x v="139"/>
    <x v="4"/>
    <x v="10"/>
    <x v="3"/>
    <x v="0"/>
    <x v="3"/>
    <x v="10"/>
    <x v="12"/>
    <x v="449"/>
    <x v="449"/>
  </r>
  <r>
    <x v="76"/>
    <x v="5"/>
    <x v="2"/>
    <x v="2"/>
    <x v="1"/>
    <x v="1"/>
    <x v="1"/>
    <x v="3"/>
    <x v="450"/>
    <x v="450"/>
  </r>
  <r>
    <x v="69"/>
    <x v="4"/>
    <x v="13"/>
    <x v="4"/>
    <x v="2"/>
    <x v="1"/>
    <x v="1"/>
    <x v="16"/>
    <x v="451"/>
    <x v="451"/>
  </r>
  <r>
    <x v="151"/>
    <x v="7"/>
    <x v="8"/>
    <x v="4"/>
    <x v="2"/>
    <x v="2"/>
    <x v="13"/>
    <x v="11"/>
    <x v="452"/>
    <x v="452"/>
  </r>
  <r>
    <x v="255"/>
    <x v="5"/>
    <x v="0"/>
    <x v="0"/>
    <x v="0"/>
    <x v="3"/>
    <x v="3"/>
    <x v="13"/>
    <x v="453"/>
    <x v="453"/>
  </r>
  <r>
    <x v="31"/>
    <x v="7"/>
    <x v="0"/>
    <x v="0"/>
    <x v="0"/>
    <x v="1"/>
    <x v="4"/>
    <x v="5"/>
    <x v="454"/>
    <x v="454"/>
  </r>
  <r>
    <x v="251"/>
    <x v="7"/>
    <x v="7"/>
    <x v="3"/>
    <x v="0"/>
    <x v="2"/>
    <x v="2"/>
    <x v="9"/>
    <x v="455"/>
    <x v="455"/>
  </r>
  <r>
    <x v="84"/>
    <x v="7"/>
    <x v="3"/>
    <x v="1"/>
    <x v="1"/>
    <x v="2"/>
    <x v="13"/>
    <x v="18"/>
    <x v="456"/>
    <x v="456"/>
  </r>
  <r>
    <x v="180"/>
    <x v="6"/>
    <x v="13"/>
    <x v="4"/>
    <x v="2"/>
    <x v="0"/>
    <x v="19"/>
    <x v="5"/>
    <x v="457"/>
    <x v="457"/>
  </r>
  <r>
    <x v="44"/>
    <x v="0"/>
    <x v="10"/>
    <x v="3"/>
    <x v="0"/>
    <x v="1"/>
    <x v="1"/>
    <x v="6"/>
    <x v="458"/>
    <x v="458"/>
  </r>
  <r>
    <x v="256"/>
    <x v="6"/>
    <x v="9"/>
    <x v="0"/>
    <x v="0"/>
    <x v="1"/>
    <x v="18"/>
    <x v="6"/>
    <x v="459"/>
    <x v="459"/>
  </r>
  <r>
    <x v="124"/>
    <x v="6"/>
    <x v="11"/>
    <x v="4"/>
    <x v="2"/>
    <x v="1"/>
    <x v="1"/>
    <x v="3"/>
    <x v="460"/>
    <x v="460"/>
  </r>
  <r>
    <x v="257"/>
    <x v="9"/>
    <x v="8"/>
    <x v="4"/>
    <x v="2"/>
    <x v="4"/>
    <x v="15"/>
    <x v="8"/>
    <x v="461"/>
    <x v="461"/>
  </r>
  <r>
    <x v="96"/>
    <x v="9"/>
    <x v="12"/>
    <x v="2"/>
    <x v="1"/>
    <x v="3"/>
    <x v="10"/>
    <x v="4"/>
    <x v="462"/>
    <x v="462"/>
  </r>
  <r>
    <x v="258"/>
    <x v="1"/>
    <x v="11"/>
    <x v="4"/>
    <x v="2"/>
    <x v="3"/>
    <x v="9"/>
    <x v="6"/>
    <x v="463"/>
    <x v="463"/>
  </r>
  <r>
    <x v="257"/>
    <x v="9"/>
    <x v="2"/>
    <x v="2"/>
    <x v="1"/>
    <x v="1"/>
    <x v="14"/>
    <x v="19"/>
    <x v="464"/>
    <x v="464"/>
  </r>
  <r>
    <x v="229"/>
    <x v="1"/>
    <x v="11"/>
    <x v="4"/>
    <x v="2"/>
    <x v="3"/>
    <x v="3"/>
    <x v="17"/>
    <x v="465"/>
    <x v="465"/>
  </r>
  <r>
    <x v="259"/>
    <x v="4"/>
    <x v="6"/>
    <x v="2"/>
    <x v="1"/>
    <x v="4"/>
    <x v="6"/>
    <x v="5"/>
    <x v="466"/>
    <x v="466"/>
  </r>
  <r>
    <x v="93"/>
    <x v="9"/>
    <x v="3"/>
    <x v="1"/>
    <x v="1"/>
    <x v="3"/>
    <x v="10"/>
    <x v="1"/>
    <x v="467"/>
    <x v="467"/>
  </r>
  <r>
    <x v="201"/>
    <x v="9"/>
    <x v="5"/>
    <x v="1"/>
    <x v="1"/>
    <x v="3"/>
    <x v="9"/>
    <x v="11"/>
    <x v="468"/>
    <x v="468"/>
  </r>
  <r>
    <x v="213"/>
    <x v="3"/>
    <x v="1"/>
    <x v="1"/>
    <x v="1"/>
    <x v="2"/>
    <x v="13"/>
    <x v="14"/>
    <x v="469"/>
    <x v="469"/>
  </r>
  <r>
    <x v="24"/>
    <x v="1"/>
    <x v="7"/>
    <x v="3"/>
    <x v="0"/>
    <x v="2"/>
    <x v="7"/>
    <x v="13"/>
    <x v="470"/>
    <x v="470"/>
  </r>
  <r>
    <x v="120"/>
    <x v="7"/>
    <x v="8"/>
    <x v="4"/>
    <x v="2"/>
    <x v="1"/>
    <x v="14"/>
    <x v="5"/>
    <x v="471"/>
    <x v="471"/>
  </r>
  <r>
    <x v="186"/>
    <x v="3"/>
    <x v="0"/>
    <x v="0"/>
    <x v="0"/>
    <x v="4"/>
    <x v="5"/>
    <x v="15"/>
    <x v="472"/>
    <x v="472"/>
  </r>
  <r>
    <x v="260"/>
    <x v="1"/>
    <x v="13"/>
    <x v="4"/>
    <x v="2"/>
    <x v="3"/>
    <x v="9"/>
    <x v="1"/>
    <x v="473"/>
    <x v="473"/>
  </r>
  <r>
    <x v="261"/>
    <x v="1"/>
    <x v="14"/>
    <x v="3"/>
    <x v="0"/>
    <x v="2"/>
    <x v="7"/>
    <x v="18"/>
    <x v="474"/>
    <x v="474"/>
  </r>
  <r>
    <x v="251"/>
    <x v="6"/>
    <x v="0"/>
    <x v="0"/>
    <x v="0"/>
    <x v="0"/>
    <x v="17"/>
    <x v="11"/>
    <x v="475"/>
    <x v="475"/>
  </r>
  <r>
    <x v="231"/>
    <x v="9"/>
    <x v="14"/>
    <x v="3"/>
    <x v="0"/>
    <x v="4"/>
    <x v="6"/>
    <x v="1"/>
    <x v="476"/>
    <x v="476"/>
  </r>
  <r>
    <x v="119"/>
    <x v="0"/>
    <x v="5"/>
    <x v="1"/>
    <x v="1"/>
    <x v="4"/>
    <x v="5"/>
    <x v="15"/>
    <x v="477"/>
    <x v="477"/>
  </r>
  <r>
    <x v="262"/>
    <x v="8"/>
    <x v="14"/>
    <x v="3"/>
    <x v="0"/>
    <x v="1"/>
    <x v="18"/>
    <x v="9"/>
    <x v="478"/>
    <x v="478"/>
  </r>
  <r>
    <x v="53"/>
    <x v="9"/>
    <x v="7"/>
    <x v="3"/>
    <x v="0"/>
    <x v="3"/>
    <x v="10"/>
    <x v="9"/>
    <x v="479"/>
    <x v="479"/>
  </r>
  <r>
    <x v="134"/>
    <x v="3"/>
    <x v="12"/>
    <x v="2"/>
    <x v="1"/>
    <x v="4"/>
    <x v="15"/>
    <x v="0"/>
    <x v="480"/>
    <x v="480"/>
  </r>
  <r>
    <x v="263"/>
    <x v="6"/>
    <x v="9"/>
    <x v="0"/>
    <x v="0"/>
    <x v="1"/>
    <x v="4"/>
    <x v="0"/>
    <x v="481"/>
    <x v="481"/>
  </r>
  <r>
    <x v="61"/>
    <x v="2"/>
    <x v="6"/>
    <x v="2"/>
    <x v="1"/>
    <x v="0"/>
    <x v="0"/>
    <x v="13"/>
    <x v="482"/>
    <x v="482"/>
  </r>
  <r>
    <x v="4"/>
    <x v="2"/>
    <x v="12"/>
    <x v="2"/>
    <x v="1"/>
    <x v="1"/>
    <x v="18"/>
    <x v="15"/>
    <x v="483"/>
    <x v="483"/>
  </r>
  <r>
    <x v="264"/>
    <x v="8"/>
    <x v="4"/>
    <x v="0"/>
    <x v="0"/>
    <x v="1"/>
    <x v="1"/>
    <x v="7"/>
    <x v="484"/>
    <x v="484"/>
  </r>
  <r>
    <x v="262"/>
    <x v="5"/>
    <x v="8"/>
    <x v="4"/>
    <x v="2"/>
    <x v="3"/>
    <x v="3"/>
    <x v="5"/>
    <x v="485"/>
    <x v="485"/>
  </r>
  <r>
    <x v="265"/>
    <x v="0"/>
    <x v="7"/>
    <x v="3"/>
    <x v="0"/>
    <x v="4"/>
    <x v="16"/>
    <x v="2"/>
    <x v="486"/>
    <x v="486"/>
  </r>
  <r>
    <x v="198"/>
    <x v="1"/>
    <x v="0"/>
    <x v="0"/>
    <x v="0"/>
    <x v="3"/>
    <x v="10"/>
    <x v="1"/>
    <x v="487"/>
    <x v="487"/>
  </r>
  <r>
    <x v="113"/>
    <x v="9"/>
    <x v="8"/>
    <x v="4"/>
    <x v="2"/>
    <x v="1"/>
    <x v="4"/>
    <x v="6"/>
    <x v="488"/>
    <x v="488"/>
  </r>
  <r>
    <x v="8"/>
    <x v="1"/>
    <x v="11"/>
    <x v="4"/>
    <x v="2"/>
    <x v="4"/>
    <x v="16"/>
    <x v="0"/>
    <x v="489"/>
    <x v="489"/>
  </r>
  <r>
    <x v="266"/>
    <x v="4"/>
    <x v="0"/>
    <x v="0"/>
    <x v="0"/>
    <x v="3"/>
    <x v="10"/>
    <x v="16"/>
    <x v="490"/>
    <x v="490"/>
  </r>
  <r>
    <x v="213"/>
    <x v="3"/>
    <x v="5"/>
    <x v="1"/>
    <x v="1"/>
    <x v="1"/>
    <x v="14"/>
    <x v="15"/>
    <x v="491"/>
    <x v="491"/>
  </r>
  <r>
    <x v="53"/>
    <x v="2"/>
    <x v="8"/>
    <x v="4"/>
    <x v="2"/>
    <x v="1"/>
    <x v="4"/>
    <x v="4"/>
    <x v="492"/>
    <x v="492"/>
  </r>
  <r>
    <x v="141"/>
    <x v="2"/>
    <x v="13"/>
    <x v="4"/>
    <x v="2"/>
    <x v="3"/>
    <x v="9"/>
    <x v="2"/>
    <x v="493"/>
    <x v="493"/>
  </r>
  <r>
    <x v="257"/>
    <x v="1"/>
    <x v="7"/>
    <x v="3"/>
    <x v="0"/>
    <x v="4"/>
    <x v="6"/>
    <x v="11"/>
    <x v="494"/>
    <x v="494"/>
  </r>
  <r>
    <x v="267"/>
    <x v="5"/>
    <x v="11"/>
    <x v="4"/>
    <x v="2"/>
    <x v="3"/>
    <x v="3"/>
    <x v="12"/>
    <x v="495"/>
    <x v="495"/>
  </r>
  <r>
    <x v="268"/>
    <x v="8"/>
    <x v="11"/>
    <x v="4"/>
    <x v="2"/>
    <x v="1"/>
    <x v="14"/>
    <x v="10"/>
    <x v="496"/>
    <x v="496"/>
  </r>
  <r>
    <x v="269"/>
    <x v="4"/>
    <x v="4"/>
    <x v="0"/>
    <x v="0"/>
    <x v="4"/>
    <x v="6"/>
    <x v="3"/>
    <x v="497"/>
    <x v="497"/>
  </r>
  <r>
    <x v="179"/>
    <x v="5"/>
    <x v="13"/>
    <x v="4"/>
    <x v="2"/>
    <x v="2"/>
    <x v="8"/>
    <x v="9"/>
    <x v="498"/>
    <x v="498"/>
  </r>
  <r>
    <x v="270"/>
    <x v="3"/>
    <x v="6"/>
    <x v="2"/>
    <x v="1"/>
    <x v="1"/>
    <x v="18"/>
    <x v="1"/>
    <x v="499"/>
    <x v="499"/>
  </r>
  <r>
    <x v="271"/>
    <x v="1"/>
    <x v="4"/>
    <x v="0"/>
    <x v="0"/>
    <x v="1"/>
    <x v="14"/>
    <x v="13"/>
    <x v="500"/>
    <x v="500"/>
  </r>
  <r>
    <x v="101"/>
    <x v="7"/>
    <x v="7"/>
    <x v="3"/>
    <x v="0"/>
    <x v="4"/>
    <x v="15"/>
    <x v="6"/>
    <x v="501"/>
    <x v="501"/>
  </r>
  <r>
    <x v="177"/>
    <x v="3"/>
    <x v="6"/>
    <x v="2"/>
    <x v="1"/>
    <x v="0"/>
    <x v="17"/>
    <x v="9"/>
    <x v="502"/>
    <x v="502"/>
  </r>
  <r>
    <x v="253"/>
    <x v="1"/>
    <x v="10"/>
    <x v="3"/>
    <x v="0"/>
    <x v="2"/>
    <x v="2"/>
    <x v="18"/>
    <x v="503"/>
    <x v="503"/>
  </r>
  <r>
    <x v="272"/>
    <x v="1"/>
    <x v="0"/>
    <x v="0"/>
    <x v="0"/>
    <x v="1"/>
    <x v="1"/>
    <x v="14"/>
    <x v="504"/>
    <x v="504"/>
  </r>
  <r>
    <x v="273"/>
    <x v="6"/>
    <x v="9"/>
    <x v="0"/>
    <x v="0"/>
    <x v="4"/>
    <x v="15"/>
    <x v="13"/>
    <x v="505"/>
    <x v="505"/>
  </r>
  <r>
    <x v="274"/>
    <x v="3"/>
    <x v="3"/>
    <x v="1"/>
    <x v="1"/>
    <x v="2"/>
    <x v="13"/>
    <x v="5"/>
    <x v="506"/>
    <x v="506"/>
  </r>
  <r>
    <x v="249"/>
    <x v="4"/>
    <x v="8"/>
    <x v="4"/>
    <x v="2"/>
    <x v="2"/>
    <x v="2"/>
    <x v="3"/>
    <x v="507"/>
    <x v="507"/>
  </r>
  <r>
    <x v="275"/>
    <x v="3"/>
    <x v="10"/>
    <x v="3"/>
    <x v="0"/>
    <x v="1"/>
    <x v="1"/>
    <x v="4"/>
    <x v="508"/>
    <x v="508"/>
  </r>
  <r>
    <x v="276"/>
    <x v="4"/>
    <x v="8"/>
    <x v="4"/>
    <x v="2"/>
    <x v="0"/>
    <x v="17"/>
    <x v="12"/>
    <x v="509"/>
    <x v="509"/>
  </r>
  <r>
    <x v="37"/>
    <x v="9"/>
    <x v="0"/>
    <x v="0"/>
    <x v="0"/>
    <x v="2"/>
    <x v="2"/>
    <x v="16"/>
    <x v="510"/>
    <x v="510"/>
  </r>
  <r>
    <x v="275"/>
    <x v="5"/>
    <x v="13"/>
    <x v="4"/>
    <x v="2"/>
    <x v="3"/>
    <x v="3"/>
    <x v="19"/>
    <x v="511"/>
    <x v="511"/>
  </r>
  <r>
    <x v="85"/>
    <x v="8"/>
    <x v="1"/>
    <x v="1"/>
    <x v="1"/>
    <x v="4"/>
    <x v="5"/>
    <x v="17"/>
    <x v="512"/>
    <x v="512"/>
  </r>
  <r>
    <x v="194"/>
    <x v="9"/>
    <x v="13"/>
    <x v="4"/>
    <x v="2"/>
    <x v="1"/>
    <x v="18"/>
    <x v="18"/>
    <x v="513"/>
    <x v="513"/>
  </r>
  <r>
    <x v="138"/>
    <x v="6"/>
    <x v="8"/>
    <x v="4"/>
    <x v="2"/>
    <x v="2"/>
    <x v="2"/>
    <x v="4"/>
    <x v="514"/>
    <x v="514"/>
  </r>
  <r>
    <x v="277"/>
    <x v="7"/>
    <x v="10"/>
    <x v="3"/>
    <x v="0"/>
    <x v="1"/>
    <x v="4"/>
    <x v="7"/>
    <x v="515"/>
    <x v="515"/>
  </r>
  <r>
    <x v="2"/>
    <x v="4"/>
    <x v="12"/>
    <x v="2"/>
    <x v="1"/>
    <x v="1"/>
    <x v="14"/>
    <x v="6"/>
    <x v="516"/>
    <x v="516"/>
  </r>
  <r>
    <x v="27"/>
    <x v="2"/>
    <x v="2"/>
    <x v="2"/>
    <x v="1"/>
    <x v="3"/>
    <x v="10"/>
    <x v="16"/>
    <x v="517"/>
    <x v="517"/>
  </r>
  <r>
    <x v="278"/>
    <x v="4"/>
    <x v="0"/>
    <x v="0"/>
    <x v="0"/>
    <x v="3"/>
    <x v="3"/>
    <x v="19"/>
    <x v="518"/>
    <x v="518"/>
  </r>
  <r>
    <x v="10"/>
    <x v="5"/>
    <x v="12"/>
    <x v="2"/>
    <x v="1"/>
    <x v="4"/>
    <x v="16"/>
    <x v="3"/>
    <x v="519"/>
    <x v="519"/>
  </r>
  <r>
    <x v="121"/>
    <x v="3"/>
    <x v="0"/>
    <x v="0"/>
    <x v="0"/>
    <x v="3"/>
    <x v="3"/>
    <x v="17"/>
    <x v="520"/>
    <x v="520"/>
  </r>
  <r>
    <x v="279"/>
    <x v="9"/>
    <x v="0"/>
    <x v="0"/>
    <x v="0"/>
    <x v="0"/>
    <x v="11"/>
    <x v="1"/>
    <x v="521"/>
    <x v="521"/>
  </r>
  <r>
    <x v="109"/>
    <x v="3"/>
    <x v="1"/>
    <x v="1"/>
    <x v="1"/>
    <x v="0"/>
    <x v="17"/>
    <x v="10"/>
    <x v="522"/>
    <x v="522"/>
  </r>
  <r>
    <x v="280"/>
    <x v="6"/>
    <x v="0"/>
    <x v="0"/>
    <x v="0"/>
    <x v="3"/>
    <x v="9"/>
    <x v="13"/>
    <x v="523"/>
    <x v="523"/>
  </r>
  <r>
    <x v="281"/>
    <x v="9"/>
    <x v="2"/>
    <x v="2"/>
    <x v="1"/>
    <x v="3"/>
    <x v="12"/>
    <x v="1"/>
    <x v="524"/>
    <x v="524"/>
  </r>
  <r>
    <x v="282"/>
    <x v="0"/>
    <x v="7"/>
    <x v="3"/>
    <x v="0"/>
    <x v="3"/>
    <x v="9"/>
    <x v="16"/>
    <x v="525"/>
    <x v="525"/>
  </r>
  <r>
    <x v="155"/>
    <x v="7"/>
    <x v="11"/>
    <x v="4"/>
    <x v="2"/>
    <x v="0"/>
    <x v="0"/>
    <x v="1"/>
    <x v="526"/>
    <x v="526"/>
  </r>
  <r>
    <x v="283"/>
    <x v="4"/>
    <x v="6"/>
    <x v="2"/>
    <x v="1"/>
    <x v="2"/>
    <x v="7"/>
    <x v="4"/>
    <x v="527"/>
    <x v="527"/>
  </r>
  <r>
    <x v="215"/>
    <x v="7"/>
    <x v="6"/>
    <x v="2"/>
    <x v="1"/>
    <x v="0"/>
    <x v="0"/>
    <x v="4"/>
    <x v="528"/>
    <x v="528"/>
  </r>
  <r>
    <x v="284"/>
    <x v="8"/>
    <x v="11"/>
    <x v="4"/>
    <x v="2"/>
    <x v="2"/>
    <x v="8"/>
    <x v="9"/>
    <x v="529"/>
    <x v="529"/>
  </r>
  <r>
    <x v="285"/>
    <x v="6"/>
    <x v="7"/>
    <x v="3"/>
    <x v="0"/>
    <x v="4"/>
    <x v="6"/>
    <x v="13"/>
    <x v="530"/>
    <x v="530"/>
  </r>
  <r>
    <x v="10"/>
    <x v="9"/>
    <x v="12"/>
    <x v="2"/>
    <x v="1"/>
    <x v="2"/>
    <x v="13"/>
    <x v="8"/>
    <x v="531"/>
    <x v="531"/>
  </r>
  <r>
    <x v="30"/>
    <x v="8"/>
    <x v="1"/>
    <x v="1"/>
    <x v="1"/>
    <x v="0"/>
    <x v="19"/>
    <x v="2"/>
    <x v="532"/>
    <x v="532"/>
  </r>
  <r>
    <x v="276"/>
    <x v="7"/>
    <x v="6"/>
    <x v="2"/>
    <x v="1"/>
    <x v="0"/>
    <x v="11"/>
    <x v="19"/>
    <x v="533"/>
    <x v="533"/>
  </r>
  <r>
    <x v="275"/>
    <x v="1"/>
    <x v="1"/>
    <x v="1"/>
    <x v="1"/>
    <x v="2"/>
    <x v="7"/>
    <x v="17"/>
    <x v="534"/>
    <x v="534"/>
  </r>
  <r>
    <x v="286"/>
    <x v="2"/>
    <x v="14"/>
    <x v="3"/>
    <x v="0"/>
    <x v="2"/>
    <x v="8"/>
    <x v="15"/>
    <x v="535"/>
    <x v="535"/>
  </r>
  <r>
    <x v="24"/>
    <x v="0"/>
    <x v="11"/>
    <x v="4"/>
    <x v="2"/>
    <x v="1"/>
    <x v="14"/>
    <x v="14"/>
    <x v="536"/>
    <x v="536"/>
  </r>
  <r>
    <x v="6"/>
    <x v="8"/>
    <x v="3"/>
    <x v="1"/>
    <x v="1"/>
    <x v="2"/>
    <x v="8"/>
    <x v="1"/>
    <x v="537"/>
    <x v="537"/>
  </r>
  <r>
    <x v="166"/>
    <x v="5"/>
    <x v="10"/>
    <x v="3"/>
    <x v="0"/>
    <x v="0"/>
    <x v="17"/>
    <x v="11"/>
    <x v="538"/>
    <x v="538"/>
  </r>
  <r>
    <x v="280"/>
    <x v="8"/>
    <x v="5"/>
    <x v="1"/>
    <x v="1"/>
    <x v="2"/>
    <x v="8"/>
    <x v="12"/>
    <x v="539"/>
    <x v="539"/>
  </r>
  <r>
    <x v="287"/>
    <x v="0"/>
    <x v="7"/>
    <x v="3"/>
    <x v="0"/>
    <x v="2"/>
    <x v="13"/>
    <x v="19"/>
    <x v="540"/>
    <x v="540"/>
  </r>
  <r>
    <x v="63"/>
    <x v="4"/>
    <x v="6"/>
    <x v="2"/>
    <x v="1"/>
    <x v="2"/>
    <x v="13"/>
    <x v="0"/>
    <x v="541"/>
    <x v="541"/>
  </r>
  <r>
    <x v="268"/>
    <x v="1"/>
    <x v="13"/>
    <x v="4"/>
    <x v="2"/>
    <x v="2"/>
    <x v="8"/>
    <x v="8"/>
    <x v="542"/>
    <x v="542"/>
  </r>
  <r>
    <x v="288"/>
    <x v="1"/>
    <x v="13"/>
    <x v="4"/>
    <x v="2"/>
    <x v="3"/>
    <x v="10"/>
    <x v="17"/>
    <x v="543"/>
    <x v="543"/>
  </r>
  <r>
    <x v="230"/>
    <x v="5"/>
    <x v="10"/>
    <x v="3"/>
    <x v="0"/>
    <x v="1"/>
    <x v="4"/>
    <x v="15"/>
    <x v="544"/>
    <x v="544"/>
  </r>
  <r>
    <x v="261"/>
    <x v="9"/>
    <x v="4"/>
    <x v="0"/>
    <x v="0"/>
    <x v="2"/>
    <x v="8"/>
    <x v="6"/>
    <x v="545"/>
    <x v="545"/>
  </r>
  <r>
    <x v="289"/>
    <x v="7"/>
    <x v="4"/>
    <x v="0"/>
    <x v="0"/>
    <x v="1"/>
    <x v="18"/>
    <x v="18"/>
    <x v="546"/>
    <x v="546"/>
  </r>
  <r>
    <x v="278"/>
    <x v="4"/>
    <x v="13"/>
    <x v="4"/>
    <x v="2"/>
    <x v="3"/>
    <x v="9"/>
    <x v="10"/>
    <x v="547"/>
    <x v="547"/>
  </r>
  <r>
    <x v="185"/>
    <x v="2"/>
    <x v="10"/>
    <x v="3"/>
    <x v="0"/>
    <x v="3"/>
    <x v="12"/>
    <x v="14"/>
    <x v="548"/>
    <x v="548"/>
  </r>
  <r>
    <x v="285"/>
    <x v="3"/>
    <x v="14"/>
    <x v="3"/>
    <x v="0"/>
    <x v="4"/>
    <x v="5"/>
    <x v="7"/>
    <x v="549"/>
    <x v="549"/>
  </r>
  <r>
    <x v="181"/>
    <x v="1"/>
    <x v="11"/>
    <x v="4"/>
    <x v="2"/>
    <x v="3"/>
    <x v="10"/>
    <x v="15"/>
    <x v="550"/>
    <x v="550"/>
  </r>
  <r>
    <x v="278"/>
    <x v="4"/>
    <x v="2"/>
    <x v="2"/>
    <x v="1"/>
    <x v="4"/>
    <x v="6"/>
    <x v="11"/>
    <x v="551"/>
    <x v="551"/>
  </r>
  <r>
    <x v="215"/>
    <x v="8"/>
    <x v="9"/>
    <x v="0"/>
    <x v="0"/>
    <x v="1"/>
    <x v="18"/>
    <x v="6"/>
    <x v="552"/>
    <x v="552"/>
  </r>
  <r>
    <x v="277"/>
    <x v="8"/>
    <x v="7"/>
    <x v="3"/>
    <x v="0"/>
    <x v="1"/>
    <x v="1"/>
    <x v="0"/>
    <x v="553"/>
    <x v="553"/>
  </r>
  <r>
    <x v="237"/>
    <x v="7"/>
    <x v="4"/>
    <x v="0"/>
    <x v="0"/>
    <x v="3"/>
    <x v="3"/>
    <x v="13"/>
    <x v="554"/>
    <x v="554"/>
  </r>
  <r>
    <x v="101"/>
    <x v="9"/>
    <x v="13"/>
    <x v="4"/>
    <x v="2"/>
    <x v="1"/>
    <x v="14"/>
    <x v="14"/>
    <x v="555"/>
    <x v="555"/>
  </r>
  <r>
    <x v="11"/>
    <x v="6"/>
    <x v="5"/>
    <x v="1"/>
    <x v="1"/>
    <x v="4"/>
    <x v="6"/>
    <x v="11"/>
    <x v="556"/>
    <x v="556"/>
  </r>
  <r>
    <x v="219"/>
    <x v="1"/>
    <x v="5"/>
    <x v="1"/>
    <x v="1"/>
    <x v="2"/>
    <x v="2"/>
    <x v="3"/>
    <x v="557"/>
    <x v="557"/>
  </r>
  <r>
    <x v="272"/>
    <x v="6"/>
    <x v="8"/>
    <x v="4"/>
    <x v="2"/>
    <x v="0"/>
    <x v="17"/>
    <x v="17"/>
    <x v="558"/>
    <x v="558"/>
  </r>
  <r>
    <x v="290"/>
    <x v="0"/>
    <x v="13"/>
    <x v="4"/>
    <x v="2"/>
    <x v="0"/>
    <x v="0"/>
    <x v="19"/>
    <x v="559"/>
    <x v="559"/>
  </r>
  <r>
    <x v="188"/>
    <x v="4"/>
    <x v="2"/>
    <x v="2"/>
    <x v="1"/>
    <x v="4"/>
    <x v="6"/>
    <x v="10"/>
    <x v="560"/>
    <x v="560"/>
  </r>
  <r>
    <x v="146"/>
    <x v="0"/>
    <x v="9"/>
    <x v="0"/>
    <x v="0"/>
    <x v="2"/>
    <x v="8"/>
    <x v="19"/>
    <x v="561"/>
    <x v="561"/>
  </r>
  <r>
    <x v="218"/>
    <x v="3"/>
    <x v="11"/>
    <x v="4"/>
    <x v="2"/>
    <x v="2"/>
    <x v="2"/>
    <x v="8"/>
    <x v="562"/>
    <x v="562"/>
  </r>
  <r>
    <x v="291"/>
    <x v="3"/>
    <x v="9"/>
    <x v="0"/>
    <x v="0"/>
    <x v="0"/>
    <x v="0"/>
    <x v="19"/>
    <x v="563"/>
    <x v="563"/>
  </r>
  <r>
    <x v="292"/>
    <x v="7"/>
    <x v="6"/>
    <x v="2"/>
    <x v="1"/>
    <x v="3"/>
    <x v="12"/>
    <x v="5"/>
    <x v="564"/>
    <x v="564"/>
  </r>
  <r>
    <x v="293"/>
    <x v="1"/>
    <x v="0"/>
    <x v="0"/>
    <x v="0"/>
    <x v="4"/>
    <x v="5"/>
    <x v="2"/>
    <x v="565"/>
    <x v="565"/>
  </r>
  <r>
    <x v="294"/>
    <x v="4"/>
    <x v="8"/>
    <x v="4"/>
    <x v="2"/>
    <x v="4"/>
    <x v="5"/>
    <x v="8"/>
    <x v="566"/>
    <x v="566"/>
  </r>
  <r>
    <x v="112"/>
    <x v="1"/>
    <x v="7"/>
    <x v="3"/>
    <x v="0"/>
    <x v="3"/>
    <x v="10"/>
    <x v="18"/>
    <x v="567"/>
    <x v="567"/>
  </r>
  <r>
    <x v="8"/>
    <x v="8"/>
    <x v="9"/>
    <x v="0"/>
    <x v="0"/>
    <x v="0"/>
    <x v="19"/>
    <x v="4"/>
    <x v="568"/>
    <x v="568"/>
  </r>
  <r>
    <x v="125"/>
    <x v="0"/>
    <x v="5"/>
    <x v="1"/>
    <x v="1"/>
    <x v="2"/>
    <x v="2"/>
    <x v="5"/>
    <x v="569"/>
    <x v="569"/>
  </r>
  <r>
    <x v="248"/>
    <x v="5"/>
    <x v="8"/>
    <x v="4"/>
    <x v="2"/>
    <x v="4"/>
    <x v="15"/>
    <x v="17"/>
    <x v="570"/>
    <x v="570"/>
  </r>
  <r>
    <x v="295"/>
    <x v="5"/>
    <x v="2"/>
    <x v="2"/>
    <x v="1"/>
    <x v="2"/>
    <x v="7"/>
    <x v="11"/>
    <x v="571"/>
    <x v="571"/>
  </r>
  <r>
    <x v="63"/>
    <x v="5"/>
    <x v="2"/>
    <x v="2"/>
    <x v="1"/>
    <x v="3"/>
    <x v="10"/>
    <x v="4"/>
    <x v="572"/>
    <x v="572"/>
  </r>
  <r>
    <x v="70"/>
    <x v="0"/>
    <x v="1"/>
    <x v="1"/>
    <x v="1"/>
    <x v="2"/>
    <x v="13"/>
    <x v="2"/>
    <x v="573"/>
    <x v="573"/>
  </r>
  <r>
    <x v="48"/>
    <x v="5"/>
    <x v="3"/>
    <x v="1"/>
    <x v="1"/>
    <x v="1"/>
    <x v="4"/>
    <x v="12"/>
    <x v="574"/>
    <x v="574"/>
  </r>
  <r>
    <x v="85"/>
    <x v="2"/>
    <x v="7"/>
    <x v="3"/>
    <x v="0"/>
    <x v="0"/>
    <x v="0"/>
    <x v="19"/>
    <x v="575"/>
    <x v="575"/>
  </r>
  <r>
    <x v="296"/>
    <x v="6"/>
    <x v="2"/>
    <x v="2"/>
    <x v="1"/>
    <x v="3"/>
    <x v="10"/>
    <x v="3"/>
    <x v="576"/>
    <x v="576"/>
  </r>
  <r>
    <x v="11"/>
    <x v="2"/>
    <x v="9"/>
    <x v="0"/>
    <x v="0"/>
    <x v="4"/>
    <x v="16"/>
    <x v="13"/>
    <x v="577"/>
    <x v="577"/>
  </r>
  <r>
    <x v="233"/>
    <x v="4"/>
    <x v="6"/>
    <x v="2"/>
    <x v="1"/>
    <x v="1"/>
    <x v="4"/>
    <x v="4"/>
    <x v="578"/>
    <x v="578"/>
  </r>
  <r>
    <x v="226"/>
    <x v="0"/>
    <x v="10"/>
    <x v="3"/>
    <x v="0"/>
    <x v="1"/>
    <x v="18"/>
    <x v="8"/>
    <x v="579"/>
    <x v="579"/>
  </r>
  <r>
    <x v="257"/>
    <x v="3"/>
    <x v="1"/>
    <x v="1"/>
    <x v="1"/>
    <x v="3"/>
    <x v="3"/>
    <x v="0"/>
    <x v="580"/>
    <x v="580"/>
  </r>
  <r>
    <x v="209"/>
    <x v="4"/>
    <x v="5"/>
    <x v="1"/>
    <x v="1"/>
    <x v="4"/>
    <x v="6"/>
    <x v="5"/>
    <x v="581"/>
    <x v="581"/>
  </r>
  <r>
    <x v="297"/>
    <x v="7"/>
    <x v="1"/>
    <x v="1"/>
    <x v="1"/>
    <x v="0"/>
    <x v="19"/>
    <x v="8"/>
    <x v="582"/>
    <x v="582"/>
  </r>
  <r>
    <x v="284"/>
    <x v="2"/>
    <x v="14"/>
    <x v="3"/>
    <x v="0"/>
    <x v="3"/>
    <x v="3"/>
    <x v="5"/>
    <x v="583"/>
    <x v="583"/>
  </r>
  <r>
    <x v="246"/>
    <x v="6"/>
    <x v="8"/>
    <x v="4"/>
    <x v="2"/>
    <x v="1"/>
    <x v="14"/>
    <x v="19"/>
    <x v="584"/>
    <x v="584"/>
  </r>
  <r>
    <x v="272"/>
    <x v="2"/>
    <x v="5"/>
    <x v="1"/>
    <x v="1"/>
    <x v="4"/>
    <x v="16"/>
    <x v="8"/>
    <x v="585"/>
    <x v="585"/>
  </r>
  <r>
    <x v="119"/>
    <x v="9"/>
    <x v="4"/>
    <x v="0"/>
    <x v="0"/>
    <x v="2"/>
    <x v="8"/>
    <x v="10"/>
    <x v="586"/>
    <x v="586"/>
  </r>
  <r>
    <x v="189"/>
    <x v="6"/>
    <x v="9"/>
    <x v="0"/>
    <x v="0"/>
    <x v="1"/>
    <x v="1"/>
    <x v="7"/>
    <x v="587"/>
    <x v="587"/>
  </r>
  <r>
    <x v="18"/>
    <x v="0"/>
    <x v="1"/>
    <x v="1"/>
    <x v="1"/>
    <x v="3"/>
    <x v="12"/>
    <x v="9"/>
    <x v="588"/>
    <x v="588"/>
  </r>
  <r>
    <x v="80"/>
    <x v="6"/>
    <x v="0"/>
    <x v="0"/>
    <x v="0"/>
    <x v="2"/>
    <x v="2"/>
    <x v="15"/>
    <x v="589"/>
    <x v="589"/>
  </r>
  <r>
    <x v="288"/>
    <x v="9"/>
    <x v="2"/>
    <x v="2"/>
    <x v="1"/>
    <x v="0"/>
    <x v="17"/>
    <x v="9"/>
    <x v="590"/>
    <x v="590"/>
  </r>
  <r>
    <x v="32"/>
    <x v="1"/>
    <x v="12"/>
    <x v="2"/>
    <x v="1"/>
    <x v="1"/>
    <x v="4"/>
    <x v="8"/>
    <x v="591"/>
    <x v="591"/>
  </r>
  <r>
    <x v="148"/>
    <x v="9"/>
    <x v="2"/>
    <x v="2"/>
    <x v="1"/>
    <x v="3"/>
    <x v="3"/>
    <x v="0"/>
    <x v="592"/>
    <x v="592"/>
  </r>
  <r>
    <x v="120"/>
    <x v="1"/>
    <x v="4"/>
    <x v="0"/>
    <x v="0"/>
    <x v="1"/>
    <x v="1"/>
    <x v="8"/>
    <x v="593"/>
    <x v="593"/>
  </r>
  <r>
    <x v="122"/>
    <x v="9"/>
    <x v="6"/>
    <x v="2"/>
    <x v="1"/>
    <x v="2"/>
    <x v="8"/>
    <x v="2"/>
    <x v="594"/>
    <x v="594"/>
  </r>
  <r>
    <x v="181"/>
    <x v="3"/>
    <x v="0"/>
    <x v="0"/>
    <x v="0"/>
    <x v="4"/>
    <x v="5"/>
    <x v="8"/>
    <x v="595"/>
    <x v="595"/>
  </r>
  <r>
    <x v="71"/>
    <x v="3"/>
    <x v="14"/>
    <x v="3"/>
    <x v="0"/>
    <x v="1"/>
    <x v="18"/>
    <x v="18"/>
    <x v="596"/>
    <x v="596"/>
  </r>
  <r>
    <x v="47"/>
    <x v="5"/>
    <x v="0"/>
    <x v="0"/>
    <x v="0"/>
    <x v="4"/>
    <x v="15"/>
    <x v="9"/>
    <x v="597"/>
    <x v="597"/>
  </r>
  <r>
    <x v="298"/>
    <x v="3"/>
    <x v="0"/>
    <x v="0"/>
    <x v="0"/>
    <x v="0"/>
    <x v="0"/>
    <x v="6"/>
    <x v="598"/>
    <x v="598"/>
  </r>
  <r>
    <x v="299"/>
    <x v="1"/>
    <x v="6"/>
    <x v="2"/>
    <x v="1"/>
    <x v="1"/>
    <x v="14"/>
    <x v="19"/>
    <x v="599"/>
    <x v="599"/>
  </r>
  <r>
    <x v="67"/>
    <x v="8"/>
    <x v="0"/>
    <x v="0"/>
    <x v="0"/>
    <x v="2"/>
    <x v="7"/>
    <x v="13"/>
    <x v="600"/>
    <x v="600"/>
  </r>
  <r>
    <x v="54"/>
    <x v="4"/>
    <x v="6"/>
    <x v="2"/>
    <x v="1"/>
    <x v="1"/>
    <x v="4"/>
    <x v="6"/>
    <x v="601"/>
    <x v="601"/>
  </r>
  <r>
    <x v="261"/>
    <x v="4"/>
    <x v="7"/>
    <x v="3"/>
    <x v="0"/>
    <x v="4"/>
    <x v="16"/>
    <x v="14"/>
    <x v="602"/>
    <x v="602"/>
  </r>
  <r>
    <x v="300"/>
    <x v="9"/>
    <x v="10"/>
    <x v="3"/>
    <x v="0"/>
    <x v="3"/>
    <x v="12"/>
    <x v="16"/>
    <x v="603"/>
    <x v="603"/>
  </r>
  <r>
    <x v="260"/>
    <x v="2"/>
    <x v="6"/>
    <x v="2"/>
    <x v="1"/>
    <x v="2"/>
    <x v="2"/>
    <x v="10"/>
    <x v="604"/>
    <x v="604"/>
  </r>
  <r>
    <x v="288"/>
    <x v="0"/>
    <x v="7"/>
    <x v="3"/>
    <x v="0"/>
    <x v="0"/>
    <x v="17"/>
    <x v="11"/>
    <x v="605"/>
    <x v="605"/>
  </r>
  <r>
    <x v="216"/>
    <x v="8"/>
    <x v="0"/>
    <x v="0"/>
    <x v="0"/>
    <x v="0"/>
    <x v="11"/>
    <x v="13"/>
    <x v="606"/>
    <x v="606"/>
  </r>
  <r>
    <x v="266"/>
    <x v="8"/>
    <x v="1"/>
    <x v="1"/>
    <x v="1"/>
    <x v="0"/>
    <x v="17"/>
    <x v="14"/>
    <x v="607"/>
    <x v="607"/>
  </r>
  <r>
    <x v="149"/>
    <x v="9"/>
    <x v="7"/>
    <x v="3"/>
    <x v="0"/>
    <x v="0"/>
    <x v="11"/>
    <x v="2"/>
    <x v="608"/>
    <x v="608"/>
  </r>
  <r>
    <x v="14"/>
    <x v="5"/>
    <x v="12"/>
    <x v="2"/>
    <x v="1"/>
    <x v="2"/>
    <x v="13"/>
    <x v="0"/>
    <x v="609"/>
    <x v="609"/>
  </r>
  <r>
    <x v="260"/>
    <x v="3"/>
    <x v="0"/>
    <x v="0"/>
    <x v="0"/>
    <x v="2"/>
    <x v="2"/>
    <x v="0"/>
    <x v="610"/>
    <x v="610"/>
  </r>
  <r>
    <x v="139"/>
    <x v="7"/>
    <x v="10"/>
    <x v="3"/>
    <x v="0"/>
    <x v="1"/>
    <x v="4"/>
    <x v="19"/>
    <x v="611"/>
    <x v="611"/>
  </r>
  <r>
    <x v="301"/>
    <x v="6"/>
    <x v="5"/>
    <x v="1"/>
    <x v="1"/>
    <x v="3"/>
    <x v="12"/>
    <x v="0"/>
    <x v="612"/>
    <x v="612"/>
  </r>
  <r>
    <x v="93"/>
    <x v="4"/>
    <x v="9"/>
    <x v="0"/>
    <x v="0"/>
    <x v="0"/>
    <x v="0"/>
    <x v="19"/>
    <x v="613"/>
    <x v="613"/>
  </r>
  <r>
    <x v="196"/>
    <x v="3"/>
    <x v="8"/>
    <x v="4"/>
    <x v="2"/>
    <x v="4"/>
    <x v="5"/>
    <x v="18"/>
    <x v="614"/>
    <x v="614"/>
  </r>
  <r>
    <x v="206"/>
    <x v="0"/>
    <x v="2"/>
    <x v="2"/>
    <x v="1"/>
    <x v="3"/>
    <x v="12"/>
    <x v="15"/>
    <x v="615"/>
    <x v="615"/>
  </r>
  <r>
    <x v="162"/>
    <x v="3"/>
    <x v="7"/>
    <x v="3"/>
    <x v="0"/>
    <x v="4"/>
    <x v="16"/>
    <x v="12"/>
    <x v="616"/>
    <x v="616"/>
  </r>
  <r>
    <x v="302"/>
    <x v="1"/>
    <x v="7"/>
    <x v="3"/>
    <x v="0"/>
    <x v="3"/>
    <x v="3"/>
    <x v="9"/>
    <x v="617"/>
    <x v="617"/>
  </r>
  <r>
    <x v="292"/>
    <x v="4"/>
    <x v="1"/>
    <x v="1"/>
    <x v="1"/>
    <x v="0"/>
    <x v="17"/>
    <x v="16"/>
    <x v="618"/>
    <x v="618"/>
  </r>
  <r>
    <x v="85"/>
    <x v="4"/>
    <x v="4"/>
    <x v="0"/>
    <x v="0"/>
    <x v="0"/>
    <x v="17"/>
    <x v="7"/>
    <x v="619"/>
    <x v="619"/>
  </r>
  <r>
    <x v="194"/>
    <x v="9"/>
    <x v="9"/>
    <x v="0"/>
    <x v="0"/>
    <x v="4"/>
    <x v="5"/>
    <x v="19"/>
    <x v="620"/>
    <x v="620"/>
  </r>
  <r>
    <x v="159"/>
    <x v="8"/>
    <x v="2"/>
    <x v="2"/>
    <x v="1"/>
    <x v="3"/>
    <x v="10"/>
    <x v="10"/>
    <x v="621"/>
    <x v="621"/>
  </r>
  <r>
    <x v="131"/>
    <x v="9"/>
    <x v="3"/>
    <x v="1"/>
    <x v="1"/>
    <x v="4"/>
    <x v="15"/>
    <x v="15"/>
    <x v="622"/>
    <x v="622"/>
  </r>
  <r>
    <x v="303"/>
    <x v="7"/>
    <x v="5"/>
    <x v="1"/>
    <x v="1"/>
    <x v="4"/>
    <x v="16"/>
    <x v="6"/>
    <x v="623"/>
    <x v="623"/>
  </r>
  <r>
    <x v="127"/>
    <x v="7"/>
    <x v="12"/>
    <x v="2"/>
    <x v="1"/>
    <x v="4"/>
    <x v="5"/>
    <x v="2"/>
    <x v="624"/>
    <x v="624"/>
  </r>
  <r>
    <x v="84"/>
    <x v="0"/>
    <x v="7"/>
    <x v="3"/>
    <x v="0"/>
    <x v="0"/>
    <x v="11"/>
    <x v="14"/>
    <x v="625"/>
    <x v="625"/>
  </r>
  <r>
    <x v="120"/>
    <x v="6"/>
    <x v="13"/>
    <x v="4"/>
    <x v="2"/>
    <x v="1"/>
    <x v="4"/>
    <x v="13"/>
    <x v="626"/>
    <x v="626"/>
  </r>
  <r>
    <x v="29"/>
    <x v="0"/>
    <x v="9"/>
    <x v="0"/>
    <x v="0"/>
    <x v="4"/>
    <x v="15"/>
    <x v="4"/>
    <x v="627"/>
    <x v="627"/>
  </r>
  <r>
    <x v="170"/>
    <x v="8"/>
    <x v="1"/>
    <x v="1"/>
    <x v="1"/>
    <x v="4"/>
    <x v="16"/>
    <x v="14"/>
    <x v="628"/>
    <x v="628"/>
  </r>
  <r>
    <x v="129"/>
    <x v="3"/>
    <x v="2"/>
    <x v="2"/>
    <x v="1"/>
    <x v="3"/>
    <x v="10"/>
    <x v="9"/>
    <x v="629"/>
    <x v="629"/>
  </r>
  <r>
    <x v="110"/>
    <x v="8"/>
    <x v="5"/>
    <x v="1"/>
    <x v="1"/>
    <x v="3"/>
    <x v="12"/>
    <x v="3"/>
    <x v="630"/>
    <x v="630"/>
  </r>
  <r>
    <x v="249"/>
    <x v="9"/>
    <x v="5"/>
    <x v="1"/>
    <x v="1"/>
    <x v="2"/>
    <x v="7"/>
    <x v="4"/>
    <x v="631"/>
    <x v="631"/>
  </r>
  <r>
    <x v="270"/>
    <x v="3"/>
    <x v="3"/>
    <x v="1"/>
    <x v="1"/>
    <x v="3"/>
    <x v="9"/>
    <x v="11"/>
    <x v="632"/>
    <x v="632"/>
  </r>
  <r>
    <x v="186"/>
    <x v="5"/>
    <x v="6"/>
    <x v="2"/>
    <x v="1"/>
    <x v="1"/>
    <x v="14"/>
    <x v="3"/>
    <x v="633"/>
    <x v="633"/>
  </r>
  <r>
    <x v="304"/>
    <x v="9"/>
    <x v="10"/>
    <x v="3"/>
    <x v="0"/>
    <x v="2"/>
    <x v="8"/>
    <x v="4"/>
    <x v="634"/>
    <x v="634"/>
  </r>
  <r>
    <x v="168"/>
    <x v="4"/>
    <x v="0"/>
    <x v="0"/>
    <x v="0"/>
    <x v="0"/>
    <x v="19"/>
    <x v="11"/>
    <x v="635"/>
    <x v="635"/>
  </r>
  <r>
    <x v="75"/>
    <x v="2"/>
    <x v="2"/>
    <x v="2"/>
    <x v="1"/>
    <x v="1"/>
    <x v="14"/>
    <x v="8"/>
    <x v="636"/>
    <x v="636"/>
  </r>
  <r>
    <x v="218"/>
    <x v="7"/>
    <x v="3"/>
    <x v="1"/>
    <x v="1"/>
    <x v="0"/>
    <x v="11"/>
    <x v="16"/>
    <x v="637"/>
    <x v="637"/>
  </r>
  <r>
    <x v="112"/>
    <x v="4"/>
    <x v="6"/>
    <x v="2"/>
    <x v="1"/>
    <x v="1"/>
    <x v="14"/>
    <x v="13"/>
    <x v="638"/>
    <x v="638"/>
  </r>
  <r>
    <x v="89"/>
    <x v="4"/>
    <x v="10"/>
    <x v="3"/>
    <x v="0"/>
    <x v="2"/>
    <x v="7"/>
    <x v="7"/>
    <x v="639"/>
    <x v="639"/>
  </r>
  <r>
    <x v="305"/>
    <x v="1"/>
    <x v="13"/>
    <x v="4"/>
    <x v="2"/>
    <x v="1"/>
    <x v="14"/>
    <x v="18"/>
    <x v="640"/>
    <x v="640"/>
  </r>
  <r>
    <x v="115"/>
    <x v="2"/>
    <x v="0"/>
    <x v="0"/>
    <x v="0"/>
    <x v="0"/>
    <x v="19"/>
    <x v="17"/>
    <x v="641"/>
    <x v="641"/>
  </r>
  <r>
    <x v="135"/>
    <x v="0"/>
    <x v="5"/>
    <x v="1"/>
    <x v="1"/>
    <x v="2"/>
    <x v="13"/>
    <x v="8"/>
    <x v="642"/>
    <x v="642"/>
  </r>
  <r>
    <x v="203"/>
    <x v="0"/>
    <x v="3"/>
    <x v="1"/>
    <x v="1"/>
    <x v="3"/>
    <x v="9"/>
    <x v="12"/>
    <x v="643"/>
    <x v="643"/>
  </r>
  <r>
    <x v="295"/>
    <x v="8"/>
    <x v="10"/>
    <x v="3"/>
    <x v="0"/>
    <x v="2"/>
    <x v="7"/>
    <x v="12"/>
    <x v="644"/>
    <x v="644"/>
  </r>
  <r>
    <x v="293"/>
    <x v="5"/>
    <x v="5"/>
    <x v="1"/>
    <x v="1"/>
    <x v="0"/>
    <x v="17"/>
    <x v="5"/>
    <x v="645"/>
    <x v="645"/>
  </r>
  <r>
    <x v="14"/>
    <x v="7"/>
    <x v="11"/>
    <x v="4"/>
    <x v="2"/>
    <x v="0"/>
    <x v="0"/>
    <x v="17"/>
    <x v="646"/>
    <x v="646"/>
  </r>
  <r>
    <x v="193"/>
    <x v="7"/>
    <x v="2"/>
    <x v="2"/>
    <x v="1"/>
    <x v="2"/>
    <x v="8"/>
    <x v="3"/>
    <x v="647"/>
    <x v="647"/>
  </r>
  <r>
    <x v="69"/>
    <x v="1"/>
    <x v="6"/>
    <x v="2"/>
    <x v="1"/>
    <x v="1"/>
    <x v="1"/>
    <x v="6"/>
    <x v="648"/>
    <x v="648"/>
  </r>
  <r>
    <x v="97"/>
    <x v="0"/>
    <x v="10"/>
    <x v="3"/>
    <x v="0"/>
    <x v="3"/>
    <x v="3"/>
    <x v="12"/>
    <x v="649"/>
    <x v="649"/>
  </r>
  <r>
    <x v="55"/>
    <x v="0"/>
    <x v="9"/>
    <x v="0"/>
    <x v="0"/>
    <x v="4"/>
    <x v="6"/>
    <x v="11"/>
    <x v="650"/>
    <x v="650"/>
  </r>
  <r>
    <x v="133"/>
    <x v="6"/>
    <x v="14"/>
    <x v="3"/>
    <x v="0"/>
    <x v="0"/>
    <x v="0"/>
    <x v="14"/>
    <x v="651"/>
    <x v="651"/>
  </r>
  <r>
    <x v="240"/>
    <x v="3"/>
    <x v="11"/>
    <x v="4"/>
    <x v="2"/>
    <x v="4"/>
    <x v="15"/>
    <x v="6"/>
    <x v="652"/>
    <x v="652"/>
  </r>
  <r>
    <x v="129"/>
    <x v="0"/>
    <x v="12"/>
    <x v="2"/>
    <x v="1"/>
    <x v="3"/>
    <x v="3"/>
    <x v="10"/>
    <x v="653"/>
    <x v="653"/>
  </r>
  <r>
    <x v="101"/>
    <x v="8"/>
    <x v="8"/>
    <x v="4"/>
    <x v="2"/>
    <x v="0"/>
    <x v="17"/>
    <x v="10"/>
    <x v="654"/>
    <x v="654"/>
  </r>
  <r>
    <x v="302"/>
    <x v="9"/>
    <x v="4"/>
    <x v="0"/>
    <x v="0"/>
    <x v="3"/>
    <x v="9"/>
    <x v="7"/>
    <x v="655"/>
    <x v="655"/>
  </r>
  <r>
    <x v="156"/>
    <x v="7"/>
    <x v="3"/>
    <x v="1"/>
    <x v="1"/>
    <x v="4"/>
    <x v="15"/>
    <x v="6"/>
    <x v="656"/>
    <x v="656"/>
  </r>
  <r>
    <x v="275"/>
    <x v="1"/>
    <x v="12"/>
    <x v="2"/>
    <x v="1"/>
    <x v="0"/>
    <x v="17"/>
    <x v="18"/>
    <x v="657"/>
    <x v="657"/>
  </r>
  <r>
    <x v="306"/>
    <x v="4"/>
    <x v="2"/>
    <x v="2"/>
    <x v="1"/>
    <x v="4"/>
    <x v="15"/>
    <x v="3"/>
    <x v="658"/>
    <x v="658"/>
  </r>
  <r>
    <x v="11"/>
    <x v="8"/>
    <x v="0"/>
    <x v="0"/>
    <x v="0"/>
    <x v="0"/>
    <x v="0"/>
    <x v="19"/>
    <x v="659"/>
    <x v="659"/>
  </r>
  <r>
    <x v="174"/>
    <x v="3"/>
    <x v="2"/>
    <x v="2"/>
    <x v="1"/>
    <x v="4"/>
    <x v="16"/>
    <x v="10"/>
    <x v="660"/>
    <x v="660"/>
  </r>
  <r>
    <x v="242"/>
    <x v="0"/>
    <x v="8"/>
    <x v="4"/>
    <x v="2"/>
    <x v="4"/>
    <x v="16"/>
    <x v="9"/>
    <x v="661"/>
    <x v="661"/>
  </r>
  <r>
    <x v="233"/>
    <x v="1"/>
    <x v="14"/>
    <x v="3"/>
    <x v="0"/>
    <x v="3"/>
    <x v="12"/>
    <x v="17"/>
    <x v="662"/>
    <x v="662"/>
  </r>
  <r>
    <x v="52"/>
    <x v="1"/>
    <x v="9"/>
    <x v="0"/>
    <x v="0"/>
    <x v="2"/>
    <x v="13"/>
    <x v="12"/>
    <x v="663"/>
    <x v="663"/>
  </r>
  <r>
    <x v="79"/>
    <x v="2"/>
    <x v="6"/>
    <x v="2"/>
    <x v="1"/>
    <x v="3"/>
    <x v="10"/>
    <x v="16"/>
    <x v="664"/>
    <x v="664"/>
  </r>
  <r>
    <x v="270"/>
    <x v="7"/>
    <x v="1"/>
    <x v="1"/>
    <x v="1"/>
    <x v="0"/>
    <x v="11"/>
    <x v="4"/>
    <x v="665"/>
    <x v="665"/>
  </r>
  <r>
    <x v="307"/>
    <x v="7"/>
    <x v="11"/>
    <x v="4"/>
    <x v="2"/>
    <x v="4"/>
    <x v="15"/>
    <x v="7"/>
    <x v="666"/>
    <x v="666"/>
  </r>
  <r>
    <x v="308"/>
    <x v="8"/>
    <x v="7"/>
    <x v="3"/>
    <x v="0"/>
    <x v="0"/>
    <x v="11"/>
    <x v="9"/>
    <x v="667"/>
    <x v="667"/>
  </r>
  <r>
    <x v="121"/>
    <x v="1"/>
    <x v="9"/>
    <x v="0"/>
    <x v="0"/>
    <x v="2"/>
    <x v="13"/>
    <x v="18"/>
    <x v="668"/>
    <x v="668"/>
  </r>
  <r>
    <x v="70"/>
    <x v="2"/>
    <x v="10"/>
    <x v="3"/>
    <x v="0"/>
    <x v="2"/>
    <x v="2"/>
    <x v="9"/>
    <x v="669"/>
    <x v="669"/>
  </r>
  <r>
    <x v="120"/>
    <x v="9"/>
    <x v="11"/>
    <x v="4"/>
    <x v="2"/>
    <x v="0"/>
    <x v="11"/>
    <x v="3"/>
    <x v="670"/>
    <x v="670"/>
  </r>
  <r>
    <x v="309"/>
    <x v="9"/>
    <x v="1"/>
    <x v="1"/>
    <x v="1"/>
    <x v="4"/>
    <x v="6"/>
    <x v="10"/>
    <x v="671"/>
    <x v="671"/>
  </r>
  <r>
    <x v="294"/>
    <x v="4"/>
    <x v="10"/>
    <x v="3"/>
    <x v="0"/>
    <x v="2"/>
    <x v="7"/>
    <x v="3"/>
    <x v="672"/>
    <x v="672"/>
  </r>
  <r>
    <x v="309"/>
    <x v="5"/>
    <x v="7"/>
    <x v="3"/>
    <x v="0"/>
    <x v="2"/>
    <x v="2"/>
    <x v="13"/>
    <x v="673"/>
    <x v="673"/>
  </r>
  <r>
    <x v="64"/>
    <x v="8"/>
    <x v="8"/>
    <x v="4"/>
    <x v="2"/>
    <x v="3"/>
    <x v="12"/>
    <x v="14"/>
    <x v="674"/>
    <x v="674"/>
  </r>
  <r>
    <x v="310"/>
    <x v="1"/>
    <x v="5"/>
    <x v="1"/>
    <x v="1"/>
    <x v="1"/>
    <x v="1"/>
    <x v="8"/>
    <x v="675"/>
    <x v="675"/>
  </r>
  <r>
    <x v="232"/>
    <x v="0"/>
    <x v="1"/>
    <x v="1"/>
    <x v="1"/>
    <x v="4"/>
    <x v="5"/>
    <x v="19"/>
    <x v="676"/>
    <x v="676"/>
  </r>
  <r>
    <x v="0"/>
    <x v="4"/>
    <x v="7"/>
    <x v="3"/>
    <x v="0"/>
    <x v="1"/>
    <x v="4"/>
    <x v="15"/>
    <x v="677"/>
    <x v="677"/>
  </r>
  <r>
    <x v="311"/>
    <x v="5"/>
    <x v="6"/>
    <x v="2"/>
    <x v="1"/>
    <x v="1"/>
    <x v="18"/>
    <x v="1"/>
    <x v="678"/>
    <x v="678"/>
  </r>
  <r>
    <x v="42"/>
    <x v="5"/>
    <x v="14"/>
    <x v="3"/>
    <x v="0"/>
    <x v="0"/>
    <x v="0"/>
    <x v="12"/>
    <x v="679"/>
    <x v="679"/>
  </r>
  <r>
    <x v="312"/>
    <x v="3"/>
    <x v="12"/>
    <x v="2"/>
    <x v="1"/>
    <x v="1"/>
    <x v="4"/>
    <x v="11"/>
    <x v="680"/>
    <x v="680"/>
  </r>
  <r>
    <x v="69"/>
    <x v="1"/>
    <x v="10"/>
    <x v="3"/>
    <x v="0"/>
    <x v="2"/>
    <x v="7"/>
    <x v="13"/>
    <x v="681"/>
    <x v="681"/>
  </r>
  <r>
    <x v="313"/>
    <x v="3"/>
    <x v="7"/>
    <x v="3"/>
    <x v="0"/>
    <x v="2"/>
    <x v="2"/>
    <x v="3"/>
    <x v="682"/>
    <x v="682"/>
  </r>
  <r>
    <x v="152"/>
    <x v="8"/>
    <x v="5"/>
    <x v="1"/>
    <x v="1"/>
    <x v="3"/>
    <x v="3"/>
    <x v="16"/>
    <x v="683"/>
    <x v="683"/>
  </r>
  <r>
    <x v="210"/>
    <x v="8"/>
    <x v="14"/>
    <x v="3"/>
    <x v="0"/>
    <x v="0"/>
    <x v="17"/>
    <x v="5"/>
    <x v="684"/>
    <x v="684"/>
  </r>
  <r>
    <x v="202"/>
    <x v="9"/>
    <x v="1"/>
    <x v="1"/>
    <x v="1"/>
    <x v="0"/>
    <x v="17"/>
    <x v="11"/>
    <x v="685"/>
    <x v="685"/>
  </r>
  <r>
    <x v="287"/>
    <x v="8"/>
    <x v="2"/>
    <x v="2"/>
    <x v="1"/>
    <x v="0"/>
    <x v="0"/>
    <x v="5"/>
    <x v="686"/>
    <x v="686"/>
  </r>
  <r>
    <x v="314"/>
    <x v="0"/>
    <x v="4"/>
    <x v="0"/>
    <x v="0"/>
    <x v="2"/>
    <x v="2"/>
    <x v="17"/>
    <x v="687"/>
    <x v="687"/>
  </r>
  <r>
    <x v="101"/>
    <x v="2"/>
    <x v="14"/>
    <x v="3"/>
    <x v="0"/>
    <x v="3"/>
    <x v="9"/>
    <x v="7"/>
    <x v="688"/>
    <x v="688"/>
  </r>
  <r>
    <x v="25"/>
    <x v="0"/>
    <x v="1"/>
    <x v="1"/>
    <x v="1"/>
    <x v="0"/>
    <x v="19"/>
    <x v="16"/>
    <x v="689"/>
    <x v="689"/>
  </r>
  <r>
    <x v="171"/>
    <x v="1"/>
    <x v="14"/>
    <x v="3"/>
    <x v="0"/>
    <x v="2"/>
    <x v="13"/>
    <x v="2"/>
    <x v="690"/>
    <x v="690"/>
  </r>
  <r>
    <x v="95"/>
    <x v="4"/>
    <x v="2"/>
    <x v="2"/>
    <x v="1"/>
    <x v="0"/>
    <x v="19"/>
    <x v="5"/>
    <x v="691"/>
    <x v="691"/>
  </r>
  <r>
    <x v="38"/>
    <x v="2"/>
    <x v="7"/>
    <x v="3"/>
    <x v="0"/>
    <x v="1"/>
    <x v="14"/>
    <x v="3"/>
    <x v="692"/>
    <x v="692"/>
  </r>
  <r>
    <x v="142"/>
    <x v="8"/>
    <x v="1"/>
    <x v="1"/>
    <x v="1"/>
    <x v="2"/>
    <x v="8"/>
    <x v="14"/>
    <x v="693"/>
    <x v="693"/>
  </r>
  <r>
    <x v="276"/>
    <x v="6"/>
    <x v="5"/>
    <x v="1"/>
    <x v="1"/>
    <x v="4"/>
    <x v="16"/>
    <x v="10"/>
    <x v="694"/>
    <x v="694"/>
  </r>
  <r>
    <x v="160"/>
    <x v="3"/>
    <x v="7"/>
    <x v="3"/>
    <x v="0"/>
    <x v="4"/>
    <x v="6"/>
    <x v="2"/>
    <x v="695"/>
    <x v="695"/>
  </r>
  <r>
    <x v="215"/>
    <x v="5"/>
    <x v="9"/>
    <x v="0"/>
    <x v="0"/>
    <x v="2"/>
    <x v="8"/>
    <x v="0"/>
    <x v="696"/>
    <x v="696"/>
  </r>
  <r>
    <x v="133"/>
    <x v="0"/>
    <x v="13"/>
    <x v="4"/>
    <x v="2"/>
    <x v="0"/>
    <x v="19"/>
    <x v="15"/>
    <x v="697"/>
    <x v="697"/>
  </r>
  <r>
    <x v="222"/>
    <x v="4"/>
    <x v="3"/>
    <x v="1"/>
    <x v="1"/>
    <x v="1"/>
    <x v="14"/>
    <x v="17"/>
    <x v="698"/>
    <x v="698"/>
  </r>
  <r>
    <x v="194"/>
    <x v="3"/>
    <x v="4"/>
    <x v="0"/>
    <x v="0"/>
    <x v="3"/>
    <x v="10"/>
    <x v="4"/>
    <x v="699"/>
    <x v="699"/>
  </r>
  <r>
    <x v="167"/>
    <x v="0"/>
    <x v="0"/>
    <x v="0"/>
    <x v="0"/>
    <x v="4"/>
    <x v="6"/>
    <x v="19"/>
    <x v="700"/>
    <x v="700"/>
  </r>
  <r>
    <x v="69"/>
    <x v="9"/>
    <x v="8"/>
    <x v="4"/>
    <x v="2"/>
    <x v="1"/>
    <x v="1"/>
    <x v="19"/>
    <x v="701"/>
    <x v="701"/>
  </r>
  <r>
    <x v="142"/>
    <x v="9"/>
    <x v="6"/>
    <x v="2"/>
    <x v="1"/>
    <x v="3"/>
    <x v="10"/>
    <x v="8"/>
    <x v="702"/>
    <x v="702"/>
  </r>
  <r>
    <x v="16"/>
    <x v="6"/>
    <x v="2"/>
    <x v="2"/>
    <x v="1"/>
    <x v="0"/>
    <x v="11"/>
    <x v="12"/>
    <x v="703"/>
    <x v="703"/>
  </r>
  <r>
    <x v="169"/>
    <x v="3"/>
    <x v="4"/>
    <x v="0"/>
    <x v="0"/>
    <x v="0"/>
    <x v="17"/>
    <x v="11"/>
    <x v="704"/>
    <x v="704"/>
  </r>
  <r>
    <x v="315"/>
    <x v="3"/>
    <x v="4"/>
    <x v="0"/>
    <x v="0"/>
    <x v="1"/>
    <x v="1"/>
    <x v="8"/>
    <x v="705"/>
    <x v="705"/>
  </r>
  <r>
    <x v="36"/>
    <x v="1"/>
    <x v="10"/>
    <x v="3"/>
    <x v="0"/>
    <x v="1"/>
    <x v="18"/>
    <x v="8"/>
    <x v="706"/>
    <x v="706"/>
  </r>
  <r>
    <x v="99"/>
    <x v="3"/>
    <x v="2"/>
    <x v="2"/>
    <x v="1"/>
    <x v="1"/>
    <x v="18"/>
    <x v="16"/>
    <x v="707"/>
    <x v="707"/>
  </r>
  <r>
    <x v="101"/>
    <x v="2"/>
    <x v="5"/>
    <x v="1"/>
    <x v="1"/>
    <x v="0"/>
    <x v="17"/>
    <x v="6"/>
    <x v="708"/>
    <x v="708"/>
  </r>
  <r>
    <x v="3"/>
    <x v="9"/>
    <x v="5"/>
    <x v="1"/>
    <x v="1"/>
    <x v="4"/>
    <x v="16"/>
    <x v="13"/>
    <x v="709"/>
    <x v="709"/>
  </r>
  <r>
    <x v="221"/>
    <x v="0"/>
    <x v="9"/>
    <x v="0"/>
    <x v="0"/>
    <x v="4"/>
    <x v="16"/>
    <x v="7"/>
    <x v="710"/>
    <x v="710"/>
  </r>
  <r>
    <x v="172"/>
    <x v="8"/>
    <x v="9"/>
    <x v="0"/>
    <x v="0"/>
    <x v="2"/>
    <x v="7"/>
    <x v="7"/>
    <x v="711"/>
    <x v="711"/>
  </r>
  <r>
    <x v="316"/>
    <x v="9"/>
    <x v="1"/>
    <x v="1"/>
    <x v="1"/>
    <x v="3"/>
    <x v="10"/>
    <x v="2"/>
    <x v="712"/>
    <x v="712"/>
  </r>
  <r>
    <x v="128"/>
    <x v="2"/>
    <x v="4"/>
    <x v="0"/>
    <x v="0"/>
    <x v="3"/>
    <x v="3"/>
    <x v="16"/>
    <x v="713"/>
    <x v="713"/>
  </r>
  <r>
    <x v="79"/>
    <x v="5"/>
    <x v="3"/>
    <x v="1"/>
    <x v="1"/>
    <x v="1"/>
    <x v="14"/>
    <x v="18"/>
    <x v="714"/>
    <x v="714"/>
  </r>
  <r>
    <x v="317"/>
    <x v="3"/>
    <x v="4"/>
    <x v="0"/>
    <x v="0"/>
    <x v="0"/>
    <x v="17"/>
    <x v="9"/>
    <x v="715"/>
    <x v="715"/>
  </r>
  <r>
    <x v="253"/>
    <x v="2"/>
    <x v="1"/>
    <x v="1"/>
    <x v="1"/>
    <x v="4"/>
    <x v="5"/>
    <x v="14"/>
    <x v="716"/>
    <x v="716"/>
  </r>
  <r>
    <x v="99"/>
    <x v="7"/>
    <x v="7"/>
    <x v="3"/>
    <x v="0"/>
    <x v="4"/>
    <x v="6"/>
    <x v="11"/>
    <x v="717"/>
    <x v="717"/>
  </r>
  <r>
    <x v="299"/>
    <x v="7"/>
    <x v="14"/>
    <x v="3"/>
    <x v="0"/>
    <x v="3"/>
    <x v="12"/>
    <x v="10"/>
    <x v="718"/>
    <x v="718"/>
  </r>
  <r>
    <x v="171"/>
    <x v="9"/>
    <x v="8"/>
    <x v="4"/>
    <x v="2"/>
    <x v="2"/>
    <x v="7"/>
    <x v="9"/>
    <x v="719"/>
    <x v="719"/>
  </r>
  <r>
    <x v="208"/>
    <x v="6"/>
    <x v="4"/>
    <x v="0"/>
    <x v="0"/>
    <x v="3"/>
    <x v="3"/>
    <x v="0"/>
    <x v="720"/>
    <x v="720"/>
  </r>
  <r>
    <x v="252"/>
    <x v="4"/>
    <x v="5"/>
    <x v="1"/>
    <x v="1"/>
    <x v="4"/>
    <x v="16"/>
    <x v="18"/>
    <x v="721"/>
    <x v="721"/>
  </r>
  <r>
    <x v="5"/>
    <x v="8"/>
    <x v="11"/>
    <x v="4"/>
    <x v="2"/>
    <x v="1"/>
    <x v="14"/>
    <x v="3"/>
    <x v="722"/>
    <x v="722"/>
  </r>
  <r>
    <x v="51"/>
    <x v="7"/>
    <x v="13"/>
    <x v="4"/>
    <x v="2"/>
    <x v="3"/>
    <x v="12"/>
    <x v="14"/>
    <x v="723"/>
    <x v="723"/>
  </r>
  <r>
    <x v="214"/>
    <x v="0"/>
    <x v="8"/>
    <x v="4"/>
    <x v="2"/>
    <x v="1"/>
    <x v="14"/>
    <x v="9"/>
    <x v="724"/>
    <x v="724"/>
  </r>
  <r>
    <x v="196"/>
    <x v="7"/>
    <x v="6"/>
    <x v="2"/>
    <x v="1"/>
    <x v="4"/>
    <x v="5"/>
    <x v="14"/>
    <x v="725"/>
    <x v="725"/>
  </r>
  <r>
    <x v="61"/>
    <x v="8"/>
    <x v="7"/>
    <x v="3"/>
    <x v="0"/>
    <x v="2"/>
    <x v="2"/>
    <x v="9"/>
    <x v="726"/>
    <x v="726"/>
  </r>
  <r>
    <x v="298"/>
    <x v="4"/>
    <x v="5"/>
    <x v="1"/>
    <x v="1"/>
    <x v="1"/>
    <x v="1"/>
    <x v="1"/>
    <x v="727"/>
    <x v="727"/>
  </r>
  <r>
    <x v="318"/>
    <x v="2"/>
    <x v="1"/>
    <x v="1"/>
    <x v="1"/>
    <x v="4"/>
    <x v="15"/>
    <x v="8"/>
    <x v="728"/>
    <x v="728"/>
  </r>
  <r>
    <x v="272"/>
    <x v="5"/>
    <x v="8"/>
    <x v="4"/>
    <x v="2"/>
    <x v="0"/>
    <x v="17"/>
    <x v="8"/>
    <x v="729"/>
    <x v="729"/>
  </r>
  <r>
    <x v="126"/>
    <x v="7"/>
    <x v="1"/>
    <x v="1"/>
    <x v="1"/>
    <x v="3"/>
    <x v="9"/>
    <x v="0"/>
    <x v="730"/>
    <x v="730"/>
  </r>
  <r>
    <x v="127"/>
    <x v="3"/>
    <x v="3"/>
    <x v="1"/>
    <x v="1"/>
    <x v="4"/>
    <x v="6"/>
    <x v="9"/>
    <x v="731"/>
    <x v="731"/>
  </r>
  <r>
    <x v="254"/>
    <x v="7"/>
    <x v="10"/>
    <x v="3"/>
    <x v="0"/>
    <x v="2"/>
    <x v="13"/>
    <x v="3"/>
    <x v="732"/>
    <x v="732"/>
  </r>
  <r>
    <x v="147"/>
    <x v="7"/>
    <x v="9"/>
    <x v="0"/>
    <x v="0"/>
    <x v="2"/>
    <x v="7"/>
    <x v="7"/>
    <x v="733"/>
    <x v="733"/>
  </r>
  <r>
    <x v="261"/>
    <x v="2"/>
    <x v="11"/>
    <x v="4"/>
    <x v="2"/>
    <x v="1"/>
    <x v="1"/>
    <x v="12"/>
    <x v="734"/>
    <x v="734"/>
  </r>
  <r>
    <x v="234"/>
    <x v="7"/>
    <x v="9"/>
    <x v="0"/>
    <x v="0"/>
    <x v="1"/>
    <x v="1"/>
    <x v="9"/>
    <x v="735"/>
    <x v="735"/>
  </r>
  <r>
    <x v="150"/>
    <x v="2"/>
    <x v="13"/>
    <x v="4"/>
    <x v="2"/>
    <x v="2"/>
    <x v="7"/>
    <x v="16"/>
    <x v="736"/>
    <x v="736"/>
  </r>
  <r>
    <x v="80"/>
    <x v="5"/>
    <x v="4"/>
    <x v="0"/>
    <x v="0"/>
    <x v="1"/>
    <x v="18"/>
    <x v="19"/>
    <x v="737"/>
    <x v="737"/>
  </r>
  <r>
    <x v="227"/>
    <x v="9"/>
    <x v="3"/>
    <x v="1"/>
    <x v="1"/>
    <x v="0"/>
    <x v="19"/>
    <x v="2"/>
    <x v="738"/>
    <x v="738"/>
  </r>
  <r>
    <x v="319"/>
    <x v="8"/>
    <x v="3"/>
    <x v="1"/>
    <x v="1"/>
    <x v="4"/>
    <x v="16"/>
    <x v="16"/>
    <x v="739"/>
    <x v="739"/>
  </r>
  <r>
    <x v="154"/>
    <x v="7"/>
    <x v="5"/>
    <x v="1"/>
    <x v="1"/>
    <x v="2"/>
    <x v="8"/>
    <x v="16"/>
    <x v="740"/>
    <x v="740"/>
  </r>
  <r>
    <x v="20"/>
    <x v="1"/>
    <x v="5"/>
    <x v="1"/>
    <x v="1"/>
    <x v="4"/>
    <x v="5"/>
    <x v="6"/>
    <x v="741"/>
    <x v="741"/>
  </r>
  <r>
    <x v="209"/>
    <x v="3"/>
    <x v="10"/>
    <x v="3"/>
    <x v="0"/>
    <x v="3"/>
    <x v="9"/>
    <x v="6"/>
    <x v="742"/>
    <x v="742"/>
  </r>
  <r>
    <x v="299"/>
    <x v="9"/>
    <x v="4"/>
    <x v="0"/>
    <x v="0"/>
    <x v="0"/>
    <x v="17"/>
    <x v="13"/>
    <x v="743"/>
    <x v="743"/>
  </r>
  <r>
    <x v="320"/>
    <x v="4"/>
    <x v="13"/>
    <x v="4"/>
    <x v="2"/>
    <x v="4"/>
    <x v="5"/>
    <x v="2"/>
    <x v="744"/>
    <x v="744"/>
  </r>
  <r>
    <x v="79"/>
    <x v="0"/>
    <x v="2"/>
    <x v="2"/>
    <x v="1"/>
    <x v="3"/>
    <x v="10"/>
    <x v="2"/>
    <x v="745"/>
    <x v="745"/>
  </r>
  <r>
    <x v="235"/>
    <x v="2"/>
    <x v="8"/>
    <x v="4"/>
    <x v="2"/>
    <x v="2"/>
    <x v="2"/>
    <x v="14"/>
    <x v="746"/>
    <x v="746"/>
  </r>
  <r>
    <x v="122"/>
    <x v="2"/>
    <x v="2"/>
    <x v="2"/>
    <x v="1"/>
    <x v="0"/>
    <x v="0"/>
    <x v="5"/>
    <x v="747"/>
    <x v="747"/>
  </r>
  <r>
    <x v="68"/>
    <x v="1"/>
    <x v="7"/>
    <x v="3"/>
    <x v="0"/>
    <x v="4"/>
    <x v="6"/>
    <x v="2"/>
    <x v="748"/>
    <x v="748"/>
  </r>
  <r>
    <x v="232"/>
    <x v="1"/>
    <x v="3"/>
    <x v="1"/>
    <x v="1"/>
    <x v="3"/>
    <x v="12"/>
    <x v="2"/>
    <x v="749"/>
    <x v="749"/>
  </r>
  <r>
    <x v="297"/>
    <x v="1"/>
    <x v="4"/>
    <x v="0"/>
    <x v="0"/>
    <x v="3"/>
    <x v="10"/>
    <x v="7"/>
    <x v="750"/>
    <x v="750"/>
  </r>
  <r>
    <x v="118"/>
    <x v="3"/>
    <x v="10"/>
    <x v="3"/>
    <x v="0"/>
    <x v="2"/>
    <x v="2"/>
    <x v="19"/>
    <x v="751"/>
    <x v="751"/>
  </r>
  <r>
    <x v="290"/>
    <x v="0"/>
    <x v="11"/>
    <x v="4"/>
    <x v="2"/>
    <x v="3"/>
    <x v="3"/>
    <x v="12"/>
    <x v="752"/>
    <x v="752"/>
  </r>
  <r>
    <x v="30"/>
    <x v="2"/>
    <x v="14"/>
    <x v="3"/>
    <x v="0"/>
    <x v="0"/>
    <x v="0"/>
    <x v="9"/>
    <x v="753"/>
    <x v="753"/>
  </r>
  <r>
    <x v="313"/>
    <x v="2"/>
    <x v="13"/>
    <x v="4"/>
    <x v="2"/>
    <x v="0"/>
    <x v="11"/>
    <x v="17"/>
    <x v="754"/>
    <x v="754"/>
  </r>
  <r>
    <x v="208"/>
    <x v="2"/>
    <x v="9"/>
    <x v="0"/>
    <x v="0"/>
    <x v="2"/>
    <x v="13"/>
    <x v="0"/>
    <x v="755"/>
    <x v="755"/>
  </r>
  <r>
    <x v="315"/>
    <x v="6"/>
    <x v="11"/>
    <x v="4"/>
    <x v="2"/>
    <x v="3"/>
    <x v="9"/>
    <x v="4"/>
    <x v="756"/>
    <x v="756"/>
  </r>
  <r>
    <x v="321"/>
    <x v="1"/>
    <x v="11"/>
    <x v="4"/>
    <x v="2"/>
    <x v="1"/>
    <x v="18"/>
    <x v="8"/>
    <x v="757"/>
    <x v="757"/>
  </r>
  <r>
    <x v="322"/>
    <x v="1"/>
    <x v="1"/>
    <x v="1"/>
    <x v="1"/>
    <x v="3"/>
    <x v="3"/>
    <x v="7"/>
    <x v="758"/>
    <x v="758"/>
  </r>
  <r>
    <x v="197"/>
    <x v="5"/>
    <x v="0"/>
    <x v="0"/>
    <x v="0"/>
    <x v="1"/>
    <x v="1"/>
    <x v="6"/>
    <x v="759"/>
    <x v="759"/>
  </r>
  <r>
    <x v="323"/>
    <x v="6"/>
    <x v="2"/>
    <x v="2"/>
    <x v="1"/>
    <x v="3"/>
    <x v="10"/>
    <x v="3"/>
    <x v="760"/>
    <x v="760"/>
  </r>
  <r>
    <x v="309"/>
    <x v="7"/>
    <x v="4"/>
    <x v="0"/>
    <x v="0"/>
    <x v="4"/>
    <x v="16"/>
    <x v="11"/>
    <x v="761"/>
    <x v="761"/>
  </r>
  <r>
    <x v="324"/>
    <x v="4"/>
    <x v="5"/>
    <x v="1"/>
    <x v="1"/>
    <x v="4"/>
    <x v="6"/>
    <x v="18"/>
    <x v="762"/>
    <x v="762"/>
  </r>
  <r>
    <x v="325"/>
    <x v="6"/>
    <x v="7"/>
    <x v="3"/>
    <x v="0"/>
    <x v="0"/>
    <x v="11"/>
    <x v="7"/>
    <x v="763"/>
    <x v="763"/>
  </r>
  <r>
    <x v="258"/>
    <x v="0"/>
    <x v="4"/>
    <x v="0"/>
    <x v="0"/>
    <x v="2"/>
    <x v="8"/>
    <x v="7"/>
    <x v="764"/>
    <x v="764"/>
  </r>
  <r>
    <x v="53"/>
    <x v="8"/>
    <x v="13"/>
    <x v="4"/>
    <x v="2"/>
    <x v="3"/>
    <x v="10"/>
    <x v="19"/>
    <x v="765"/>
    <x v="765"/>
  </r>
  <r>
    <x v="298"/>
    <x v="5"/>
    <x v="9"/>
    <x v="0"/>
    <x v="0"/>
    <x v="2"/>
    <x v="8"/>
    <x v="12"/>
    <x v="766"/>
    <x v="766"/>
  </r>
  <r>
    <x v="124"/>
    <x v="2"/>
    <x v="14"/>
    <x v="3"/>
    <x v="0"/>
    <x v="3"/>
    <x v="9"/>
    <x v="19"/>
    <x v="767"/>
    <x v="767"/>
  </r>
  <r>
    <x v="326"/>
    <x v="9"/>
    <x v="2"/>
    <x v="2"/>
    <x v="1"/>
    <x v="1"/>
    <x v="4"/>
    <x v="5"/>
    <x v="768"/>
    <x v="768"/>
  </r>
  <r>
    <x v="39"/>
    <x v="4"/>
    <x v="5"/>
    <x v="1"/>
    <x v="1"/>
    <x v="2"/>
    <x v="2"/>
    <x v="4"/>
    <x v="769"/>
    <x v="769"/>
  </r>
  <r>
    <x v="112"/>
    <x v="3"/>
    <x v="3"/>
    <x v="1"/>
    <x v="1"/>
    <x v="4"/>
    <x v="15"/>
    <x v="12"/>
    <x v="770"/>
    <x v="770"/>
  </r>
  <r>
    <x v="83"/>
    <x v="6"/>
    <x v="1"/>
    <x v="1"/>
    <x v="1"/>
    <x v="3"/>
    <x v="10"/>
    <x v="11"/>
    <x v="771"/>
    <x v="771"/>
  </r>
  <r>
    <x v="300"/>
    <x v="1"/>
    <x v="6"/>
    <x v="2"/>
    <x v="1"/>
    <x v="1"/>
    <x v="4"/>
    <x v="1"/>
    <x v="772"/>
    <x v="772"/>
  </r>
  <r>
    <x v="239"/>
    <x v="1"/>
    <x v="13"/>
    <x v="4"/>
    <x v="2"/>
    <x v="0"/>
    <x v="17"/>
    <x v="12"/>
    <x v="773"/>
    <x v="773"/>
  </r>
  <r>
    <x v="274"/>
    <x v="9"/>
    <x v="4"/>
    <x v="0"/>
    <x v="0"/>
    <x v="2"/>
    <x v="2"/>
    <x v="12"/>
    <x v="774"/>
    <x v="774"/>
  </r>
  <r>
    <x v="310"/>
    <x v="8"/>
    <x v="13"/>
    <x v="4"/>
    <x v="2"/>
    <x v="3"/>
    <x v="3"/>
    <x v="1"/>
    <x v="775"/>
    <x v="775"/>
  </r>
  <r>
    <x v="117"/>
    <x v="7"/>
    <x v="14"/>
    <x v="3"/>
    <x v="0"/>
    <x v="2"/>
    <x v="13"/>
    <x v="16"/>
    <x v="776"/>
    <x v="776"/>
  </r>
  <r>
    <x v="7"/>
    <x v="0"/>
    <x v="2"/>
    <x v="2"/>
    <x v="1"/>
    <x v="3"/>
    <x v="12"/>
    <x v="1"/>
    <x v="777"/>
    <x v="777"/>
  </r>
  <r>
    <x v="184"/>
    <x v="4"/>
    <x v="2"/>
    <x v="2"/>
    <x v="1"/>
    <x v="4"/>
    <x v="5"/>
    <x v="4"/>
    <x v="778"/>
    <x v="778"/>
  </r>
  <r>
    <x v="256"/>
    <x v="3"/>
    <x v="10"/>
    <x v="3"/>
    <x v="0"/>
    <x v="3"/>
    <x v="10"/>
    <x v="4"/>
    <x v="779"/>
    <x v="779"/>
  </r>
  <r>
    <x v="224"/>
    <x v="1"/>
    <x v="9"/>
    <x v="0"/>
    <x v="0"/>
    <x v="4"/>
    <x v="6"/>
    <x v="9"/>
    <x v="780"/>
    <x v="780"/>
  </r>
  <r>
    <x v="321"/>
    <x v="9"/>
    <x v="8"/>
    <x v="4"/>
    <x v="2"/>
    <x v="0"/>
    <x v="17"/>
    <x v="16"/>
    <x v="781"/>
    <x v="781"/>
  </r>
  <r>
    <x v="317"/>
    <x v="3"/>
    <x v="13"/>
    <x v="4"/>
    <x v="2"/>
    <x v="0"/>
    <x v="11"/>
    <x v="3"/>
    <x v="782"/>
    <x v="782"/>
  </r>
  <r>
    <x v="102"/>
    <x v="9"/>
    <x v="3"/>
    <x v="1"/>
    <x v="1"/>
    <x v="1"/>
    <x v="1"/>
    <x v="8"/>
    <x v="783"/>
    <x v="783"/>
  </r>
  <r>
    <x v="46"/>
    <x v="2"/>
    <x v="6"/>
    <x v="2"/>
    <x v="1"/>
    <x v="2"/>
    <x v="2"/>
    <x v="6"/>
    <x v="784"/>
    <x v="784"/>
  </r>
  <r>
    <x v="244"/>
    <x v="8"/>
    <x v="1"/>
    <x v="1"/>
    <x v="1"/>
    <x v="2"/>
    <x v="8"/>
    <x v="1"/>
    <x v="785"/>
    <x v="785"/>
  </r>
  <r>
    <x v="140"/>
    <x v="1"/>
    <x v="2"/>
    <x v="2"/>
    <x v="1"/>
    <x v="3"/>
    <x v="10"/>
    <x v="18"/>
    <x v="786"/>
    <x v="786"/>
  </r>
  <r>
    <x v="207"/>
    <x v="4"/>
    <x v="0"/>
    <x v="0"/>
    <x v="0"/>
    <x v="2"/>
    <x v="8"/>
    <x v="6"/>
    <x v="787"/>
    <x v="787"/>
  </r>
  <r>
    <x v="71"/>
    <x v="0"/>
    <x v="14"/>
    <x v="3"/>
    <x v="0"/>
    <x v="4"/>
    <x v="15"/>
    <x v="11"/>
    <x v="788"/>
    <x v="788"/>
  </r>
  <r>
    <x v="58"/>
    <x v="7"/>
    <x v="10"/>
    <x v="3"/>
    <x v="0"/>
    <x v="1"/>
    <x v="18"/>
    <x v="8"/>
    <x v="789"/>
    <x v="789"/>
  </r>
  <r>
    <x v="295"/>
    <x v="7"/>
    <x v="14"/>
    <x v="3"/>
    <x v="0"/>
    <x v="0"/>
    <x v="19"/>
    <x v="19"/>
    <x v="790"/>
    <x v="790"/>
  </r>
  <r>
    <x v="327"/>
    <x v="5"/>
    <x v="1"/>
    <x v="1"/>
    <x v="1"/>
    <x v="0"/>
    <x v="0"/>
    <x v="4"/>
    <x v="791"/>
    <x v="791"/>
  </r>
  <r>
    <x v="236"/>
    <x v="4"/>
    <x v="6"/>
    <x v="2"/>
    <x v="1"/>
    <x v="3"/>
    <x v="12"/>
    <x v="18"/>
    <x v="792"/>
    <x v="792"/>
  </r>
  <r>
    <x v="18"/>
    <x v="1"/>
    <x v="2"/>
    <x v="2"/>
    <x v="1"/>
    <x v="2"/>
    <x v="2"/>
    <x v="11"/>
    <x v="793"/>
    <x v="793"/>
  </r>
  <r>
    <x v="84"/>
    <x v="8"/>
    <x v="11"/>
    <x v="4"/>
    <x v="2"/>
    <x v="2"/>
    <x v="8"/>
    <x v="14"/>
    <x v="794"/>
    <x v="794"/>
  </r>
  <r>
    <x v="146"/>
    <x v="9"/>
    <x v="9"/>
    <x v="0"/>
    <x v="0"/>
    <x v="0"/>
    <x v="17"/>
    <x v="6"/>
    <x v="795"/>
    <x v="795"/>
  </r>
  <r>
    <x v="249"/>
    <x v="1"/>
    <x v="6"/>
    <x v="2"/>
    <x v="1"/>
    <x v="4"/>
    <x v="5"/>
    <x v="16"/>
    <x v="796"/>
    <x v="796"/>
  </r>
  <r>
    <x v="61"/>
    <x v="2"/>
    <x v="11"/>
    <x v="4"/>
    <x v="2"/>
    <x v="1"/>
    <x v="14"/>
    <x v="18"/>
    <x v="797"/>
    <x v="797"/>
  </r>
  <r>
    <x v="269"/>
    <x v="1"/>
    <x v="4"/>
    <x v="0"/>
    <x v="0"/>
    <x v="1"/>
    <x v="1"/>
    <x v="14"/>
    <x v="798"/>
    <x v="798"/>
  </r>
  <r>
    <x v="328"/>
    <x v="4"/>
    <x v="4"/>
    <x v="0"/>
    <x v="0"/>
    <x v="4"/>
    <x v="6"/>
    <x v="1"/>
    <x v="799"/>
    <x v="799"/>
  </r>
  <r>
    <x v="15"/>
    <x v="5"/>
    <x v="11"/>
    <x v="4"/>
    <x v="2"/>
    <x v="4"/>
    <x v="16"/>
    <x v="9"/>
    <x v="800"/>
    <x v="800"/>
  </r>
  <r>
    <x v="129"/>
    <x v="4"/>
    <x v="2"/>
    <x v="2"/>
    <x v="1"/>
    <x v="2"/>
    <x v="8"/>
    <x v="13"/>
    <x v="801"/>
    <x v="801"/>
  </r>
  <r>
    <x v="92"/>
    <x v="3"/>
    <x v="5"/>
    <x v="1"/>
    <x v="1"/>
    <x v="3"/>
    <x v="9"/>
    <x v="12"/>
    <x v="802"/>
    <x v="802"/>
  </r>
  <r>
    <x v="175"/>
    <x v="6"/>
    <x v="3"/>
    <x v="1"/>
    <x v="1"/>
    <x v="2"/>
    <x v="8"/>
    <x v="8"/>
    <x v="803"/>
    <x v="803"/>
  </r>
  <r>
    <x v="33"/>
    <x v="4"/>
    <x v="12"/>
    <x v="2"/>
    <x v="1"/>
    <x v="1"/>
    <x v="4"/>
    <x v="1"/>
    <x v="804"/>
    <x v="804"/>
  </r>
  <r>
    <x v="261"/>
    <x v="3"/>
    <x v="0"/>
    <x v="0"/>
    <x v="0"/>
    <x v="4"/>
    <x v="6"/>
    <x v="13"/>
    <x v="805"/>
    <x v="805"/>
  </r>
  <r>
    <x v="159"/>
    <x v="2"/>
    <x v="7"/>
    <x v="3"/>
    <x v="0"/>
    <x v="3"/>
    <x v="12"/>
    <x v="14"/>
    <x v="806"/>
    <x v="806"/>
  </r>
  <r>
    <x v="52"/>
    <x v="5"/>
    <x v="5"/>
    <x v="1"/>
    <x v="1"/>
    <x v="0"/>
    <x v="19"/>
    <x v="3"/>
    <x v="807"/>
    <x v="807"/>
  </r>
  <r>
    <x v="146"/>
    <x v="2"/>
    <x v="13"/>
    <x v="4"/>
    <x v="2"/>
    <x v="1"/>
    <x v="1"/>
    <x v="10"/>
    <x v="808"/>
    <x v="808"/>
  </r>
  <r>
    <x v="322"/>
    <x v="9"/>
    <x v="2"/>
    <x v="2"/>
    <x v="1"/>
    <x v="4"/>
    <x v="5"/>
    <x v="4"/>
    <x v="809"/>
    <x v="809"/>
  </r>
  <r>
    <x v="211"/>
    <x v="4"/>
    <x v="14"/>
    <x v="3"/>
    <x v="0"/>
    <x v="3"/>
    <x v="12"/>
    <x v="1"/>
    <x v="810"/>
    <x v="810"/>
  </r>
  <r>
    <x v="95"/>
    <x v="7"/>
    <x v="1"/>
    <x v="1"/>
    <x v="1"/>
    <x v="1"/>
    <x v="18"/>
    <x v="2"/>
    <x v="811"/>
    <x v="811"/>
  </r>
  <r>
    <x v="277"/>
    <x v="4"/>
    <x v="13"/>
    <x v="4"/>
    <x v="2"/>
    <x v="4"/>
    <x v="15"/>
    <x v="0"/>
    <x v="812"/>
    <x v="812"/>
  </r>
  <r>
    <x v="42"/>
    <x v="0"/>
    <x v="5"/>
    <x v="1"/>
    <x v="1"/>
    <x v="1"/>
    <x v="18"/>
    <x v="12"/>
    <x v="813"/>
    <x v="813"/>
  </r>
  <r>
    <x v="185"/>
    <x v="6"/>
    <x v="11"/>
    <x v="4"/>
    <x v="2"/>
    <x v="4"/>
    <x v="15"/>
    <x v="17"/>
    <x v="814"/>
    <x v="814"/>
  </r>
  <r>
    <x v="326"/>
    <x v="1"/>
    <x v="13"/>
    <x v="4"/>
    <x v="2"/>
    <x v="0"/>
    <x v="19"/>
    <x v="10"/>
    <x v="815"/>
    <x v="815"/>
  </r>
  <r>
    <x v="100"/>
    <x v="0"/>
    <x v="9"/>
    <x v="0"/>
    <x v="0"/>
    <x v="2"/>
    <x v="13"/>
    <x v="0"/>
    <x v="816"/>
    <x v="816"/>
  </r>
  <r>
    <x v="170"/>
    <x v="1"/>
    <x v="9"/>
    <x v="0"/>
    <x v="0"/>
    <x v="0"/>
    <x v="19"/>
    <x v="19"/>
    <x v="817"/>
    <x v="817"/>
  </r>
  <r>
    <x v="88"/>
    <x v="6"/>
    <x v="14"/>
    <x v="3"/>
    <x v="0"/>
    <x v="4"/>
    <x v="6"/>
    <x v="10"/>
    <x v="818"/>
    <x v="818"/>
  </r>
  <r>
    <x v="114"/>
    <x v="8"/>
    <x v="11"/>
    <x v="4"/>
    <x v="2"/>
    <x v="1"/>
    <x v="14"/>
    <x v="13"/>
    <x v="819"/>
    <x v="819"/>
  </r>
  <r>
    <x v="109"/>
    <x v="0"/>
    <x v="3"/>
    <x v="1"/>
    <x v="1"/>
    <x v="4"/>
    <x v="5"/>
    <x v="15"/>
    <x v="820"/>
    <x v="820"/>
  </r>
  <r>
    <x v="46"/>
    <x v="0"/>
    <x v="0"/>
    <x v="0"/>
    <x v="0"/>
    <x v="4"/>
    <x v="6"/>
    <x v="15"/>
    <x v="821"/>
    <x v="821"/>
  </r>
  <r>
    <x v="329"/>
    <x v="6"/>
    <x v="9"/>
    <x v="0"/>
    <x v="0"/>
    <x v="1"/>
    <x v="4"/>
    <x v="0"/>
    <x v="822"/>
    <x v="822"/>
  </r>
  <r>
    <x v="70"/>
    <x v="7"/>
    <x v="12"/>
    <x v="2"/>
    <x v="1"/>
    <x v="1"/>
    <x v="4"/>
    <x v="4"/>
    <x v="823"/>
    <x v="823"/>
  </r>
  <r>
    <x v="104"/>
    <x v="9"/>
    <x v="12"/>
    <x v="2"/>
    <x v="1"/>
    <x v="1"/>
    <x v="14"/>
    <x v="14"/>
    <x v="824"/>
    <x v="824"/>
  </r>
  <r>
    <x v="28"/>
    <x v="9"/>
    <x v="0"/>
    <x v="0"/>
    <x v="0"/>
    <x v="0"/>
    <x v="11"/>
    <x v="15"/>
    <x v="825"/>
    <x v="825"/>
  </r>
  <r>
    <x v="283"/>
    <x v="7"/>
    <x v="5"/>
    <x v="1"/>
    <x v="1"/>
    <x v="2"/>
    <x v="13"/>
    <x v="19"/>
    <x v="826"/>
    <x v="826"/>
  </r>
  <r>
    <x v="211"/>
    <x v="8"/>
    <x v="3"/>
    <x v="1"/>
    <x v="1"/>
    <x v="1"/>
    <x v="18"/>
    <x v="6"/>
    <x v="827"/>
    <x v="827"/>
  </r>
  <r>
    <x v="202"/>
    <x v="0"/>
    <x v="8"/>
    <x v="4"/>
    <x v="2"/>
    <x v="0"/>
    <x v="0"/>
    <x v="19"/>
    <x v="828"/>
    <x v="828"/>
  </r>
  <r>
    <x v="288"/>
    <x v="7"/>
    <x v="10"/>
    <x v="3"/>
    <x v="0"/>
    <x v="4"/>
    <x v="15"/>
    <x v="5"/>
    <x v="829"/>
    <x v="829"/>
  </r>
  <r>
    <x v="97"/>
    <x v="3"/>
    <x v="11"/>
    <x v="4"/>
    <x v="2"/>
    <x v="2"/>
    <x v="2"/>
    <x v="18"/>
    <x v="830"/>
    <x v="830"/>
  </r>
  <r>
    <x v="115"/>
    <x v="3"/>
    <x v="4"/>
    <x v="0"/>
    <x v="0"/>
    <x v="1"/>
    <x v="4"/>
    <x v="4"/>
    <x v="831"/>
    <x v="831"/>
  </r>
  <r>
    <x v="307"/>
    <x v="9"/>
    <x v="5"/>
    <x v="1"/>
    <x v="1"/>
    <x v="2"/>
    <x v="2"/>
    <x v="6"/>
    <x v="832"/>
    <x v="832"/>
  </r>
  <r>
    <x v="34"/>
    <x v="6"/>
    <x v="6"/>
    <x v="2"/>
    <x v="1"/>
    <x v="3"/>
    <x v="3"/>
    <x v="0"/>
    <x v="833"/>
    <x v="833"/>
  </r>
  <r>
    <x v="330"/>
    <x v="0"/>
    <x v="1"/>
    <x v="1"/>
    <x v="1"/>
    <x v="0"/>
    <x v="17"/>
    <x v="16"/>
    <x v="834"/>
    <x v="834"/>
  </r>
  <r>
    <x v="240"/>
    <x v="7"/>
    <x v="0"/>
    <x v="0"/>
    <x v="0"/>
    <x v="0"/>
    <x v="19"/>
    <x v="14"/>
    <x v="835"/>
    <x v="835"/>
  </r>
  <r>
    <x v="246"/>
    <x v="3"/>
    <x v="12"/>
    <x v="2"/>
    <x v="1"/>
    <x v="1"/>
    <x v="14"/>
    <x v="2"/>
    <x v="836"/>
    <x v="836"/>
  </r>
  <r>
    <x v="70"/>
    <x v="6"/>
    <x v="6"/>
    <x v="2"/>
    <x v="1"/>
    <x v="0"/>
    <x v="19"/>
    <x v="1"/>
    <x v="837"/>
    <x v="837"/>
  </r>
  <r>
    <x v="256"/>
    <x v="0"/>
    <x v="4"/>
    <x v="0"/>
    <x v="0"/>
    <x v="2"/>
    <x v="2"/>
    <x v="11"/>
    <x v="838"/>
    <x v="838"/>
  </r>
  <r>
    <x v="215"/>
    <x v="1"/>
    <x v="9"/>
    <x v="0"/>
    <x v="0"/>
    <x v="1"/>
    <x v="18"/>
    <x v="5"/>
    <x v="839"/>
    <x v="839"/>
  </r>
  <r>
    <x v="50"/>
    <x v="8"/>
    <x v="5"/>
    <x v="1"/>
    <x v="1"/>
    <x v="3"/>
    <x v="12"/>
    <x v="8"/>
    <x v="840"/>
    <x v="840"/>
  </r>
  <r>
    <x v="223"/>
    <x v="6"/>
    <x v="3"/>
    <x v="1"/>
    <x v="1"/>
    <x v="4"/>
    <x v="6"/>
    <x v="16"/>
    <x v="841"/>
    <x v="841"/>
  </r>
  <r>
    <x v="200"/>
    <x v="1"/>
    <x v="11"/>
    <x v="4"/>
    <x v="2"/>
    <x v="4"/>
    <x v="15"/>
    <x v="15"/>
    <x v="842"/>
    <x v="842"/>
  </r>
  <r>
    <x v="331"/>
    <x v="0"/>
    <x v="7"/>
    <x v="3"/>
    <x v="0"/>
    <x v="0"/>
    <x v="19"/>
    <x v="14"/>
    <x v="843"/>
    <x v="843"/>
  </r>
  <r>
    <x v="7"/>
    <x v="5"/>
    <x v="0"/>
    <x v="0"/>
    <x v="0"/>
    <x v="2"/>
    <x v="7"/>
    <x v="18"/>
    <x v="844"/>
    <x v="844"/>
  </r>
  <r>
    <x v="71"/>
    <x v="4"/>
    <x v="8"/>
    <x v="4"/>
    <x v="2"/>
    <x v="0"/>
    <x v="11"/>
    <x v="5"/>
    <x v="845"/>
    <x v="845"/>
  </r>
  <r>
    <x v="228"/>
    <x v="5"/>
    <x v="4"/>
    <x v="0"/>
    <x v="0"/>
    <x v="3"/>
    <x v="10"/>
    <x v="1"/>
    <x v="846"/>
    <x v="846"/>
  </r>
  <r>
    <x v="171"/>
    <x v="0"/>
    <x v="2"/>
    <x v="2"/>
    <x v="1"/>
    <x v="3"/>
    <x v="9"/>
    <x v="13"/>
    <x v="847"/>
    <x v="847"/>
  </r>
  <r>
    <x v="69"/>
    <x v="2"/>
    <x v="14"/>
    <x v="3"/>
    <x v="0"/>
    <x v="3"/>
    <x v="12"/>
    <x v="5"/>
    <x v="848"/>
    <x v="848"/>
  </r>
  <r>
    <x v="124"/>
    <x v="6"/>
    <x v="12"/>
    <x v="2"/>
    <x v="1"/>
    <x v="0"/>
    <x v="11"/>
    <x v="5"/>
    <x v="849"/>
    <x v="849"/>
  </r>
  <r>
    <x v="114"/>
    <x v="0"/>
    <x v="0"/>
    <x v="0"/>
    <x v="0"/>
    <x v="2"/>
    <x v="8"/>
    <x v="19"/>
    <x v="850"/>
    <x v="850"/>
  </r>
  <r>
    <x v="92"/>
    <x v="2"/>
    <x v="0"/>
    <x v="0"/>
    <x v="0"/>
    <x v="0"/>
    <x v="0"/>
    <x v="4"/>
    <x v="851"/>
    <x v="851"/>
  </r>
  <r>
    <x v="222"/>
    <x v="6"/>
    <x v="9"/>
    <x v="0"/>
    <x v="0"/>
    <x v="2"/>
    <x v="13"/>
    <x v="8"/>
    <x v="852"/>
    <x v="852"/>
  </r>
  <r>
    <x v="271"/>
    <x v="1"/>
    <x v="10"/>
    <x v="3"/>
    <x v="0"/>
    <x v="0"/>
    <x v="0"/>
    <x v="0"/>
    <x v="853"/>
    <x v="853"/>
  </r>
  <r>
    <x v="332"/>
    <x v="7"/>
    <x v="3"/>
    <x v="1"/>
    <x v="1"/>
    <x v="4"/>
    <x v="6"/>
    <x v="19"/>
    <x v="854"/>
    <x v="854"/>
  </r>
  <r>
    <x v="186"/>
    <x v="4"/>
    <x v="1"/>
    <x v="1"/>
    <x v="1"/>
    <x v="2"/>
    <x v="13"/>
    <x v="9"/>
    <x v="855"/>
    <x v="855"/>
  </r>
  <r>
    <x v="257"/>
    <x v="0"/>
    <x v="6"/>
    <x v="2"/>
    <x v="1"/>
    <x v="2"/>
    <x v="8"/>
    <x v="16"/>
    <x v="856"/>
    <x v="856"/>
  </r>
  <r>
    <x v="238"/>
    <x v="2"/>
    <x v="9"/>
    <x v="0"/>
    <x v="0"/>
    <x v="4"/>
    <x v="15"/>
    <x v="18"/>
    <x v="857"/>
    <x v="857"/>
  </r>
  <r>
    <x v="333"/>
    <x v="4"/>
    <x v="14"/>
    <x v="3"/>
    <x v="0"/>
    <x v="1"/>
    <x v="1"/>
    <x v="9"/>
    <x v="858"/>
    <x v="858"/>
  </r>
  <r>
    <x v="330"/>
    <x v="0"/>
    <x v="13"/>
    <x v="4"/>
    <x v="2"/>
    <x v="1"/>
    <x v="14"/>
    <x v="9"/>
    <x v="859"/>
    <x v="859"/>
  </r>
  <r>
    <x v="152"/>
    <x v="0"/>
    <x v="10"/>
    <x v="3"/>
    <x v="0"/>
    <x v="1"/>
    <x v="1"/>
    <x v="2"/>
    <x v="860"/>
    <x v="860"/>
  </r>
  <r>
    <x v="37"/>
    <x v="2"/>
    <x v="1"/>
    <x v="1"/>
    <x v="1"/>
    <x v="1"/>
    <x v="18"/>
    <x v="8"/>
    <x v="861"/>
    <x v="861"/>
  </r>
  <r>
    <x v="195"/>
    <x v="9"/>
    <x v="8"/>
    <x v="4"/>
    <x v="2"/>
    <x v="2"/>
    <x v="7"/>
    <x v="11"/>
    <x v="862"/>
    <x v="862"/>
  </r>
  <r>
    <x v="334"/>
    <x v="3"/>
    <x v="5"/>
    <x v="1"/>
    <x v="1"/>
    <x v="2"/>
    <x v="8"/>
    <x v="15"/>
    <x v="863"/>
    <x v="863"/>
  </r>
  <r>
    <x v="335"/>
    <x v="5"/>
    <x v="2"/>
    <x v="2"/>
    <x v="1"/>
    <x v="4"/>
    <x v="15"/>
    <x v="8"/>
    <x v="864"/>
    <x v="864"/>
  </r>
  <r>
    <x v="34"/>
    <x v="9"/>
    <x v="0"/>
    <x v="0"/>
    <x v="0"/>
    <x v="1"/>
    <x v="1"/>
    <x v="3"/>
    <x v="865"/>
    <x v="865"/>
  </r>
  <r>
    <x v="22"/>
    <x v="9"/>
    <x v="9"/>
    <x v="0"/>
    <x v="0"/>
    <x v="1"/>
    <x v="1"/>
    <x v="4"/>
    <x v="866"/>
    <x v="866"/>
  </r>
  <r>
    <x v="176"/>
    <x v="2"/>
    <x v="2"/>
    <x v="2"/>
    <x v="1"/>
    <x v="3"/>
    <x v="10"/>
    <x v="16"/>
    <x v="867"/>
    <x v="867"/>
  </r>
  <r>
    <x v="19"/>
    <x v="2"/>
    <x v="1"/>
    <x v="1"/>
    <x v="1"/>
    <x v="0"/>
    <x v="11"/>
    <x v="9"/>
    <x v="868"/>
    <x v="868"/>
  </r>
  <r>
    <x v="44"/>
    <x v="0"/>
    <x v="0"/>
    <x v="0"/>
    <x v="0"/>
    <x v="0"/>
    <x v="11"/>
    <x v="4"/>
    <x v="869"/>
    <x v="869"/>
  </r>
  <r>
    <x v="51"/>
    <x v="0"/>
    <x v="1"/>
    <x v="1"/>
    <x v="1"/>
    <x v="3"/>
    <x v="9"/>
    <x v="18"/>
    <x v="870"/>
    <x v="870"/>
  </r>
  <r>
    <x v="109"/>
    <x v="2"/>
    <x v="12"/>
    <x v="2"/>
    <x v="1"/>
    <x v="1"/>
    <x v="4"/>
    <x v="4"/>
    <x v="871"/>
    <x v="871"/>
  </r>
  <r>
    <x v="172"/>
    <x v="5"/>
    <x v="1"/>
    <x v="1"/>
    <x v="1"/>
    <x v="4"/>
    <x v="16"/>
    <x v="12"/>
    <x v="872"/>
    <x v="872"/>
  </r>
  <r>
    <x v="28"/>
    <x v="3"/>
    <x v="13"/>
    <x v="4"/>
    <x v="2"/>
    <x v="0"/>
    <x v="17"/>
    <x v="11"/>
    <x v="873"/>
    <x v="873"/>
  </r>
  <r>
    <x v="158"/>
    <x v="7"/>
    <x v="1"/>
    <x v="1"/>
    <x v="1"/>
    <x v="2"/>
    <x v="13"/>
    <x v="17"/>
    <x v="874"/>
    <x v="874"/>
  </r>
  <r>
    <x v="301"/>
    <x v="5"/>
    <x v="1"/>
    <x v="1"/>
    <x v="1"/>
    <x v="2"/>
    <x v="13"/>
    <x v="19"/>
    <x v="875"/>
    <x v="875"/>
  </r>
  <r>
    <x v="249"/>
    <x v="5"/>
    <x v="11"/>
    <x v="4"/>
    <x v="2"/>
    <x v="4"/>
    <x v="16"/>
    <x v="1"/>
    <x v="876"/>
    <x v="876"/>
  </r>
  <r>
    <x v="117"/>
    <x v="9"/>
    <x v="12"/>
    <x v="2"/>
    <x v="1"/>
    <x v="2"/>
    <x v="13"/>
    <x v="11"/>
    <x v="877"/>
    <x v="877"/>
  </r>
  <r>
    <x v="159"/>
    <x v="2"/>
    <x v="12"/>
    <x v="2"/>
    <x v="1"/>
    <x v="3"/>
    <x v="9"/>
    <x v="19"/>
    <x v="878"/>
    <x v="878"/>
  </r>
  <r>
    <x v="267"/>
    <x v="6"/>
    <x v="9"/>
    <x v="0"/>
    <x v="0"/>
    <x v="1"/>
    <x v="1"/>
    <x v="6"/>
    <x v="879"/>
    <x v="879"/>
  </r>
  <r>
    <x v="223"/>
    <x v="3"/>
    <x v="6"/>
    <x v="2"/>
    <x v="1"/>
    <x v="2"/>
    <x v="13"/>
    <x v="17"/>
    <x v="880"/>
    <x v="880"/>
  </r>
  <r>
    <x v="96"/>
    <x v="4"/>
    <x v="4"/>
    <x v="0"/>
    <x v="0"/>
    <x v="2"/>
    <x v="13"/>
    <x v="19"/>
    <x v="881"/>
    <x v="881"/>
  </r>
  <r>
    <x v="158"/>
    <x v="0"/>
    <x v="4"/>
    <x v="0"/>
    <x v="0"/>
    <x v="0"/>
    <x v="19"/>
    <x v="2"/>
    <x v="882"/>
    <x v="882"/>
  </r>
  <r>
    <x v="105"/>
    <x v="1"/>
    <x v="10"/>
    <x v="3"/>
    <x v="0"/>
    <x v="3"/>
    <x v="3"/>
    <x v="1"/>
    <x v="883"/>
    <x v="883"/>
  </r>
  <r>
    <x v="286"/>
    <x v="6"/>
    <x v="3"/>
    <x v="1"/>
    <x v="1"/>
    <x v="2"/>
    <x v="7"/>
    <x v="13"/>
    <x v="884"/>
    <x v="884"/>
  </r>
  <r>
    <x v="54"/>
    <x v="0"/>
    <x v="8"/>
    <x v="4"/>
    <x v="2"/>
    <x v="0"/>
    <x v="0"/>
    <x v="3"/>
    <x v="885"/>
    <x v="885"/>
  </r>
  <r>
    <x v="194"/>
    <x v="1"/>
    <x v="6"/>
    <x v="2"/>
    <x v="1"/>
    <x v="0"/>
    <x v="17"/>
    <x v="6"/>
    <x v="886"/>
    <x v="886"/>
  </r>
  <r>
    <x v="159"/>
    <x v="0"/>
    <x v="9"/>
    <x v="0"/>
    <x v="0"/>
    <x v="0"/>
    <x v="11"/>
    <x v="14"/>
    <x v="887"/>
    <x v="887"/>
  </r>
  <r>
    <x v="67"/>
    <x v="2"/>
    <x v="3"/>
    <x v="1"/>
    <x v="1"/>
    <x v="4"/>
    <x v="16"/>
    <x v="0"/>
    <x v="888"/>
    <x v="888"/>
  </r>
  <r>
    <x v="129"/>
    <x v="1"/>
    <x v="3"/>
    <x v="1"/>
    <x v="1"/>
    <x v="1"/>
    <x v="18"/>
    <x v="9"/>
    <x v="889"/>
    <x v="889"/>
  </r>
  <r>
    <x v="308"/>
    <x v="1"/>
    <x v="12"/>
    <x v="2"/>
    <x v="1"/>
    <x v="1"/>
    <x v="4"/>
    <x v="8"/>
    <x v="890"/>
    <x v="890"/>
  </r>
  <r>
    <x v="264"/>
    <x v="4"/>
    <x v="2"/>
    <x v="2"/>
    <x v="1"/>
    <x v="1"/>
    <x v="14"/>
    <x v="3"/>
    <x v="891"/>
    <x v="891"/>
  </r>
  <r>
    <x v="336"/>
    <x v="4"/>
    <x v="3"/>
    <x v="1"/>
    <x v="1"/>
    <x v="2"/>
    <x v="7"/>
    <x v="16"/>
    <x v="892"/>
    <x v="892"/>
  </r>
  <r>
    <x v="244"/>
    <x v="9"/>
    <x v="11"/>
    <x v="4"/>
    <x v="2"/>
    <x v="4"/>
    <x v="15"/>
    <x v="3"/>
    <x v="893"/>
    <x v="893"/>
  </r>
  <r>
    <x v="186"/>
    <x v="1"/>
    <x v="1"/>
    <x v="1"/>
    <x v="1"/>
    <x v="0"/>
    <x v="0"/>
    <x v="4"/>
    <x v="894"/>
    <x v="894"/>
  </r>
  <r>
    <x v="337"/>
    <x v="2"/>
    <x v="5"/>
    <x v="1"/>
    <x v="1"/>
    <x v="3"/>
    <x v="9"/>
    <x v="0"/>
    <x v="895"/>
    <x v="895"/>
  </r>
  <r>
    <x v="229"/>
    <x v="5"/>
    <x v="13"/>
    <x v="4"/>
    <x v="2"/>
    <x v="0"/>
    <x v="11"/>
    <x v="17"/>
    <x v="896"/>
    <x v="896"/>
  </r>
  <r>
    <x v="56"/>
    <x v="5"/>
    <x v="14"/>
    <x v="3"/>
    <x v="0"/>
    <x v="4"/>
    <x v="16"/>
    <x v="8"/>
    <x v="897"/>
    <x v="897"/>
  </r>
  <r>
    <x v="338"/>
    <x v="8"/>
    <x v="12"/>
    <x v="2"/>
    <x v="1"/>
    <x v="0"/>
    <x v="19"/>
    <x v="19"/>
    <x v="898"/>
    <x v="898"/>
  </r>
  <r>
    <x v="325"/>
    <x v="0"/>
    <x v="1"/>
    <x v="1"/>
    <x v="1"/>
    <x v="3"/>
    <x v="9"/>
    <x v="0"/>
    <x v="899"/>
    <x v="899"/>
  </r>
  <r>
    <x v="122"/>
    <x v="2"/>
    <x v="13"/>
    <x v="4"/>
    <x v="2"/>
    <x v="0"/>
    <x v="17"/>
    <x v="14"/>
    <x v="900"/>
    <x v="900"/>
  </r>
  <r>
    <x v="255"/>
    <x v="0"/>
    <x v="14"/>
    <x v="3"/>
    <x v="0"/>
    <x v="4"/>
    <x v="5"/>
    <x v="18"/>
    <x v="901"/>
    <x v="901"/>
  </r>
  <r>
    <x v="60"/>
    <x v="5"/>
    <x v="13"/>
    <x v="4"/>
    <x v="2"/>
    <x v="2"/>
    <x v="7"/>
    <x v="17"/>
    <x v="902"/>
    <x v="902"/>
  </r>
  <r>
    <x v="213"/>
    <x v="3"/>
    <x v="13"/>
    <x v="4"/>
    <x v="2"/>
    <x v="4"/>
    <x v="6"/>
    <x v="3"/>
    <x v="903"/>
    <x v="903"/>
  </r>
  <r>
    <x v="339"/>
    <x v="8"/>
    <x v="11"/>
    <x v="4"/>
    <x v="2"/>
    <x v="1"/>
    <x v="4"/>
    <x v="17"/>
    <x v="904"/>
    <x v="904"/>
  </r>
  <r>
    <x v="27"/>
    <x v="0"/>
    <x v="9"/>
    <x v="0"/>
    <x v="0"/>
    <x v="4"/>
    <x v="15"/>
    <x v="17"/>
    <x v="905"/>
    <x v="905"/>
  </r>
  <r>
    <x v="64"/>
    <x v="6"/>
    <x v="12"/>
    <x v="2"/>
    <x v="1"/>
    <x v="1"/>
    <x v="18"/>
    <x v="19"/>
    <x v="906"/>
    <x v="906"/>
  </r>
  <r>
    <x v="293"/>
    <x v="9"/>
    <x v="3"/>
    <x v="1"/>
    <x v="1"/>
    <x v="2"/>
    <x v="7"/>
    <x v="1"/>
    <x v="907"/>
    <x v="907"/>
  </r>
  <r>
    <x v="54"/>
    <x v="7"/>
    <x v="3"/>
    <x v="1"/>
    <x v="1"/>
    <x v="4"/>
    <x v="6"/>
    <x v="17"/>
    <x v="908"/>
    <x v="908"/>
  </r>
  <r>
    <x v="118"/>
    <x v="7"/>
    <x v="4"/>
    <x v="0"/>
    <x v="0"/>
    <x v="2"/>
    <x v="13"/>
    <x v="12"/>
    <x v="909"/>
    <x v="909"/>
  </r>
  <r>
    <x v="186"/>
    <x v="3"/>
    <x v="6"/>
    <x v="2"/>
    <x v="1"/>
    <x v="3"/>
    <x v="12"/>
    <x v="10"/>
    <x v="910"/>
    <x v="910"/>
  </r>
  <r>
    <x v="194"/>
    <x v="1"/>
    <x v="13"/>
    <x v="4"/>
    <x v="2"/>
    <x v="2"/>
    <x v="13"/>
    <x v="11"/>
    <x v="911"/>
    <x v="911"/>
  </r>
  <r>
    <x v="104"/>
    <x v="6"/>
    <x v="7"/>
    <x v="3"/>
    <x v="0"/>
    <x v="2"/>
    <x v="7"/>
    <x v="15"/>
    <x v="912"/>
    <x v="912"/>
  </r>
  <r>
    <x v="340"/>
    <x v="4"/>
    <x v="0"/>
    <x v="0"/>
    <x v="0"/>
    <x v="4"/>
    <x v="5"/>
    <x v="10"/>
    <x v="913"/>
    <x v="913"/>
  </r>
  <r>
    <x v="231"/>
    <x v="4"/>
    <x v="13"/>
    <x v="4"/>
    <x v="2"/>
    <x v="0"/>
    <x v="11"/>
    <x v="5"/>
    <x v="914"/>
    <x v="914"/>
  </r>
  <r>
    <x v="35"/>
    <x v="5"/>
    <x v="6"/>
    <x v="2"/>
    <x v="1"/>
    <x v="0"/>
    <x v="17"/>
    <x v="17"/>
    <x v="915"/>
    <x v="915"/>
  </r>
  <r>
    <x v="216"/>
    <x v="8"/>
    <x v="3"/>
    <x v="1"/>
    <x v="1"/>
    <x v="0"/>
    <x v="19"/>
    <x v="15"/>
    <x v="916"/>
    <x v="916"/>
  </r>
  <r>
    <x v="341"/>
    <x v="8"/>
    <x v="9"/>
    <x v="0"/>
    <x v="0"/>
    <x v="3"/>
    <x v="10"/>
    <x v="13"/>
    <x v="917"/>
    <x v="917"/>
  </r>
  <r>
    <x v="158"/>
    <x v="8"/>
    <x v="8"/>
    <x v="4"/>
    <x v="2"/>
    <x v="1"/>
    <x v="1"/>
    <x v="14"/>
    <x v="918"/>
    <x v="918"/>
  </r>
  <r>
    <x v="187"/>
    <x v="4"/>
    <x v="0"/>
    <x v="0"/>
    <x v="0"/>
    <x v="2"/>
    <x v="2"/>
    <x v="14"/>
    <x v="919"/>
    <x v="919"/>
  </r>
  <r>
    <x v="300"/>
    <x v="0"/>
    <x v="8"/>
    <x v="4"/>
    <x v="2"/>
    <x v="0"/>
    <x v="19"/>
    <x v="4"/>
    <x v="920"/>
    <x v="920"/>
  </r>
  <r>
    <x v="252"/>
    <x v="4"/>
    <x v="9"/>
    <x v="0"/>
    <x v="0"/>
    <x v="2"/>
    <x v="8"/>
    <x v="1"/>
    <x v="921"/>
    <x v="921"/>
  </r>
  <r>
    <x v="294"/>
    <x v="7"/>
    <x v="6"/>
    <x v="2"/>
    <x v="1"/>
    <x v="4"/>
    <x v="6"/>
    <x v="12"/>
    <x v="922"/>
    <x v="922"/>
  </r>
  <r>
    <x v="326"/>
    <x v="3"/>
    <x v="9"/>
    <x v="0"/>
    <x v="0"/>
    <x v="4"/>
    <x v="15"/>
    <x v="4"/>
    <x v="923"/>
    <x v="923"/>
  </r>
  <r>
    <x v="342"/>
    <x v="0"/>
    <x v="5"/>
    <x v="1"/>
    <x v="1"/>
    <x v="1"/>
    <x v="14"/>
    <x v="11"/>
    <x v="924"/>
    <x v="924"/>
  </r>
  <r>
    <x v="54"/>
    <x v="7"/>
    <x v="0"/>
    <x v="0"/>
    <x v="0"/>
    <x v="2"/>
    <x v="7"/>
    <x v="7"/>
    <x v="925"/>
    <x v="925"/>
  </r>
  <r>
    <x v="341"/>
    <x v="0"/>
    <x v="7"/>
    <x v="3"/>
    <x v="0"/>
    <x v="2"/>
    <x v="7"/>
    <x v="13"/>
    <x v="926"/>
    <x v="926"/>
  </r>
  <r>
    <x v="343"/>
    <x v="1"/>
    <x v="13"/>
    <x v="4"/>
    <x v="2"/>
    <x v="2"/>
    <x v="7"/>
    <x v="15"/>
    <x v="927"/>
    <x v="927"/>
  </r>
  <r>
    <x v="96"/>
    <x v="1"/>
    <x v="5"/>
    <x v="1"/>
    <x v="1"/>
    <x v="3"/>
    <x v="9"/>
    <x v="8"/>
    <x v="928"/>
    <x v="928"/>
  </r>
  <r>
    <x v="283"/>
    <x v="2"/>
    <x v="8"/>
    <x v="4"/>
    <x v="2"/>
    <x v="0"/>
    <x v="19"/>
    <x v="11"/>
    <x v="929"/>
    <x v="929"/>
  </r>
  <r>
    <x v="65"/>
    <x v="5"/>
    <x v="6"/>
    <x v="2"/>
    <x v="1"/>
    <x v="1"/>
    <x v="14"/>
    <x v="6"/>
    <x v="930"/>
    <x v="930"/>
  </r>
  <r>
    <x v="55"/>
    <x v="1"/>
    <x v="5"/>
    <x v="1"/>
    <x v="1"/>
    <x v="3"/>
    <x v="12"/>
    <x v="6"/>
    <x v="931"/>
    <x v="931"/>
  </r>
  <r>
    <x v="3"/>
    <x v="5"/>
    <x v="7"/>
    <x v="3"/>
    <x v="0"/>
    <x v="0"/>
    <x v="11"/>
    <x v="5"/>
    <x v="932"/>
    <x v="932"/>
  </r>
  <r>
    <x v="154"/>
    <x v="4"/>
    <x v="12"/>
    <x v="2"/>
    <x v="1"/>
    <x v="1"/>
    <x v="4"/>
    <x v="0"/>
    <x v="933"/>
    <x v="933"/>
  </r>
  <r>
    <x v="15"/>
    <x v="0"/>
    <x v="12"/>
    <x v="2"/>
    <x v="1"/>
    <x v="1"/>
    <x v="14"/>
    <x v="1"/>
    <x v="934"/>
    <x v="934"/>
  </r>
  <r>
    <x v="100"/>
    <x v="9"/>
    <x v="3"/>
    <x v="1"/>
    <x v="1"/>
    <x v="1"/>
    <x v="18"/>
    <x v="6"/>
    <x v="935"/>
    <x v="935"/>
  </r>
  <r>
    <x v="231"/>
    <x v="8"/>
    <x v="13"/>
    <x v="4"/>
    <x v="2"/>
    <x v="4"/>
    <x v="15"/>
    <x v="12"/>
    <x v="936"/>
    <x v="936"/>
  </r>
  <r>
    <x v="244"/>
    <x v="5"/>
    <x v="6"/>
    <x v="2"/>
    <x v="1"/>
    <x v="4"/>
    <x v="15"/>
    <x v="13"/>
    <x v="937"/>
    <x v="937"/>
  </r>
  <r>
    <x v="243"/>
    <x v="6"/>
    <x v="2"/>
    <x v="2"/>
    <x v="1"/>
    <x v="2"/>
    <x v="8"/>
    <x v="12"/>
    <x v="938"/>
    <x v="938"/>
  </r>
  <r>
    <x v="285"/>
    <x v="1"/>
    <x v="6"/>
    <x v="2"/>
    <x v="1"/>
    <x v="1"/>
    <x v="1"/>
    <x v="10"/>
    <x v="939"/>
    <x v="939"/>
  </r>
  <r>
    <x v="91"/>
    <x v="2"/>
    <x v="8"/>
    <x v="4"/>
    <x v="2"/>
    <x v="2"/>
    <x v="2"/>
    <x v="2"/>
    <x v="940"/>
    <x v="940"/>
  </r>
  <r>
    <x v="216"/>
    <x v="7"/>
    <x v="5"/>
    <x v="1"/>
    <x v="1"/>
    <x v="1"/>
    <x v="18"/>
    <x v="6"/>
    <x v="941"/>
    <x v="941"/>
  </r>
  <r>
    <x v="259"/>
    <x v="9"/>
    <x v="2"/>
    <x v="2"/>
    <x v="1"/>
    <x v="0"/>
    <x v="11"/>
    <x v="17"/>
    <x v="942"/>
    <x v="942"/>
  </r>
  <r>
    <x v="335"/>
    <x v="8"/>
    <x v="0"/>
    <x v="0"/>
    <x v="0"/>
    <x v="2"/>
    <x v="7"/>
    <x v="6"/>
    <x v="943"/>
    <x v="943"/>
  </r>
  <r>
    <x v="125"/>
    <x v="8"/>
    <x v="3"/>
    <x v="1"/>
    <x v="1"/>
    <x v="4"/>
    <x v="16"/>
    <x v="1"/>
    <x v="944"/>
    <x v="944"/>
  </r>
  <r>
    <x v="311"/>
    <x v="0"/>
    <x v="5"/>
    <x v="1"/>
    <x v="1"/>
    <x v="0"/>
    <x v="19"/>
    <x v="16"/>
    <x v="945"/>
    <x v="945"/>
  </r>
  <r>
    <x v="201"/>
    <x v="9"/>
    <x v="6"/>
    <x v="2"/>
    <x v="1"/>
    <x v="0"/>
    <x v="11"/>
    <x v="17"/>
    <x v="946"/>
    <x v="946"/>
  </r>
  <r>
    <x v="155"/>
    <x v="0"/>
    <x v="10"/>
    <x v="3"/>
    <x v="0"/>
    <x v="0"/>
    <x v="19"/>
    <x v="14"/>
    <x v="947"/>
    <x v="947"/>
  </r>
  <r>
    <x v="321"/>
    <x v="5"/>
    <x v="11"/>
    <x v="4"/>
    <x v="2"/>
    <x v="0"/>
    <x v="17"/>
    <x v="14"/>
    <x v="948"/>
    <x v="948"/>
  </r>
  <r>
    <x v="74"/>
    <x v="4"/>
    <x v="14"/>
    <x v="3"/>
    <x v="0"/>
    <x v="0"/>
    <x v="0"/>
    <x v="0"/>
    <x v="949"/>
    <x v="949"/>
  </r>
  <r>
    <x v="241"/>
    <x v="6"/>
    <x v="4"/>
    <x v="0"/>
    <x v="0"/>
    <x v="3"/>
    <x v="12"/>
    <x v="12"/>
    <x v="950"/>
    <x v="950"/>
  </r>
  <r>
    <x v="187"/>
    <x v="7"/>
    <x v="14"/>
    <x v="3"/>
    <x v="0"/>
    <x v="3"/>
    <x v="10"/>
    <x v="19"/>
    <x v="951"/>
    <x v="951"/>
  </r>
  <r>
    <x v="106"/>
    <x v="3"/>
    <x v="7"/>
    <x v="3"/>
    <x v="0"/>
    <x v="2"/>
    <x v="2"/>
    <x v="5"/>
    <x v="952"/>
    <x v="952"/>
  </r>
  <r>
    <x v="57"/>
    <x v="9"/>
    <x v="0"/>
    <x v="0"/>
    <x v="0"/>
    <x v="0"/>
    <x v="17"/>
    <x v="5"/>
    <x v="953"/>
    <x v="953"/>
  </r>
  <r>
    <x v="73"/>
    <x v="0"/>
    <x v="2"/>
    <x v="2"/>
    <x v="1"/>
    <x v="0"/>
    <x v="0"/>
    <x v="10"/>
    <x v="954"/>
    <x v="954"/>
  </r>
  <r>
    <x v="182"/>
    <x v="2"/>
    <x v="6"/>
    <x v="2"/>
    <x v="1"/>
    <x v="3"/>
    <x v="9"/>
    <x v="3"/>
    <x v="955"/>
    <x v="955"/>
  </r>
  <r>
    <x v="205"/>
    <x v="3"/>
    <x v="11"/>
    <x v="4"/>
    <x v="2"/>
    <x v="0"/>
    <x v="0"/>
    <x v="16"/>
    <x v="956"/>
    <x v="956"/>
  </r>
  <r>
    <x v="101"/>
    <x v="0"/>
    <x v="6"/>
    <x v="2"/>
    <x v="1"/>
    <x v="4"/>
    <x v="15"/>
    <x v="14"/>
    <x v="957"/>
    <x v="957"/>
  </r>
  <r>
    <x v="143"/>
    <x v="4"/>
    <x v="5"/>
    <x v="1"/>
    <x v="1"/>
    <x v="4"/>
    <x v="5"/>
    <x v="14"/>
    <x v="958"/>
    <x v="958"/>
  </r>
  <r>
    <x v="288"/>
    <x v="4"/>
    <x v="11"/>
    <x v="4"/>
    <x v="2"/>
    <x v="4"/>
    <x v="16"/>
    <x v="2"/>
    <x v="959"/>
    <x v="959"/>
  </r>
  <r>
    <x v="344"/>
    <x v="6"/>
    <x v="14"/>
    <x v="3"/>
    <x v="0"/>
    <x v="3"/>
    <x v="3"/>
    <x v="7"/>
    <x v="960"/>
    <x v="960"/>
  </r>
  <r>
    <x v="102"/>
    <x v="7"/>
    <x v="14"/>
    <x v="3"/>
    <x v="0"/>
    <x v="1"/>
    <x v="1"/>
    <x v="4"/>
    <x v="961"/>
    <x v="961"/>
  </r>
  <r>
    <x v="121"/>
    <x v="5"/>
    <x v="8"/>
    <x v="4"/>
    <x v="2"/>
    <x v="0"/>
    <x v="19"/>
    <x v="7"/>
    <x v="962"/>
    <x v="962"/>
  </r>
  <r>
    <x v="186"/>
    <x v="9"/>
    <x v="12"/>
    <x v="2"/>
    <x v="1"/>
    <x v="0"/>
    <x v="17"/>
    <x v="14"/>
    <x v="963"/>
    <x v="963"/>
  </r>
  <r>
    <x v="3"/>
    <x v="3"/>
    <x v="5"/>
    <x v="1"/>
    <x v="1"/>
    <x v="2"/>
    <x v="7"/>
    <x v="7"/>
    <x v="964"/>
    <x v="964"/>
  </r>
  <r>
    <x v="246"/>
    <x v="6"/>
    <x v="9"/>
    <x v="0"/>
    <x v="0"/>
    <x v="0"/>
    <x v="19"/>
    <x v="13"/>
    <x v="965"/>
    <x v="965"/>
  </r>
  <r>
    <x v="88"/>
    <x v="9"/>
    <x v="8"/>
    <x v="4"/>
    <x v="2"/>
    <x v="4"/>
    <x v="6"/>
    <x v="11"/>
    <x v="966"/>
    <x v="966"/>
  </r>
  <r>
    <x v="59"/>
    <x v="4"/>
    <x v="10"/>
    <x v="3"/>
    <x v="0"/>
    <x v="1"/>
    <x v="14"/>
    <x v="8"/>
    <x v="967"/>
    <x v="967"/>
  </r>
  <r>
    <x v="345"/>
    <x v="0"/>
    <x v="12"/>
    <x v="2"/>
    <x v="1"/>
    <x v="3"/>
    <x v="9"/>
    <x v="4"/>
    <x v="968"/>
    <x v="968"/>
  </r>
  <r>
    <x v="169"/>
    <x v="4"/>
    <x v="8"/>
    <x v="4"/>
    <x v="2"/>
    <x v="1"/>
    <x v="4"/>
    <x v="8"/>
    <x v="969"/>
    <x v="969"/>
  </r>
  <r>
    <x v="238"/>
    <x v="2"/>
    <x v="12"/>
    <x v="2"/>
    <x v="1"/>
    <x v="4"/>
    <x v="6"/>
    <x v="5"/>
    <x v="970"/>
    <x v="970"/>
  </r>
  <r>
    <x v="135"/>
    <x v="7"/>
    <x v="13"/>
    <x v="4"/>
    <x v="2"/>
    <x v="2"/>
    <x v="13"/>
    <x v="2"/>
    <x v="971"/>
    <x v="971"/>
  </r>
  <r>
    <x v="72"/>
    <x v="5"/>
    <x v="13"/>
    <x v="4"/>
    <x v="2"/>
    <x v="3"/>
    <x v="3"/>
    <x v="17"/>
    <x v="972"/>
    <x v="972"/>
  </r>
  <r>
    <x v="36"/>
    <x v="4"/>
    <x v="3"/>
    <x v="1"/>
    <x v="1"/>
    <x v="3"/>
    <x v="9"/>
    <x v="11"/>
    <x v="973"/>
    <x v="973"/>
  </r>
  <r>
    <x v="9"/>
    <x v="9"/>
    <x v="13"/>
    <x v="4"/>
    <x v="2"/>
    <x v="0"/>
    <x v="0"/>
    <x v="10"/>
    <x v="974"/>
    <x v="974"/>
  </r>
  <r>
    <x v="263"/>
    <x v="9"/>
    <x v="7"/>
    <x v="3"/>
    <x v="0"/>
    <x v="0"/>
    <x v="11"/>
    <x v="18"/>
    <x v="975"/>
    <x v="975"/>
  </r>
  <r>
    <x v="201"/>
    <x v="3"/>
    <x v="0"/>
    <x v="0"/>
    <x v="0"/>
    <x v="3"/>
    <x v="3"/>
    <x v="7"/>
    <x v="976"/>
    <x v="976"/>
  </r>
  <r>
    <x v="312"/>
    <x v="2"/>
    <x v="3"/>
    <x v="1"/>
    <x v="1"/>
    <x v="4"/>
    <x v="5"/>
    <x v="17"/>
    <x v="977"/>
    <x v="977"/>
  </r>
  <r>
    <x v="26"/>
    <x v="6"/>
    <x v="2"/>
    <x v="2"/>
    <x v="1"/>
    <x v="3"/>
    <x v="9"/>
    <x v="16"/>
    <x v="978"/>
    <x v="978"/>
  </r>
  <r>
    <x v="235"/>
    <x v="7"/>
    <x v="11"/>
    <x v="4"/>
    <x v="2"/>
    <x v="3"/>
    <x v="10"/>
    <x v="0"/>
    <x v="979"/>
    <x v="979"/>
  </r>
  <r>
    <x v="340"/>
    <x v="6"/>
    <x v="6"/>
    <x v="2"/>
    <x v="1"/>
    <x v="2"/>
    <x v="8"/>
    <x v="12"/>
    <x v="980"/>
    <x v="980"/>
  </r>
  <r>
    <x v="280"/>
    <x v="8"/>
    <x v="1"/>
    <x v="1"/>
    <x v="1"/>
    <x v="2"/>
    <x v="7"/>
    <x v="6"/>
    <x v="981"/>
    <x v="981"/>
  </r>
  <r>
    <x v="262"/>
    <x v="2"/>
    <x v="8"/>
    <x v="4"/>
    <x v="2"/>
    <x v="3"/>
    <x v="12"/>
    <x v="12"/>
    <x v="982"/>
    <x v="982"/>
  </r>
  <r>
    <x v="346"/>
    <x v="9"/>
    <x v="12"/>
    <x v="2"/>
    <x v="1"/>
    <x v="3"/>
    <x v="12"/>
    <x v="6"/>
    <x v="983"/>
    <x v="983"/>
  </r>
  <r>
    <x v="199"/>
    <x v="3"/>
    <x v="9"/>
    <x v="0"/>
    <x v="0"/>
    <x v="3"/>
    <x v="10"/>
    <x v="11"/>
    <x v="984"/>
    <x v="984"/>
  </r>
  <r>
    <x v="59"/>
    <x v="0"/>
    <x v="11"/>
    <x v="4"/>
    <x v="2"/>
    <x v="2"/>
    <x v="2"/>
    <x v="13"/>
    <x v="985"/>
    <x v="985"/>
  </r>
  <r>
    <x v="297"/>
    <x v="7"/>
    <x v="1"/>
    <x v="1"/>
    <x v="1"/>
    <x v="3"/>
    <x v="3"/>
    <x v="13"/>
    <x v="986"/>
    <x v="986"/>
  </r>
  <r>
    <x v="325"/>
    <x v="7"/>
    <x v="13"/>
    <x v="4"/>
    <x v="2"/>
    <x v="4"/>
    <x v="15"/>
    <x v="4"/>
    <x v="987"/>
    <x v="987"/>
  </r>
  <r>
    <x v="245"/>
    <x v="9"/>
    <x v="7"/>
    <x v="3"/>
    <x v="0"/>
    <x v="0"/>
    <x v="0"/>
    <x v="17"/>
    <x v="988"/>
    <x v="988"/>
  </r>
  <r>
    <x v="128"/>
    <x v="8"/>
    <x v="9"/>
    <x v="0"/>
    <x v="0"/>
    <x v="4"/>
    <x v="16"/>
    <x v="7"/>
    <x v="989"/>
    <x v="989"/>
  </r>
  <r>
    <x v="52"/>
    <x v="0"/>
    <x v="5"/>
    <x v="1"/>
    <x v="1"/>
    <x v="1"/>
    <x v="18"/>
    <x v="18"/>
    <x v="990"/>
    <x v="990"/>
  </r>
  <r>
    <x v="217"/>
    <x v="6"/>
    <x v="3"/>
    <x v="1"/>
    <x v="1"/>
    <x v="2"/>
    <x v="8"/>
    <x v="8"/>
    <x v="991"/>
    <x v="991"/>
  </r>
  <r>
    <x v="320"/>
    <x v="1"/>
    <x v="12"/>
    <x v="2"/>
    <x v="1"/>
    <x v="2"/>
    <x v="13"/>
    <x v="13"/>
    <x v="992"/>
    <x v="992"/>
  </r>
  <r>
    <x v="70"/>
    <x v="4"/>
    <x v="13"/>
    <x v="4"/>
    <x v="2"/>
    <x v="2"/>
    <x v="13"/>
    <x v="15"/>
    <x v="993"/>
    <x v="993"/>
  </r>
  <r>
    <x v="279"/>
    <x v="3"/>
    <x v="5"/>
    <x v="1"/>
    <x v="1"/>
    <x v="4"/>
    <x v="15"/>
    <x v="19"/>
    <x v="994"/>
    <x v="994"/>
  </r>
  <r>
    <x v="226"/>
    <x v="6"/>
    <x v="1"/>
    <x v="1"/>
    <x v="1"/>
    <x v="3"/>
    <x v="12"/>
    <x v="14"/>
    <x v="995"/>
    <x v="995"/>
  </r>
  <r>
    <x v="12"/>
    <x v="4"/>
    <x v="0"/>
    <x v="0"/>
    <x v="0"/>
    <x v="0"/>
    <x v="11"/>
    <x v="0"/>
    <x v="996"/>
    <x v="996"/>
  </r>
  <r>
    <x v="76"/>
    <x v="9"/>
    <x v="2"/>
    <x v="2"/>
    <x v="1"/>
    <x v="2"/>
    <x v="2"/>
    <x v="7"/>
    <x v="997"/>
    <x v="997"/>
  </r>
  <r>
    <x v="144"/>
    <x v="8"/>
    <x v="2"/>
    <x v="2"/>
    <x v="1"/>
    <x v="1"/>
    <x v="18"/>
    <x v="11"/>
    <x v="998"/>
    <x v="998"/>
  </r>
  <r>
    <x v="42"/>
    <x v="9"/>
    <x v="4"/>
    <x v="0"/>
    <x v="0"/>
    <x v="2"/>
    <x v="7"/>
    <x v="12"/>
    <x v="999"/>
    <x v="999"/>
  </r>
</pivotCacheRecords>
</file>

<file path=xl/pivotCache/pivotCacheRecords2.xml><?xml version="1.0" encoding="utf-8"?>
<pivotCacheRecords xmlns="http://schemas.openxmlformats.org/spreadsheetml/2006/main" xmlns:r="http://schemas.openxmlformats.org/officeDocument/2006/relationships" count="141">
  <r>
    <x v="0"/>
    <x v="0"/>
    <x v="0"/>
    <x v="0"/>
    <x v="0"/>
    <x v="0"/>
    <x v="0"/>
    <x v="0"/>
    <x v="0"/>
    <x v="0"/>
    <x v="0"/>
    <x v="0"/>
  </r>
  <r>
    <x v="1"/>
    <x v="1"/>
    <x v="1"/>
    <x v="1"/>
    <x v="1"/>
    <x v="1"/>
    <x v="1"/>
    <x v="1"/>
    <x v="1"/>
    <x v="0"/>
    <x v="1"/>
    <x v="1"/>
  </r>
  <r>
    <x v="2"/>
    <x v="2"/>
    <x v="2"/>
    <x v="2"/>
    <x v="2"/>
    <x v="2"/>
    <x v="2"/>
    <x v="2"/>
    <x v="2"/>
    <x v="0"/>
    <x v="2"/>
    <x v="2"/>
  </r>
  <r>
    <x v="3"/>
    <x v="3"/>
    <x v="3"/>
    <x v="3"/>
    <x v="3"/>
    <x v="3"/>
    <x v="3"/>
    <x v="3"/>
    <x v="3"/>
    <x v="0"/>
    <x v="3"/>
    <x v="3"/>
  </r>
  <r>
    <x v="4"/>
    <x v="4"/>
    <x v="4"/>
    <x v="4"/>
    <x v="4"/>
    <x v="4"/>
    <x v="4"/>
    <x v="4"/>
    <x v="4"/>
    <x v="0"/>
    <x v="4"/>
    <x v="4"/>
  </r>
  <r>
    <x v="5"/>
    <x v="5"/>
    <x v="5"/>
    <x v="5"/>
    <x v="5"/>
    <x v="5"/>
    <x v="5"/>
    <x v="5"/>
    <x v="5"/>
    <x v="0"/>
    <x v="5"/>
    <x v="5"/>
  </r>
  <r>
    <x v="6"/>
    <x v="6"/>
    <x v="6"/>
    <x v="6"/>
    <x v="6"/>
    <x v="0"/>
    <x v="6"/>
    <x v="6"/>
    <x v="6"/>
    <x v="0"/>
    <x v="6"/>
    <x v="6"/>
  </r>
  <r>
    <x v="7"/>
    <x v="7"/>
    <x v="7"/>
    <x v="7"/>
    <x v="7"/>
    <x v="6"/>
    <x v="7"/>
    <x v="7"/>
    <x v="7"/>
    <x v="0"/>
    <x v="7"/>
    <x v="7"/>
  </r>
  <r>
    <x v="8"/>
    <x v="8"/>
    <x v="0"/>
    <x v="8"/>
    <x v="8"/>
    <x v="7"/>
    <x v="8"/>
    <x v="8"/>
    <x v="8"/>
    <x v="0"/>
    <x v="8"/>
    <x v="8"/>
  </r>
  <r>
    <x v="9"/>
    <x v="9"/>
    <x v="1"/>
    <x v="3"/>
    <x v="9"/>
    <x v="8"/>
    <x v="9"/>
    <x v="9"/>
    <x v="4"/>
    <x v="0"/>
    <x v="4"/>
    <x v="4"/>
  </r>
  <r>
    <x v="10"/>
    <x v="10"/>
    <x v="2"/>
    <x v="9"/>
    <x v="10"/>
    <x v="9"/>
    <x v="5"/>
    <x v="10"/>
    <x v="9"/>
    <x v="0"/>
    <x v="9"/>
    <x v="9"/>
  </r>
  <r>
    <x v="11"/>
    <x v="11"/>
    <x v="3"/>
    <x v="10"/>
    <x v="3"/>
    <x v="10"/>
    <x v="10"/>
    <x v="11"/>
    <x v="10"/>
    <x v="0"/>
    <x v="10"/>
    <x v="10"/>
  </r>
  <r>
    <x v="12"/>
    <x v="12"/>
    <x v="4"/>
    <x v="11"/>
    <x v="11"/>
    <x v="11"/>
    <x v="11"/>
    <x v="12"/>
    <x v="11"/>
    <x v="0"/>
    <x v="11"/>
    <x v="11"/>
  </r>
  <r>
    <x v="13"/>
    <x v="13"/>
    <x v="5"/>
    <x v="12"/>
    <x v="12"/>
    <x v="12"/>
    <x v="12"/>
    <x v="13"/>
    <x v="3"/>
    <x v="0"/>
    <x v="3"/>
    <x v="3"/>
  </r>
  <r>
    <x v="14"/>
    <x v="14"/>
    <x v="6"/>
    <x v="13"/>
    <x v="13"/>
    <x v="13"/>
    <x v="13"/>
    <x v="14"/>
    <x v="7"/>
    <x v="0"/>
    <x v="7"/>
    <x v="7"/>
  </r>
  <r>
    <x v="15"/>
    <x v="15"/>
    <x v="7"/>
    <x v="14"/>
    <x v="14"/>
    <x v="14"/>
    <x v="14"/>
    <x v="15"/>
    <x v="12"/>
    <x v="0"/>
    <x v="12"/>
    <x v="12"/>
  </r>
  <r>
    <x v="16"/>
    <x v="16"/>
    <x v="0"/>
    <x v="15"/>
    <x v="15"/>
    <x v="15"/>
    <x v="15"/>
    <x v="16"/>
    <x v="13"/>
    <x v="0"/>
    <x v="13"/>
    <x v="13"/>
  </r>
  <r>
    <x v="17"/>
    <x v="17"/>
    <x v="1"/>
    <x v="16"/>
    <x v="16"/>
    <x v="16"/>
    <x v="16"/>
    <x v="15"/>
    <x v="14"/>
    <x v="0"/>
    <x v="14"/>
    <x v="14"/>
  </r>
  <r>
    <x v="18"/>
    <x v="18"/>
    <x v="2"/>
    <x v="17"/>
    <x v="17"/>
    <x v="17"/>
    <x v="17"/>
    <x v="17"/>
    <x v="15"/>
    <x v="0"/>
    <x v="15"/>
    <x v="15"/>
  </r>
  <r>
    <x v="19"/>
    <x v="19"/>
    <x v="3"/>
    <x v="18"/>
    <x v="0"/>
    <x v="3"/>
    <x v="18"/>
    <x v="18"/>
    <x v="16"/>
    <x v="0"/>
    <x v="16"/>
    <x v="16"/>
  </r>
  <r>
    <x v="20"/>
    <x v="20"/>
    <x v="4"/>
    <x v="19"/>
    <x v="18"/>
    <x v="18"/>
    <x v="19"/>
    <x v="7"/>
    <x v="17"/>
    <x v="0"/>
    <x v="17"/>
    <x v="17"/>
  </r>
  <r>
    <x v="21"/>
    <x v="21"/>
    <x v="5"/>
    <x v="20"/>
    <x v="10"/>
    <x v="19"/>
    <x v="20"/>
    <x v="19"/>
    <x v="18"/>
    <x v="0"/>
    <x v="18"/>
    <x v="18"/>
  </r>
  <r>
    <x v="22"/>
    <x v="22"/>
    <x v="6"/>
    <x v="21"/>
    <x v="6"/>
    <x v="20"/>
    <x v="21"/>
    <x v="20"/>
    <x v="19"/>
    <x v="0"/>
    <x v="19"/>
    <x v="19"/>
  </r>
  <r>
    <x v="23"/>
    <x v="23"/>
    <x v="7"/>
    <x v="22"/>
    <x v="19"/>
    <x v="21"/>
    <x v="22"/>
    <x v="21"/>
    <x v="20"/>
    <x v="0"/>
    <x v="20"/>
    <x v="20"/>
  </r>
  <r>
    <x v="24"/>
    <x v="24"/>
    <x v="0"/>
    <x v="23"/>
    <x v="3"/>
    <x v="22"/>
    <x v="23"/>
    <x v="3"/>
    <x v="21"/>
    <x v="0"/>
    <x v="21"/>
    <x v="21"/>
  </r>
  <r>
    <x v="25"/>
    <x v="25"/>
    <x v="1"/>
    <x v="24"/>
    <x v="20"/>
    <x v="23"/>
    <x v="19"/>
    <x v="22"/>
    <x v="22"/>
    <x v="0"/>
    <x v="22"/>
    <x v="22"/>
  </r>
  <r>
    <x v="26"/>
    <x v="26"/>
    <x v="2"/>
    <x v="25"/>
    <x v="21"/>
    <x v="24"/>
    <x v="24"/>
    <x v="23"/>
    <x v="23"/>
    <x v="0"/>
    <x v="23"/>
    <x v="23"/>
  </r>
  <r>
    <x v="27"/>
    <x v="27"/>
    <x v="3"/>
    <x v="26"/>
    <x v="22"/>
    <x v="25"/>
    <x v="25"/>
    <x v="24"/>
    <x v="24"/>
    <x v="0"/>
    <x v="24"/>
    <x v="24"/>
  </r>
  <r>
    <x v="28"/>
    <x v="28"/>
    <x v="4"/>
    <x v="27"/>
    <x v="23"/>
    <x v="16"/>
    <x v="26"/>
    <x v="25"/>
    <x v="25"/>
    <x v="0"/>
    <x v="25"/>
    <x v="25"/>
  </r>
  <r>
    <x v="29"/>
    <x v="29"/>
    <x v="5"/>
    <x v="12"/>
    <x v="16"/>
    <x v="26"/>
    <x v="8"/>
    <x v="26"/>
    <x v="26"/>
    <x v="0"/>
    <x v="26"/>
    <x v="26"/>
  </r>
  <r>
    <x v="30"/>
    <x v="30"/>
    <x v="6"/>
    <x v="28"/>
    <x v="24"/>
    <x v="9"/>
    <x v="12"/>
    <x v="16"/>
    <x v="27"/>
    <x v="0"/>
    <x v="27"/>
    <x v="27"/>
  </r>
  <r>
    <x v="31"/>
    <x v="31"/>
    <x v="7"/>
    <x v="15"/>
    <x v="25"/>
    <x v="8"/>
    <x v="27"/>
    <x v="27"/>
    <x v="28"/>
    <x v="0"/>
    <x v="28"/>
    <x v="28"/>
  </r>
  <r>
    <x v="32"/>
    <x v="32"/>
    <x v="0"/>
    <x v="12"/>
    <x v="16"/>
    <x v="27"/>
    <x v="28"/>
    <x v="21"/>
    <x v="11"/>
    <x v="0"/>
    <x v="11"/>
    <x v="11"/>
  </r>
  <r>
    <x v="33"/>
    <x v="33"/>
    <x v="1"/>
    <x v="6"/>
    <x v="26"/>
    <x v="28"/>
    <x v="29"/>
    <x v="28"/>
    <x v="29"/>
    <x v="0"/>
    <x v="29"/>
    <x v="29"/>
  </r>
  <r>
    <x v="34"/>
    <x v="34"/>
    <x v="2"/>
    <x v="29"/>
    <x v="4"/>
    <x v="29"/>
    <x v="30"/>
    <x v="29"/>
    <x v="30"/>
    <x v="0"/>
    <x v="30"/>
    <x v="30"/>
  </r>
  <r>
    <x v="35"/>
    <x v="35"/>
    <x v="3"/>
    <x v="23"/>
    <x v="27"/>
    <x v="8"/>
    <x v="31"/>
    <x v="30"/>
    <x v="31"/>
    <x v="0"/>
    <x v="31"/>
    <x v="31"/>
  </r>
  <r>
    <x v="36"/>
    <x v="36"/>
    <x v="4"/>
    <x v="30"/>
    <x v="28"/>
    <x v="29"/>
    <x v="26"/>
    <x v="27"/>
    <x v="32"/>
    <x v="0"/>
    <x v="32"/>
    <x v="32"/>
  </r>
  <r>
    <x v="37"/>
    <x v="37"/>
    <x v="5"/>
    <x v="31"/>
    <x v="26"/>
    <x v="30"/>
    <x v="32"/>
    <x v="31"/>
    <x v="33"/>
    <x v="0"/>
    <x v="33"/>
    <x v="33"/>
  </r>
  <r>
    <x v="38"/>
    <x v="38"/>
    <x v="6"/>
    <x v="32"/>
    <x v="29"/>
    <x v="2"/>
    <x v="33"/>
    <x v="20"/>
    <x v="34"/>
    <x v="0"/>
    <x v="34"/>
    <x v="34"/>
  </r>
  <r>
    <x v="39"/>
    <x v="39"/>
    <x v="7"/>
    <x v="15"/>
    <x v="30"/>
    <x v="31"/>
    <x v="30"/>
    <x v="32"/>
    <x v="35"/>
    <x v="0"/>
    <x v="35"/>
    <x v="35"/>
  </r>
  <r>
    <x v="40"/>
    <x v="40"/>
    <x v="0"/>
    <x v="24"/>
    <x v="16"/>
    <x v="32"/>
    <x v="34"/>
    <x v="33"/>
    <x v="36"/>
    <x v="0"/>
    <x v="36"/>
    <x v="36"/>
  </r>
  <r>
    <x v="41"/>
    <x v="41"/>
    <x v="1"/>
    <x v="23"/>
    <x v="7"/>
    <x v="33"/>
    <x v="35"/>
    <x v="34"/>
    <x v="37"/>
    <x v="0"/>
    <x v="37"/>
    <x v="37"/>
  </r>
  <r>
    <x v="42"/>
    <x v="42"/>
    <x v="2"/>
    <x v="5"/>
    <x v="19"/>
    <x v="34"/>
    <x v="36"/>
    <x v="35"/>
    <x v="38"/>
    <x v="0"/>
    <x v="38"/>
    <x v="38"/>
  </r>
  <r>
    <x v="43"/>
    <x v="43"/>
    <x v="3"/>
    <x v="33"/>
    <x v="10"/>
    <x v="14"/>
    <x v="31"/>
    <x v="36"/>
    <x v="4"/>
    <x v="0"/>
    <x v="4"/>
    <x v="4"/>
  </r>
  <r>
    <x v="44"/>
    <x v="44"/>
    <x v="4"/>
    <x v="34"/>
    <x v="31"/>
    <x v="35"/>
    <x v="35"/>
    <x v="37"/>
    <x v="7"/>
    <x v="0"/>
    <x v="7"/>
    <x v="7"/>
  </r>
  <r>
    <x v="45"/>
    <x v="45"/>
    <x v="5"/>
    <x v="0"/>
    <x v="32"/>
    <x v="10"/>
    <x v="33"/>
    <x v="38"/>
    <x v="39"/>
    <x v="0"/>
    <x v="39"/>
    <x v="39"/>
  </r>
  <r>
    <x v="46"/>
    <x v="46"/>
    <x v="6"/>
    <x v="35"/>
    <x v="11"/>
    <x v="36"/>
    <x v="34"/>
    <x v="39"/>
    <x v="40"/>
    <x v="0"/>
    <x v="40"/>
    <x v="40"/>
  </r>
  <r>
    <x v="47"/>
    <x v="47"/>
    <x v="7"/>
    <x v="33"/>
    <x v="33"/>
    <x v="33"/>
    <x v="8"/>
    <x v="22"/>
    <x v="41"/>
    <x v="0"/>
    <x v="41"/>
    <x v="41"/>
  </r>
  <r>
    <x v="48"/>
    <x v="48"/>
    <x v="0"/>
    <x v="7"/>
    <x v="34"/>
    <x v="6"/>
    <x v="37"/>
    <x v="40"/>
    <x v="42"/>
    <x v="0"/>
    <x v="42"/>
    <x v="42"/>
  </r>
  <r>
    <x v="49"/>
    <x v="49"/>
    <x v="1"/>
    <x v="35"/>
    <x v="0"/>
    <x v="37"/>
    <x v="27"/>
    <x v="41"/>
    <x v="43"/>
    <x v="0"/>
    <x v="43"/>
    <x v="43"/>
  </r>
  <r>
    <x v="50"/>
    <x v="50"/>
    <x v="2"/>
    <x v="3"/>
    <x v="35"/>
    <x v="38"/>
    <x v="38"/>
    <x v="42"/>
    <x v="44"/>
    <x v="0"/>
    <x v="44"/>
    <x v="44"/>
  </r>
  <r>
    <x v="51"/>
    <x v="51"/>
    <x v="3"/>
    <x v="27"/>
    <x v="36"/>
    <x v="39"/>
    <x v="12"/>
    <x v="43"/>
    <x v="45"/>
    <x v="0"/>
    <x v="45"/>
    <x v="45"/>
  </r>
  <r>
    <x v="52"/>
    <x v="52"/>
    <x v="4"/>
    <x v="36"/>
    <x v="37"/>
    <x v="30"/>
    <x v="39"/>
    <x v="44"/>
    <x v="46"/>
    <x v="0"/>
    <x v="46"/>
    <x v="46"/>
  </r>
  <r>
    <x v="53"/>
    <x v="53"/>
    <x v="5"/>
    <x v="37"/>
    <x v="38"/>
    <x v="35"/>
    <x v="40"/>
    <x v="6"/>
    <x v="8"/>
    <x v="0"/>
    <x v="8"/>
    <x v="8"/>
  </r>
  <r>
    <x v="54"/>
    <x v="54"/>
    <x v="6"/>
    <x v="38"/>
    <x v="36"/>
    <x v="19"/>
    <x v="3"/>
    <x v="45"/>
    <x v="47"/>
    <x v="0"/>
    <x v="47"/>
    <x v="47"/>
  </r>
  <r>
    <x v="55"/>
    <x v="55"/>
    <x v="7"/>
    <x v="39"/>
    <x v="39"/>
    <x v="40"/>
    <x v="41"/>
    <x v="46"/>
    <x v="40"/>
    <x v="0"/>
    <x v="40"/>
    <x v="40"/>
  </r>
  <r>
    <x v="56"/>
    <x v="56"/>
    <x v="0"/>
    <x v="21"/>
    <x v="30"/>
    <x v="41"/>
    <x v="42"/>
    <x v="47"/>
    <x v="48"/>
    <x v="0"/>
    <x v="48"/>
    <x v="48"/>
  </r>
  <r>
    <x v="57"/>
    <x v="57"/>
    <x v="1"/>
    <x v="40"/>
    <x v="7"/>
    <x v="12"/>
    <x v="18"/>
    <x v="48"/>
    <x v="42"/>
    <x v="0"/>
    <x v="42"/>
    <x v="42"/>
  </r>
  <r>
    <x v="58"/>
    <x v="58"/>
    <x v="2"/>
    <x v="12"/>
    <x v="40"/>
    <x v="25"/>
    <x v="43"/>
    <x v="20"/>
    <x v="49"/>
    <x v="0"/>
    <x v="49"/>
    <x v="49"/>
  </r>
  <r>
    <x v="59"/>
    <x v="59"/>
    <x v="3"/>
    <x v="41"/>
    <x v="41"/>
    <x v="42"/>
    <x v="44"/>
    <x v="30"/>
    <x v="33"/>
    <x v="0"/>
    <x v="33"/>
    <x v="33"/>
  </r>
  <r>
    <x v="60"/>
    <x v="60"/>
    <x v="4"/>
    <x v="22"/>
    <x v="42"/>
    <x v="8"/>
    <x v="8"/>
    <x v="20"/>
    <x v="50"/>
    <x v="0"/>
    <x v="50"/>
    <x v="50"/>
  </r>
  <r>
    <x v="61"/>
    <x v="61"/>
    <x v="5"/>
    <x v="1"/>
    <x v="30"/>
    <x v="43"/>
    <x v="21"/>
    <x v="9"/>
    <x v="51"/>
    <x v="0"/>
    <x v="51"/>
    <x v="51"/>
  </r>
  <r>
    <x v="62"/>
    <x v="62"/>
    <x v="6"/>
    <x v="42"/>
    <x v="43"/>
    <x v="35"/>
    <x v="16"/>
    <x v="22"/>
    <x v="52"/>
    <x v="0"/>
    <x v="52"/>
    <x v="52"/>
  </r>
  <r>
    <x v="63"/>
    <x v="63"/>
    <x v="7"/>
    <x v="43"/>
    <x v="44"/>
    <x v="44"/>
    <x v="35"/>
    <x v="4"/>
    <x v="53"/>
    <x v="0"/>
    <x v="53"/>
    <x v="53"/>
  </r>
  <r>
    <x v="64"/>
    <x v="64"/>
    <x v="0"/>
    <x v="33"/>
    <x v="31"/>
    <x v="18"/>
    <x v="2"/>
    <x v="22"/>
    <x v="54"/>
    <x v="0"/>
    <x v="54"/>
    <x v="54"/>
  </r>
  <r>
    <x v="65"/>
    <x v="65"/>
    <x v="1"/>
    <x v="1"/>
    <x v="35"/>
    <x v="11"/>
    <x v="18"/>
    <x v="32"/>
    <x v="55"/>
    <x v="0"/>
    <x v="55"/>
    <x v="55"/>
  </r>
  <r>
    <x v="66"/>
    <x v="66"/>
    <x v="2"/>
    <x v="44"/>
    <x v="2"/>
    <x v="45"/>
    <x v="17"/>
    <x v="49"/>
    <x v="56"/>
    <x v="0"/>
    <x v="56"/>
    <x v="56"/>
  </r>
  <r>
    <x v="67"/>
    <x v="67"/>
    <x v="3"/>
    <x v="32"/>
    <x v="9"/>
    <x v="23"/>
    <x v="45"/>
    <x v="1"/>
    <x v="57"/>
    <x v="0"/>
    <x v="57"/>
    <x v="57"/>
  </r>
  <r>
    <x v="68"/>
    <x v="68"/>
    <x v="4"/>
    <x v="2"/>
    <x v="8"/>
    <x v="46"/>
    <x v="46"/>
    <x v="31"/>
    <x v="58"/>
    <x v="0"/>
    <x v="58"/>
    <x v="58"/>
  </r>
  <r>
    <x v="69"/>
    <x v="69"/>
    <x v="5"/>
    <x v="45"/>
    <x v="8"/>
    <x v="47"/>
    <x v="43"/>
    <x v="50"/>
    <x v="59"/>
    <x v="0"/>
    <x v="59"/>
    <x v="59"/>
  </r>
  <r>
    <x v="70"/>
    <x v="70"/>
    <x v="6"/>
    <x v="19"/>
    <x v="35"/>
    <x v="35"/>
    <x v="47"/>
    <x v="51"/>
    <x v="60"/>
    <x v="0"/>
    <x v="60"/>
    <x v="60"/>
  </r>
  <r>
    <x v="71"/>
    <x v="71"/>
    <x v="7"/>
    <x v="46"/>
    <x v="45"/>
    <x v="21"/>
    <x v="48"/>
    <x v="10"/>
    <x v="61"/>
    <x v="0"/>
    <x v="61"/>
    <x v="61"/>
  </r>
  <r>
    <x v="72"/>
    <x v="72"/>
    <x v="0"/>
    <x v="47"/>
    <x v="46"/>
    <x v="45"/>
    <x v="49"/>
    <x v="25"/>
    <x v="62"/>
    <x v="0"/>
    <x v="62"/>
    <x v="62"/>
  </r>
  <r>
    <x v="73"/>
    <x v="73"/>
    <x v="1"/>
    <x v="47"/>
    <x v="10"/>
    <x v="40"/>
    <x v="23"/>
    <x v="52"/>
    <x v="63"/>
    <x v="0"/>
    <x v="63"/>
    <x v="63"/>
  </r>
  <r>
    <x v="74"/>
    <x v="74"/>
    <x v="2"/>
    <x v="48"/>
    <x v="7"/>
    <x v="14"/>
    <x v="50"/>
    <x v="0"/>
    <x v="64"/>
    <x v="0"/>
    <x v="64"/>
    <x v="64"/>
  </r>
  <r>
    <x v="75"/>
    <x v="75"/>
    <x v="3"/>
    <x v="17"/>
    <x v="34"/>
    <x v="48"/>
    <x v="51"/>
    <x v="53"/>
    <x v="65"/>
    <x v="0"/>
    <x v="65"/>
    <x v="65"/>
  </r>
  <r>
    <x v="76"/>
    <x v="76"/>
    <x v="4"/>
    <x v="49"/>
    <x v="47"/>
    <x v="39"/>
    <x v="0"/>
    <x v="23"/>
    <x v="66"/>
    <x v="0"/>
    <x v="66"/>
    <x v="66"/>
  </r>
  <r>
    <x v="77"/>
    <x v="77"/>
    <x v="5"/>
    <x v="50"/>
    <x v="48"/>
    <x v="45"/>
    <x v="52"/>
    <x v="21"/>
    <x v="67"/>
    <x v="0"/>
    <x v="67"/>
    <x v="67"/>
  </r>
  <r>
    <x v="78"/>
    <x v="78"/>
    <x v="6"/>
    <x v="22"/>
    <x v="32"/>
    <x v="39"/>
    <x v="53"/>
    <x v="15"/>
    <x v="68"/>
    <x v="0"/>
    <x v="68"/>
    <x v="68"/>
  </r>
  <r>
    <x v="79"/>
    <x v="79"/>
    <x v="7"/>
    <x v="37"/>
    <x v="49"/>
    <x v="49"/>
    <x v="17"/>
    <x v="54"/>
    <x v="69"/>
    <x v="0"/>
    <x v="69"/>
    <x v="69"/>
  </r>
  <r>
    <x v="80"/>
    <x v="80"/>
    <x v="0"/>
    <x v="51"/>
    <x v="50"/>
    <x v="14"/>
    <x v="3"/>
    <x v="55"/>
    <x v="70"/>
    <x v="0"/>
    <x v="70"/>
    <x v="70"/>
  </r>
  <r>
    <x v="81"/>
    <x v="81"/>
    <x v="1"/>
    <x v="52"/>
    <x v="51"/>
    <x v="50"/>
    <x v="54"/>
    <x v="39"/>
    <x v="71"/>
    <x v="0"/>
    <x v="71"/>
    <x v="71"/>
  </r>
  <r>
    <x v="82"/>
    <x v="82"/>
    <x v="2"/>
    <x v="53"/>
    <x v="49"/>
    <x v="17"/>
    <x v="9"/>
    <x v="36"/>
    <x v="72"/>
    <x v="0"/>
    <x v="72"/>
    <x v="72"/>
  </r>
  <r>
    <x v="83"/>
    <x v="83"/>
    <x v="3"/>
    <x v="54"/>
    <x v="52"/>
    <x v="2"/>
    <x v="25"/>
    <x v="56"/>
    <x v="73"/>
    <x v="0"/>
    <x v="73"/>
    <x v="73"/>
  </r>
  <r>
    <x v="84"/>
    <x v="84"/>
    <x v="4"/>
    <x v="55"/>
    <x v="21"/>
    <x v="51"/>
    <x v="6"/>
    <x v="57"/>
    <x v="74"/>
    <x v="0"/>
    <x v="74"/>
    <x v="74"/>
  </r>
  <r>
    <x v="85"/>
    <x v="85"/>
    <x v="5"/>
    <x v="56"/>
    <x v="53"/>
    <x v="52"/>
    <x v="40"/>
    <x v="22"/>
    <x v="75"/>
    <x v="0"/>
    <x v="75"/>
    <x v="75"/>
  </r>
  <r>
    <x v="86"/>
    <x v="86"/>
    <x v="6"/>
    <x v="40"/>
    <x v="47"/>
    <x v="53"/>
    <x v="55"/>
    <x v="58"/>
    <x v="71"/>
    <x v="0"/>
    <x v="71"/>
    <x v="71"/>
  </r>
  <r>
    <x v="87"/>
    <x v="87"/>
    <x v="7"/>
    <x v="46"/>
    <x v="2"/>
    <x v="54"/>
    <x v="56"/>
    <x v="59"/>
    <x v="13"/>
    <x v="0"/>
    <x v="13"/>
    <x v="13"/>
  </r>
  <r>
    <x v="88"/>
    <x v="88"/>
    <x v="0"/>
    <x v="25"/>
    <x v="32"/>
    <x v="47"/>
    <x v="8"/>
    <x v="22"/>
    <x v="68"/>
    <x v="0"/>
    <x v="68"/>
    <x v="68"/>
  </r>
  <r>
    <x v="89"/>
    <x v="89"/>
    <x v="1"/>
    <x v="16"/>
    <x v="15"/>
    <x v="4"/>
    <x v="57"/>
    <x v="60"/>
    <x v="76"/>
    <x v="0"/>
    <x v="76"/>
    <x v="76"/>
  </r>
  <r>
    <x v="90"/>
    <x v="90"/>
    <x v="2"/>
    <x v="34"/>
    <x v="18"/>
    <x v="55"/>
    <x v="24"/>
    <x v="58"/>
    <x v="49"/>
    <x v="0"/>
    <x v="49"/>
    <x v="49"/>
  </r>
  <r>
    <x v="91"/>
    <x v="91"/>
    <x v="3"/>
    <x v="18"/>
    <x v="54"/>
    <x v="6"/>
    <x v="16"/>
    <x v="25"/>
    <x v="68"/>
    <x v="0"/>
    <x v="68"/>
    <x v="68"/>
  </r>
  <r>
    <x v="92"/>
    <x v="92"/>
    <x v="4"/>
    <x v="39"/>
    <x v="55"/>
    <x v="56"/>
    <x v="58"/>
    <x v="61"/>
    <x v="67"/>
    <x v="0"/>
    <x v="67"/>
    <x v="67"/>
  </r>
  <r>
    <x v="93"/>
    <x v="93"/>
    <x v="5"/>
    <x v="57"/>
    <x v="38"/>
    <x v="56"/>
    <x v="41"/>
    <x v="47"/>
    <x v="77"/>
    <x v="0"/>
    <x v="77"/>
    <x v="77"/>
  </r>
  <r>
    <x v="94"/>
    <x v="94"/>
    <x v="6"/>
    <x v="15"/>
    <x v="30"/>
    <x v="57"/>
    <x v="59"/>
    <x v="62"/>
    <x v="78"/>
    <x v="0"/>
    <x v="78"/>
    <x v="78"/>
  </r>
  <r>
    <x v="95"/>
    <x v="95"/>
    <x v="7"/>
    <x v="4"/>
    <x v="2"/>
    <x v="27"/>
    <x v="26"/>
    <x v="63"/>
    <x v="35"/>
    <x v="0"/>
    <x v="35"/>
    <x v="35"/>
  </r>
  <r>
    <x v="96"/>
    <x v="96"/>
    <x v="0"/>
    <x v="58"/>
    <x v="56"/>
    <x v="42"/>
    <x v="26"/>
    <x v="64"/>
    <x v="67"/>
    <x v="0"/>
    <x v="67"/>
    <x v="67"/>
  </r>
  <r>
    <x v="97"/>
    <x v="97"/>
    <x v="1"/>
    <x v="37"/>
    <x v="49"/>
    <x v="58"/>
    <x v="60"/>
    <x v="64"/>
    <x v="66"/>
    <x v="0"/>
    <x v="66"/>
    <x v="66"/>
  </r>
  <r>
    <x v="98"/>
    <x v="98"/>
    <x v="2"/>
    <x v="35"/>
    <x v="7"/>
    <x v="59"/>
    <x v="58"/>
    <x v="65"/>
    <x v="79"/>
    <x v="0"/>
    <x v="79"/>
    <x v="79"/>
  </r>
  <r>
    <x v="99"/>
    <x v="99"/>
    <x v="3"/>
    <x v="59"/>
    <x v="57"/>
    <x v="53"/>
    <x v="61"/>
    <x v="29"/>
    <x v="76"/>
    <x v="0"/>
    <x v="76"/>
    <x v="76"/>
  </r>
  <r>
    <x v="100"/>
    <x v="100"/>
    <x v="4"/>
    <x v="0"/>
    <x v="12"/>
    <x v="21"/>
    <x v="60"/>
    <x v="66"/>
    <x v="80"/>
    <x v="0"/>
    <x v="80"/>
    <x v="80"/>
  </r>
  <r>
    <x v="101"/>
    <x v="101"/>
    <x v="5"/>
    <x v="54"/>
    <x v="11"/>
    <x v="8"/>
    <x v="3"/>
    <x v="52"/>
    <x v="46"/>
    <x v="0"/>
    <x v="46"/>
    <x v="46"/>
  </r>
  <r>
    <x v="102"/>
    <x v="102"/>
    <x v="6"/>
    <x v="60"/>
    <x v="38"/>
    <x v="28"/>
    <x v="62"/>
    <x v="17"/>
    <x v="81"/>
    <x v="0"/>
    <x v="81"/>
    <x v="81"/>
  </r>
  <r>
    <x v="103"/>
    <x v="103"/>
    <x v="7"/>
    <x v="5"/>
    <x v="28"/>
    <x v="26"/>
    <x v="63"/>
    <x v="54"/>
    <x v="13"/>
    <x v="0"/>
    <x v="13"/>
    <x v="13"/>
  </r>
  <r>
    <x v="104"/>
    <x v="104"/>
    <x v="0"/>
    <x v="36"/>
    <x v="58"/>
    <x v="60"/>
    <x v="17"/>
    <x v="67"/>
    <x v="70"/>
    <x v="0"/>
    <x v="70"/>
    <x v="70"/>
  </r>
  <r>
    <x v="105"/>
    <x v="105"/>
    <x v="1"/>
    <x v="61"/>
    <x v="18"/>
    <x v="13"/>
    <x v="64"/>
    <x v="32"/>
    <x v="82"/>
    <x v="0"/>
    <x v="82"/>
    <x v="82"/>
  </r>
  <r>
    <x v="106"/>
    <x v="106"/>
    <x v="2"/>
    <x v="61"/>
    <x v="59"/>
    <x v="7"/>
    <x v="11"/>
    <x v="11"/>
    <x v="83"/>
    <x v="0"/>
    <x v="83"/>
    <x v="83"/>
  </r>
  <r>
    <x v="107"/>
    <x v="107"/>
    <x v="3"/>
    <x v="43"/>
    <x v="60"/>
    <x v="46"/>
    <x v="4"/>
    <x v="32"/>
    <x v="84"/>
    <x v="0"/>
    <x v="84"/>
    <x v="84"/>
  </r>
  <r>
    <x v="108"/>
    <x v="108"/>
    <x v="4"/>
    <x v="62"/>
    <x v="5"/>
    <x v="28"/>
    <x v="56"/>
    <x v="54"/>
    <x v="85"/>
    <x v="0"/>
    <x v="85"/>
    <x v="85"/>
  </r>
  <r>
    <x v="109"/>
    <x v="109"/>
    <x v="5"/>
    <x v="12"/>
    <x v="61"/>
    <x v="61"/>
    <x v="43"/>
    <x v="61"/>
    <x v="86"/>
    <x v="0"/>
    <x v="86"/>
    <x v="86"/>
  </r>
  <r>
    <x v="110"/>
    <x v="110"/>
    <x v="6"/>
    <x v="55"/>
    <x v="9"/>
    <x v="39"/>
    <x v="39"/>
    <x v="33"/>
    <x v="87"/>
    <x v="0"/>
    <x v="87"/>
    <x v="87"/>
  </r>
  <r>
    <x v="111"/>
    <x v="111"/>
    <x v="7"/>
    <x v="18"/>
    <x v="45"/>
    <x v="62"/>
    <x v="65"/>
    <x v="40"/>
    <x v="88"/>
    <x v="0"/>
    <x v="88"/>
    <x v="88"/>
  </r>
  <r>
    <x v="112"/>
    <x v="112"/>
    <x v="0"/>
    <x v="42"/>
    <x v="11"/>
    <x v="63"/>
    <x v="34"/>
    <x v="11"/>
    <x v="89"/>
    <x v="0"/>
    <x v="89"/>
    <x v="89"/>
  </r>
  <r>
    <x v="113"/>
    <x v="113"/>
    <x v="1"/>
    <x v="44"/>
    <x v="47"/>
    <x v="11"/>
    <x v="53"/>
    <x v="68"/>
    <x v="90"/>
    <x v="0"/>
    <x v="90"/>
    <x v="90"/>
  </r>
  <r>
    <x v="114"/>
    <x v="114"/>
    <x v="2"/>
    <x v="2"/>
    <x v="57"/>
    <x v="64"/>
    <x v="22"/>
    <x v="20"/>
    <x v="31"/>
    <x v="0"/>
    <x v="31"/>
    <x v="31"/>
  </r>
  <r>
    <x v="115"/>
    <x v="115"/>
    <x v="3"/>
    <x v="51"/>
    <x v="54"/>
    <x v="27"/>
    <x v="56"/>
    <x v="69"/>
    <x v="91"/>
    <x v="0"/>
    <x v="91"/>
    <x v="91"/>
  </r>
  <r>
    <x v="116"/>
    <x v="116"/>
    <x v="4"/>
    <x v="63"/>
    <x v="62"/>
    <x v="27"/>
    <x v="66"/>
    <x v="32"/>
    <x v="55"/>
    <x v="0"/>
    <x v="55"/>
    <x v="55"/>
  </r>
  <r>
    <x v="117"/>
    <x v="117"/>
    <x v="5"/>
    <x v="63"/>
    <x v="63"/>
    <x v="44"/>
    <x v="67"/>
    <x v="22"/>
    <x v="92"/>
    <x v="0"/>
    <x v="92"/>
    <x v="92"/>
  </r>
  <r>
    <x v="118"/>
    <x v="118"/>
    <x v="6"/>
    <x v="18"/>
    <x v="46"/>
    <x v="65"/>
    <x v="41"/>
    <x v="32"/>
    <x v="93"/>
    <x v="0"/>
    <x v="93"/>
    <x v="93"/>
  </r>
  <r>
    <x v="119"/>
    <x v="119"/>
    <x v="7"/>
    <x v="27"/>
    <x v="64"/>
    <x v="19"/>
    <x v="68"/>
    <x v="70"/>
    <x v="94"/>
    <x v="0"/>
    <x v="94"/>
    <x v="94"/>
  </r>
  <r>
    <x v="120"/>
    <x v="120"/>
    <x v="0"/>
    <x v="30"/>
    <x v="22"/>
    <x v="32"/>
    <x v="32"/>
    <x v="54"/>
    <x v="49"/>
    <x v="0"/>
    <x v="49"/>
    <x v="49"/>
  </r>
  <r>
    <x v="121"/>
    <x v="121"/>
    <x v="1"/>
    <x v="64"/>
    <x v="50"/>
    <x v="14"/>
    <x v="14"/>
    <x v="71"/>
    <x v="95"/>
    <x v="0"/>
    <x v="95"/>
    <x v="95"/>
  </r>
  <r>
    <x v="122"/>
    <x v="122"/>
    <x v="2"/>
    <x v="65"/>
    <x v="49"/>
    <x v="66"/>
    <x v="59"/>
    <x v="28"/>
    <x v="64"/>
    <x v="0"/>
    <x v="64"/>
    <x v="64"/>
  </r>
  <r>
    <x v="123"/>
    <x v="123"/>
    <x v="3"/>
    <x v="63"/>
    <x v="33"/>
    <x v="64"/>
    <x v="69"/>
    <x v="48"/>
    <x v="67"/>
    <x v="0"/>
    <x v="67"/>
    <x v="67"/>
  </r>
  <r>
    <x v="124"/>
    <x v="124"/>
    <x v="4"/>
    <x v="58"/>
    <x v="41"/>
    <x v="67"/>
    <x v="15"/>
    <x v="72"/>
    <x v="96"/>
    <x v="0"/>
    <x v="96"/>
    <x v="96"/>
  </r>
  <r>
    <x v="125"/>
    <x v="125"/>
    <x v="5"/>
    <x v="47"/>
    <x v="24"/>
    <x v="19"/>
    <x v="14"/>
    <x v="1"/>
    <x v="97"/>
    <x v="0"/>
    <x v="97"/>
    <x v="97"/>
  </r>
  <r>
    <x v="126"/>
    <x v="126"/>
    <x v="6"/>
    <x v="66"/>
    <x v="64"/>
    <x v="61"/>
    <x v="36"/>
    <x v="38"/>
    <x v="46"/>
    <x v="0"/>
    <x v="46"/>
    <x v="46"/>
  </r>
  <r>
    <x v="127"/>
    <x v="127"/>
    <x v="7"/>
    <x v="67"/>
    <x v="65"/>
    <x v="8"/>
    <x v="51"/>
    <x v="63"/>
    <x v="20"/>
    <x v="0"/>
    <x v="20"/>
    <x v="20"/>
  </r>
  <r>
    <x v="128"/>
    <x v="128"/>
    <x v="0"/>
    <x v="63"/>
    <x v="1"/>
    <x v="67"/>
    <x v="43"/>
    <x v="9"/>
    <x v="13"/>
    <x v="0"/>
    <x v="13"/>
    <x v="13"/>
  </r>
  <r>
    <x v="129"/>
    <x v="129"/>
    <x v="1"/>
    <x v="54"/>
    <x v="66"/>
    <x v="33"/>
    <x v="24"/>
    <x v="73"/>
    <x v="98"/>
    <x v="0"/>
    <x v="98"/>
    <x v="98"/>
  </r>
  <r>
    <x v="130"/>
    <x v="130"/>
    <x v="2"/>
    <x v="68"/>
    <x v="2"/>
    <x v="26"/>
    <x v="36"/>
    <x v="53"/>
    <x v="86"/>
    <x v="0"/>
    <x v="86"/>
    <x v="86"/>
  </r>
  <r>
    <x v="131"/>
    <x v="131"/>
    <x v="3"/>
    <x v="51"/>
    <x v="67"/>
    <x v="25"/>
    <x v="9"/>
    <x v="4"/>
    <x v="33"/>
    <x v="0"/>
    <x v="33"/>
    <x v="33"/>
  </r>
  <r>
    <x v="132"/>
    <x v="132"/>
    <x v="4"/>
    <x v="5"/>
    <x v="30"/>
    <x v="52"/>
    <x v="70"/>
    <x v="40"/>
    <x v="99"/>
    <x v="0"/>
    <x v="99"/>
    <x v="99"/>
  </r>
  <r>
    <x v="133"/>
    <x v="133"/>
    <x v="5"/>
    <x v="19"/>
    <x v="63"/>
    <x v="36"/>
    <x v="38"/>
    <x v="45"/>
    <x v="50"/>
    <x v="0"/>
    <x v="50"/>
    <x v="50"/>
  </r>
  <r>
    <x v="134"/>
    <x v="134"/>
    <x v="6"/>
    <x v="27"/>
    <x v="17"/>
    <x v="35"/>
    <x v="71"/>
    <x v="44"/>
    <x v="100"/>
    <x v="0"/>
    <x v="100"/>
    <x v="100"/>
  </r>
  <r>
    <x v="135"/>
    <x v="135"/>
    <x v="7"/>
    <x v="30"/>
    <x v="67"/>
    <x v="52"/>
    <x v="26"/>
    <x v="12"/>
    <x v="94"/>
    <x v="0"/>
    <x v="94"/>
    <x v="94"/>
  </r>
  <r>
    <x v="136"/>
    <x v="136"/>
    <x v="0"/>
    <x v="7"/>
    <x v="36"/>
    <x v="4"/>
    <x v="72"/>
    <x v="74"/>
    <x v="3"/>
    <x v="0"/>
    <x v="3"/>
    <x v="3"/>
  </r>
  <r>
    <x v="137"/>
    <x v="137"/>
    <x v="1"/>
    <x v="25"/>
    <x v="51"/>
    <x v="65"/>
    <x v="3"/>
    <x v="59"/>
    <x v="101"/>
    <x v="0"/>
    <x v="101"/>
    <x v="101"/>
  </r>
  <r>
    <x v="138"/>
    <x v="138"/>
    <x v="2"/>
    <x v="69"/>
    <x v="68"/>
    <x v="33"/>
    <x v="4"/>
    <x v="68"/>
    <x v="94"/>
    <x v="0"/>
    <x v="94"/>
    <x v="94"/>
  </r>
  <r>
    <x v="139"/>
    <x v="139"/>
    <x v="3"/>
    <x v="53"/>
    <x v="69"/>
    <x v="34"/>
    <x v="17"/>
    <x v="54"/>
    <x v="94"/>
    <x v="0"/>
    <x v="94"/>
    <x v="94"/>
  </r>
  <r>
    <x v="140"/>
    <x v="140"/>
    <x v="4"/>
    <x v="56"/>
    <x v="9"/>
    <x v="68"/>
    <x v="0"/>
    <x v="75"/>
    <x v="66"/>
    <x v="0"/>
    <x v="66"/>
    <x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L9:R16" firstHeaderRow="1" firstDataRow="2" firstDataCol="1"/>
  <pivotFields count="10">
    <pivotField compact="0"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compact="0" showAll="0">
      <items count="11">
        <item x="0"/>
        <item x="1"/>
        <item x="2"/>
        <item x="3"/>
        <item x="4"/>
        <item x="5"/>
        <item x="6"/>
        <item x="7"/>
        <item x="8"/>
        <item x="9"/>
        <item t="default"/>
      </items>
    </pivotField>
    <pivotField compact="0" showAll="0">
      <items count="16">
        <item x="0"/>
        <item x="1"/>
        <item x="2"/>
        <item x="3"/>
        <item x="4"/>
        <item x="5"/>
        <item x="6"/>
        <item x="7"/>
        <item x="8"/>
        <item x="9"/>
        <item x="10"/>
        <item x="11"/>
        <item x="12"/>
        <item x="13"/>
        <item x="14"/>
        <item t="default"/>
      </items>
    </pivotField>
    <pivotField axis="axisRow" dataField="1" compact="0" showAll="0">
      <items count="6">
        <item x="4"/>
        <item x="3"/>
        <item x="2"/>
        <item x="0"/>
        <item x="1"/>
        <item t="default"/>
      </items>
    </pivotField>
    <pivotField compact="0" showAll="0">
      <items count="4">
        <item x="0"/>
        <item x="1"/>
        <item x="2"/>
        <item t="default"/>
      </items>
    </pivotField>
    <pivotField axis="axisCol" compact="0" showAll="0">
      <items count="6">
        <item x="2"/>
        <item x="4"/>
        <item x="0"/>
        <item x="3"/>
        <item x="1"/>
        <item t="default"/>
      </items>
    </pivotField>
    <pivotField compact="0" showAll="0">
      <items count="21">
        <item x="0"/>
        <item x="1"/>
        <item x="2"/>
        <item x="3"/>
        <item x="4"/>
        <item x="5"/>
        <item x="6"/>
        <item x="7"/>
        <item x="8"/>
        <item x="9"/>
        <item x="10"/>
        <item x="11"/>
        <item x="12"/>
        <item x="13"/>
        <item x="14"/>
        <item x="15"/>
        <item x="16"/>
        <item x="17"/>
        <item x="18"/>
        <item x="19"/>
        <item t="default"/>
      </items>
    </pivotField>
    <pivotField compact="0" showAll="0">
      <items count="21">
        <item x="0"/>
        <item x="1"/>
        <item x="2"/>
        <item x="3"/>
        <item x="4"/>
        <item x="5"/>
        <item x="6"/>
        <item x="7"/>
        <item x="8"/>
        <item x="9"/>
        <item x="10"/>
        <item x="11"/>
        <item x="12"/>
        <item x="13"/>
        <item x="14"/>
        <item x="15"/>
        <item x="16"/>
        <item x="17"/>
        <item x="18"/>
        <item x="19"/>
        <item t="default"/>
      </items>
    </pivotField>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s>
  <rowFields count="1">
    <field x="3"/>
  </rowFields>
  <rowItems count="6">
    <i>
      <x/>
    </i>
    <i>
      <x v="1"/>
    </i>
    <i>
      <x v="2"/>
    </i>
    <i>
      <x v="3"/>
    </i>
    <i>
      <x v="4"/>
    </i>
    <i t="grand">
      <x/>
    </i>
  </rowItems>
  <colFields count="1">
    <field x="5"/>
  </colFields>
  <colItems count="6">
    <i>
      <x/>
    </i>
    <i>
      <x v="1"/>
    </i>
    <i>
      <x v="2"/>
    </i>
    <i>
      <x v="3"/>
    </i>
    <i>
      <x v="4"/>
    </i>
    <i t="grand">
      <x/>
    </i>
  </colItems>
  <dataFields count="1">
    <dataField name="Count of State" fld="3"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dataPosition="1"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L36:R47" firstHeaderRow="1" firstDataRow="3" firstDataCol="1" rowPageCount="2" colPageCount="1"/>
  <pivotFields count="10">
    <pivotField compact="0"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compact="0" showAll="0">
      <items count="11">
        <item x="0"/>
        <item x="1"/>
        <item x="2"/>
        <item x="3"/>
        <item x="4"/>
        <item x="5"/>
        <item x="6"/>
        <item x="7"/>
        <item x="8"/>
        <item x="9"/>
        <item t="default"/>
      </items>
    </pivotField>
    <pivotField compact="0" showAll="0">
      <items count="16">
        <item x="0"/>
        <item x="1"/>
        <item x="2"/>
        <item x="3"/>
        <item x="4"/>
        <item x="5"/>
        <item x="6"/>
        <item x="7"/>
        <item x="8"/>
        <item x="9"/>
        <item x="10"/>
        <item x="11"/>
        <item x="12"/>
        <item x="13"/>
        <item x="14"/>
        <item t="default"/>
      </items>
    </pivotField>
    <pivotField axis="axisPage" compact="0" multipleItemSelectionAllowed="1" showAll="0">
      <items count="6">
        <item h="1" x="4"/>
        <item h="1" x="3"/>
        <item x="2"/>
        <item h="1" x="0"/>
        <item h="1" x="1"/>
        <item t="default"/>
      </items>
    </pivotField>
    <pivotField axis="axisPage" compact="0" multipleItemSelectionAllowed="1" showAll="0">
      <items count="4">
        <item h="1" x="2"/>
        <item x="1"/>
        <item h="1" x="0"/>
        <item t="default"/>
      </items>
    </pivotField>
    <pivotField axis="axisCol" compact="0" multipleItemSelectionAllowed="1" showAll="0">
      <items count="6">
        <item h="1" x="2"/>
        <item x="4"/>
        <item x="0"/>
        <item h="1" x="3"/>
        <item h="1" x="1"/>
        <item t="default"/>
      </items>
    </pivotField>
    <pivotField axis="axisRow" compact="0" showAll="0">
      <items count="21">
        <item x="11"/>
        <item x="19"/>
        <item x="2"/>
        <item x="4"/>
        <item x="5"/>
        <item x="13"/>
        <item x="6"/>
        <item x="3"/>
        <item x="18"/>
        <item x="12"/>
        <item x="7"/>
        <item x="14"/>
        <item x="9"/>
        <item x="1"/>
        <item x="8"/>
        <item x="15"/>
        <item x="17"/>
        <item x="10"/>
        <item x="0"/>
        <item x="16"/>
        <item t="default"/>
      </items>
    </pivotField>
    <pivotField dataField="1" compact="0" showAll="0">
      <items count="21">
        <item x="0"/>
        <item x="1"/>
        <item x="2"/>
        <item x="3"/>
        <item x="4"/>
        <item x="5"/>
        <item x="6"/>
        <item x="7"/>
        <item x="8"/>
        <item x="9"/>
        <item x="10"/>
        <item x="11"/>
        <item x="12"/>
        <item x="13"/>
        <item x="14"/>
        <item x="15"/>
        <item x="16"/>
        <item x="17"/>
        <item x="18"/>
        <item x="19"/>
        <item t="default"/>
      </items>
    </pivotField>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s>
  <rowFields count="1">
    <field x="6"/>
  </rowFields>
  <rowItems count="9">
    <i>
      <x/>
    </i>
    <i>
      <x v="1"/>
    </i>
    <i>
      <x v="4"/>
    </i>
    <i>
      <x v="6"/>
    </i>
    <i>
      <x v="15"/>
    </i>
    <i>
      <x v="16"/>
    </i>
    <i>
      <x v="18"/>
    </i>
    <i>
      <x v="19"/>
    </i>
    <i t="grand">
      <x/>
    </i>
  </rowItems>
  <colFields count="2">
    <field x="5"/>
    <field x="-2"/>
  </colFields>
  <colItems count="6">
    <i>
      <x v="1"/>
      <x/>
    </i>
    <i r="1" i="1">
      <x v="1"/>
    </i>
    <i>
      <x v="2"/>
      <x/>
    </i>
    <i r="1" i="1">
      <x v="1"/>
    </i>
    <i t="grand">
      <x/>
    </i>
    <i t="grand" i="1">
      <x/>
    </i>
  </colItems>
  <pageFields count="2">
    <pageField fld="3"/>
    <pageField fld="4"/>
  </pageFields>
  <dataFields count="2">
    <dataField name="Sum of Sales Amount" fld="9" baseField="0" baseItem="0"/>
    <dataField name="Sum of Quantity" fld="7" baseField="0" baseItem="0"/>
  </dataFields>
  <formats count="2">
    <format dxfId="0">
      <pivotArea type="all" dataOnly="0" outline="0" fieldPosition="0"/>
    </format>
    <format dxfId="1">
      <pivotArea type="all" dataOnly="0" outline="0"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dataPosition="1"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L1:M7" firstHeaderRow="1" firstDataRow="1" firstDataCol="1"/>
  <pivotFields count="10">
    <pivotField compact="0"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compact="0" showAll="0">
      <items count="11">
        <item x="0"/>
        <item x="1"/>
        <item x="2"/>
        <item x="3"/>
        <item x="4"/>
        <item x="5"/>
        <item x="6"/>
        <item x="7"/>
        <item x="8"/>
        <item x="9"/>
        <item t="default"/>
      </items>
    </pivotField>
    <pivotField compact="0" showAll="0">
      <items count="16">
        <item x="0"/>
        <item x="1"/>
        <item x="2"/>
        <item x="3"/>
        <item x="4"/>
        <item x="5"/>
        <item x="6"/>
        <item x="7"/>
        <item x="8"/>
        <item x="9"/>
        <item x="10"/>
        <item x="11"/>
        <item x="12"/>
        <item x="13"/>
        <item x="14"/>
        <item t="default"/>
      </items>
    </pivotField>
    <pivotField axis="axisRow" dataField="1" compact="0" multipleItemSelectionAllowed="1" showAll="0">
      <items count="6">
        <item x="4"/>
        <item x="3"/>
        <item x="2"/>
        <item x="0"/>
        <item x="1"/>
        <item t="default"/>
      </items>
    </pivotField>
    <pivotField compact="0" showAll="0">
      <items count="4">
        <item x="0"/>
        <item x="1"/>
        <item x="2"/>
        <item t="default"/>
      </items>
    </pivotField>
    <pivotField compact="0" showAll="0">
      <items count="6">
        <item x="0"/>
        <item x="1"/>
        <item x="2"/>
        <item x="3"/>
        <item x="4"/>
        <item t="default"/>
      </items>
    </pivotField>
    <pivotField compact="0" showAll="0">
      <items count="21">
        <item x="0"/>
        <item x="1"/>
        <item x="2"/>
        <item x="3"/>
        <item x="4"/>
        <item x="5"/>
        <item x="6"/>
        <item x="7"/>
        <item x="8"/>
        <item x="9"/>
        <item x="10"/>
        <item x="11"/>
        <item x="12"/>
        <item x="13"/>
        <item x="14"/>
        <item x="15"/>
        <item x="16"/>
        <item x="17"/>
        <item x="18"/>
        <item x="19"/>
        <item t="default"/>
      </items>
    </pivotField>
    <pivotField compact="0" showAll="0">
      <items count="21">
        <item x="0"/>
        <item x="1"/>
        <item x="2"/>
        <item x="3"/>
        <item x="4"/>
        <item x="5"/>
        <item x="6"/>
        <item x="7"/>
        <item x="8"/>
        <item x="9"/>
        <item x="10"/>
        <item x="11"/>
        <item x="12"/>
        <item x="13"/>
        <item x="14"/>
        <item x="15"/>
        <item x="16"/>
        <item x="17"/>
        <item x="18"/>
        <item x="19"/>
        <item t="default"/>
      </items>
    </pivotField>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s>
  <rowFields count="1">
    <field x="3"/>
  </rowFields>
  <rowItems count="6">
    <i>
      <x/>
    </i>
    <i>
      <x v="1"/>
    </i>
    <i>
      <x v="2"/>
    </i>
    <i>
      <x v="3"/>
    </i>
    <i>
      <x v="4"/>
    </i>
    <i t="grand">
      <x/>
    </i>
  </rowItems>
  <colItems count="1">
    <i/>
  </colItems>
  <dataFields count="1">
    <dataField name="Count of State" fld="3"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10">
  <location ref="L5:M11" firstHeaderRow="1" firstDataRow="1" firstDataCol="1" rowPageCount="3" colPageCount="1"/>
  <pivotFields count="10">
    <pivotField compact="0" showAll="0">
      <items count="348">
        <item x="28"/>
        <item x="251"/>
        <item x="254"/>
        <item x="48"/>
        <item x="151"/>
        <item x="92"/>
        <item x="124"/>
        <item x="90"/>
        <item x="195"/>
        <item x="187"/>
        <item x="247"/>
        <item x="33"/>
        <item x="149"/>
        <item x="12"/>
        <item x="201"/>
        <item x="321"/>
        <item x="101"/>
        <item x="292"/>
        <item x="182"/>
        <item x="250"/>
        <item x="3"/>
        <item x="245"/>
        <item x="217"/>
        <item x="145"/>
        <item x="136"/>
        <item x="219"/>
        <item x="45"/>
        <item x="79"/>
        <item x="7"/>
        <item x="248"/>
        <item x="134"/>
        <item x="192"/>
        <item x="128"/>
        <item x="57"/>
        <item x="69"/>
        <item x="119"/>
        <item x="138"/>
        <item x="96"/>
        <item x="327"/>
        <item x="266"/>
        <item x="8"/>
        <item x="115"/>
        <item x="287"/>
        <item x="326"/>
        <item x="265"/>
        <item x="334"/>
        <item x="340"/>
        <item x="52"/>
        <item x="126"/>
        <item x="140"/>
        <item x="171"/>
        <item x="14"/>
        <item x="76"/>
        <item x="31"/>
        <item x="276"/>
        <item x="190"/>
        <item x="103"/>
        <item x="253"/>
        <item x="24"/>
        <item x="152"/>
        <item x="223"/>
        <item x="243"/>
        <item x="297"/>
        <item x="5"/>
        <item x="191"/>
        <item x="162"/>
        <item x="60"/>
        <item x="40"/>
        <item x="322"/>
        <item x="308"/>
        <item x="208"/>
        <item x="160"/>
        <item x="125"/>
        <item x="9"/>
        <item x="305"/>
        <item x="17"/>
        <item x="35"/>
        <item x="18"/>
        <item x="169"/>
        <item x="263"/>
        <item x="226"/>
        <item x="280"/>
        <item x="16"/>
        <item x="102"/>
        <item x="319"/>
        <item x="275"/>
        <item x="78"/>
        <item x="106"/>
        <item x="129"/>
        <item x="318"/>
        <item x="154"/>
        <item x="67"/>
        <item x="294"/>
        <item x="123"/>
        <item x="307"/>
        <item x="150"/>
        <item x="343"/>
        <item x="95"/>
        <item x="346"/>
        <item x="120"/>
        <item x="22"/>
        <item x="324"/>
        <item x="81"/>
        <item x="167"/>
        <item x="38"/>
        <item x="117"/>
        <item x="309"/>
        <item x="39"/>
        <item x="236"/>
        <item x="218"/>
        <item x="262"/>
        <item x="43"/>
        <item x="54"/>
        <item x="10"/>
        <item x="204"/>
        <item x="310"/>
        <item x="62"/>
        <item x="47"/>
        <item x="63"/>
        <item x="19"/>
        <item x="137"/>
        <item x="207"/>
        <item x="330"/>
        <item x="112"/>
        <item x="240"/>
        <item x="91"/>
        <item x="74"/>
        <item x="176"/>
        <item x="278"/>
        <item x="291"/>
        <item x="189"/>
        <item x="168"/>
        <item x="173"/>
        <item x="193"/>
        <item x="214"/>
        <item x="59"/>
        <item x="13"/>
        <item x="93"/>
        <item x="127"/>
        <item x="97"/>
        <item x="88"/>
        <item x="257"/>
        <item x="184"/>
        <item x="227"/>
        <item x="335"/>
        <item x="65"/>
        <item x="281"/>
        <item x="29"/>
        <item x="98"/>
        <item x="165"/>
        <item x="239"/>
        <item x="21"/>
        <item x="0"/>
        <item x="64"/>
        <item x="141"/>
        <item x="246"/>
        <item x="230"/>
        <item x="75"/>
        <item x="221"/>
        <item x="130"/>
        <item x="86"/>
        <item x="260"/>
        <item x="153"/>
        <item x="283"/>
        <item x="73"/>
        <item x="332"/>
        <item x="25"/>
        <item x="114"/>
        <item x="337"/>
        <item x="285"/>
        <item x="286"/>
        <item x="345"/>
        <item x="256"/>
        <item x="338"/>
        <item x="142"/>
        <item x="175"/>
        <item x="277"/>
        <item x="320"/>
        <item x="177"/>
        <item x="268"/>
        <item x="157"/>
        <item x="342"/>
        <item x="155"/>
        <item x="211"/>
        <item x="325"/>
        <item x="228"/>
        <item x="34"/>
        <item x="344"/>
        <item x="71"/>
        <item x="238"/>
        <item x="274"/>
        <item x="302"/>
        <item x="26"/>
        <item x="186"/>
        <item x="315"/>
        <item x="188"/>
        <item x="270"/>
        <item x="72"/>
        <item x="161"/>
        <item x="215"/>
        <item x="147"/>
        <item x="295"/>
        <item x="252"/>
        <item x="44"/>
        <item x="105"/>
        <item x="316"/>
        <item x="108"/>
        <item x="261"/>
        <item x="234"/>
        <item x="279"/>
        <item x="317"/>
        <item x="312"/>
        <item x="313"/>
        <item x="37"/>
        <item x="23"/>
        <item x="6"/>
        <item x="290"/>
        <item x="224"/>
        <item x="323"/>
        <item x="220"/>
        <item x="1"/>
        <item x="80"/>
        <item x="144"/>
        <item x="163"/>
        <item x="66"/>
        <item x="196"/>
        <item x="336"/>
        <item x="15"/>
        <item x="183"/>
        <item x="304"/>
        <item x="85"/>
        <item x="51"/>
        <item x="206"/>
        <item x="132"/>
        <item x="179"/>
        <item x="82"/>
        <item x="133"/>
        <item x="56"/>
        <item x="339"/>
        <item x="84"/>
        <item x="210"/>
        <item x="94"/>
        <item x="49"/>
        <item x="87"/>
        <item x="58"/>
        <item x="113"/>
        <item x="42"/>
        <item x="41"/>
        <item x="77"/>
        <item x="244"/>
        <item x="166"/>
        <item x="143"/>
        <item x="36"/>
        <item x="139"/>
        <item x="109"/>
        <item x="121"/>
        <item x="269"/>
        <item x="299"/>
        <item x="202"/>
        <item x="341"/>
        <item x="135"/>
        <item x="259"/>
        <item x="303"/>
        <item x="61"/>
        <item x="231"/>
        <item x="198"/>
        <item x="298"/>
        <item x="99"/>
        <item x="46"/>
        <item x="180"/>
        <item x="2"/>
        <item x="27"/>
        <item x="131"/>
        <item x="271"/>
        <item x="301"/>
        <item x="110"/>
        <item x="288"/>
        <item x="289"/>
        <item x="20"/>
        <item x="311"/>
        <item x="70"/>
        <item x="306"/>
        <item x="216"/>
        <item x="282"/>
        <item x="4"/>
        <item x="197"/>
        <item x="272"/>
        <item x="209"/>
        <item x="111"/>
        <item x="116"/>
        <item x="213"/>
        <item x="235"/>
        <item x="164"/>
        <item x="264"/>
        <item x="293"/>
        <item x="104"/>
        <item x="172"/>
        <item x="233"/>
        <item x="333"/>
        <item x="100"/>
        <item x="329"/>
        <item x="199"/>
        <item x="300"/>
        <item x="89"/>
        <item x="158"/>
        <item x="53"/>
        <item x="237"/>
        <item x="225"/>
        <item x="222"/>
        <item x="205"/>
        <item x="178"/>
        <item x="212"/>
        <item x="181"/>
        <item x="55"/>
        <item x="203"/>
        <item x="32"/>
        <item x="284"/>
        <item x="314"/>
        <item x="249"/>
        <item x="170"/>
        <item x="156"/>
        <item x="122"/>
        <item x="68"/>
        <item x="30"/>
        <item x="118"/>
        <item x="194"/>
        <item x="296"/>
        <item x="83"/>
        <item x="50"/>
        <item x="159"/>
        <item x="232"/>
        <item x="107"/>
        <item x="273"/>
        <item x="174"/>
        <item x="267"/>
        <item x="11"/>
        <item x="258"/>
        <item x="241"/>
        <item x="255"/>
        <item x="328"/>
        <item x="146"/>
        <item x="331"/>
        <item x="148"/>
        <item x="229"/>
        <item x="242"/>
        <item x="185"/>
        <item x="200"/>
        <item t="default"/>
      </items>
    </pivotField>
    <pivotField compact="0" showAll="0">
      <items count="11">
        <item x="0"/>
        <item x="1"/>
        <item x="2"/>
        <item x="3"/>
        <item x="4"/>
        <item x="5"/>
        <item x="6"/>
        <item x="7"/>
        <item x="8"/>
        <item x="9"/>
        <item t="default"/>
      </items>
    </pivotField>
    <pivotField compact="0" showAll="0">
      <items count="16">
        <item x="0"/>
        <item x="1"/>
        <item x="2"/>
        <item x="3"/>
        <item x="4"/>
        <item x="5"/>
        <item x="6"/>
        <item x="7"/>
        <item x="8"/>
        <item x="9"/>
        <item x="10"/>
        <item x="11"/>
        <item x="12"/>
        <item x="13"/>
        <item x="14"/>
        <item t="default"/>
      </items>
    </pivotField>
    <pivotField axis="axisRow" dataField="1" compact="0" multipleItemSelectionAllowed="1" showAll="0">
      <items count="6">
        <item x="4"/>
        <item x="3"/>
        <item x="2"/>
        <item x="0"/>
        <item x="1"/>
        <item t="default"/>
      </items>
    </pivotField>
    <pivotField axis="axisPage" compact="0" showAll="0">
      <items count="4">
        <item x="0"/>
        <item x="1"/>
        <item x="2"/>
        <item t="default"/>
      </items>
    </pivotField>
    <pivotField axis="axisPage" compact="0" multipleItemSelectionAllowed="1" showAll="0">
      <items count="6">
        <item h="1" x="0"/>
        <item h="1" x="1"/>
        <item h="1" x="2"/>
        <item h="1" x="3"/>
        <item x="4"/>
        <item t="default"/>
      </items>
    </pivotField>
    <pivotField axis="axisPage" compact="0" showAll="0">
      <items count="21">
        <item x="0"/>
        <item x="1"/>
        <item x="2"/>
        <item x="3"/>
        <item x="4"/>
        <item x="5"/>
        <item x="6"/>
        <item x="7"/>
        <item x="8"/>
        <item x="9"/>
        <item x="10"/>
        <item x="11"/>
        <item x="12"/>
        <item x="13"/>
        <item x="14"/>
        <item x="15"/>
        <item x="16"/>
        <item x="17"/>
        <item x="18"/>
        <item x="19"/>
        <item t="default"/>
      </items>
    </pivotField>
    <pivotField compact="0" showAll="0">
      <items count="21">
        <item x="0"/>
        <item x="1"/>
        <item x="2"/>
        <item x="3"/>
        <item x="4"/>
        <item x="5"/>
        <item x="6"/>
        <item x="7"/>
        <item x="8"/>
        <item x="9"/>
        <item x="10"/>
        <item x="11"/>
        <item x="12"/>
        <item x="13"/>
        <item x="14"/>
        <item x="15"/>
        <item x="16"/>
        <item x="17"/>
        <item x="18"/>
        <item x="19"/>
        <item t="default"/>
      </items>
    </pivotField>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s>
  <rowFields count="1">
    <field x="3"/>
  </rowFields>
  <rowItems count="6">
    <i>
      <x/>
    </i>
    <i>
      <x v="1"/>
    </i>
    <i>
      <x v="2"/>
    </i>
    <i>
      <x v="3"/>
    </i>
    <i>
      <x v="4"/>
    </i>
    <i t="grand">
      <x/>
    </i>
  </rowItems>
  <colItems count="1">
    <i/>
  </colItems>
  <pageFields count="3">
    <pageField fld="5"/>
    <pageField fld="4"/>
    <pageField fld="6"/>
  </pageFields>
  <dataFields count="1">
    <dataField name="Count of State" fld="3" subtotal="count" baseField="0" baseItem="0"/>
  </dataFields>
  <formats count="3">
    <format dxfId="2">
      <pivotArea type="all" dataOnly="0" outline="0" fieldPosition="0"/>
    </format>
    <format dxfId="3">
      <pivotArea type="all" dataOnly="0" outline="0" fieldPosition="0"/>
    </format>
    <format dxfId="4">
      <pivotArea type="all" dataOnly="0" outline="0"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1" autoFormatId="1" applyNumberFormats="0" applyBorderFormats="0" applyFontFormats="0" applyPatternFormats="0" applyAlignmentFormats="0" applyWidthHeightFormats="1" dataCaption="Values" updatedVersion="5" minRefreshableVersion="3" createdVersion="5" rowGrandTotals="0" colGrandTotals="0" compact="0" indent="0" outline="1" compactData="0" outlineData="1" showDrill="1" multipleFieldFilters="0">
  <location ref="M3:N8" firstHeaderRow="1" firstDataRow="1" firstDataCol="1"/>
  <pivotFields count="12">
    <pivotField compact="0"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axis="axisRow" measureFilter="1" compact="0" multipleItemSelectionAllowed="1" showAll="0">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compact="0" showAll="0">
      <items count="9">
        <item h="1" x="0"/>
        <item h="1" x="1"/>
        <item h="1" x="2"/>
        <item h="1" x="3"/>
        <item h="1" x="4"/>
        <item x="5"/>
        <item h="1" x="6"/>
        <item h="1" x="7"/>
        <item t="default"/>
      </items>
    </pivotField>
    <pivotField compact="0"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compact="0"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compact="0"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compact="0" showAll="0">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compact="0" showAll="0">
      <items count="2">
        <item x="0"/>
        <item t="default"/>
      </items>
    </pivotField>
    <pivotField dataField="1" compact="0" numFmtId="10"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compact="0" numFmtId="10"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s>
  <rowFields count="1">
    <field x="1"/>
  </rowFields>
  <rowItems count="5">
    <i>
      <x v="7"/>
    </i>
    <i>
      <x v="49"/>
    </i>
    <i>
      <x v="57"/>
    </i>
    <i>
      <x v="73"/>
    </i>
    <i>
      <x v="90"/>
    </i>
  </rowItems>
  <colItems count="1">
    <i/>
  </colItems>
  <dataFields count="1">
    <dataField name="Target Hit % " fld="10" baseField="0" baseItem="0" numFmtId="10"/>
  </dataFields>
  <formats count="18">
    <format dxfId="5">
      <pivotArea type="all" dataOnly="0" outline="0" fieldPosition="0"/>
    </format>
    <format dxfId="6">
      <pivotArea type="all" dataOnly="0" outline="0" fieldPosition="0"/>
    </format>
    <format dxfId="7">
      <pivotArea collapsedLevelsAreSubtotals="1" fieldPosition="0"/>
    </format>
    <format dxfId="8">
      <pivotArea grandRow="1" collapsedLevelsAreSubtotals="1" fieldPosition="0"/>
    </format>
    <format dxfId="9">
      <pivotArea dataOnly="0" labelOnly="1" fieldPosition="0">
        <references count="1">
          <reference field="1" count="1">
            <x v="26"/>
          </reference>
        </references>
      </pivotArea>
    </format>
    <format dxfId="10">
      <pivotArea dataOnly="0" labelOnly="1" fieldPosition="0">
        <references count="1">
          <reference field="1" count="1">
            <x v="70"/>
          </reference>
        </references>
      </pivotArea>
    </format>
    <format dxfId="11">
      <pivotArea dataOnly="0" labelOnly="1" fieldPosition="0">
        <references count="1">
          <reference field="1" count="1">
            <x v="72"/>
          </reference>
        </references>
      </pivotArea>
    </format>
    <format dxfId="12">
      <pivotArea dataOnly="0" labelOnly="1" fieldPosition="0">
        <references count="1">
          <reference field="1" count="1">
            <x v="74"/>
          </reference>
        </references>
      </pivotArea>
    </format>
    <format dxfId="13">
      <pivotArea dataOnly="0" labelOnly="1" fieldPosition="0">
        <references count="1">
          <reference field="1" count="1">
            <x v="77"/>
          </reference>
        </references>
      </pivotArea>
    </format>
    <format dxfId="14">
      <pivotArea collapsedLevelsAreSubtotals="1" fieldPosition="0"/>
    </format>
    <format dxfId="15">
      <pivotArea type="all" dataOnly="0" outline="0" fieldPosition="0"/>
    </format>
    <format dxfId="16">
      <pivotArea field="1" type="button" dataOnly="0" labelOnly="1" outline="0" fieldPosition="0"/>
    </format>
    <format dxfId="17">
      <pivotArea field="1" type="button" dataOnly="0" labelOnly="1" outline="0" fieldPosition="0"/>
    </format>
    <format dxfId="18">
      <pivotArea type="all" dataOnly="0" outline="0" fieldPosition="0"/>
    </format>
    <format dxfId="19">
      <pivotArea outline="0" collapsedLevelsAreSubtotals="1" fieldPosition="0"/>
    </format>
    <format dxfId="20">
      <pivotArea field="1" type="button" dataOnly="0" labelOnly="1" outline="0" fieldPosition="0"/>
    </format>
    <format dxfId="21">
      <pivotArea dataOnly="0" labelOnly="1" outline="0" fieldPosition="0">
        <references count="1">
          <reference field="1" count="5">
            <x v="37"/>
            <x v="61"/>
            <x v="77"/>
            <x v="110"/>
            <x v="134"/>
          </reference>
        </references>
      </pivotArea>
    </format>
    <format dxfId="22">
      <pivotArea dataOnly="0" labelOnly="1" outline="0" fieldPosition="0"/>
    </format>
  </formats>
  <pivotTableStyleInfo name="PivotStylePreset3_Accent3" showRowHeaders="1" showColHeaders="1"/>
  <filters count="1">
    <filter evalOrder="-1" fld="1" iMeasureFld="0" id="6" type="count">
      <autoFilter ref="A1">
        <filterColumn colId="0">
          <top10 top="0" filterVal="5" 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1" autoFormatId="1" applyNumberFormats="0" applyBorderFormats="0" applyFontFormats="0" applyPatternFormats="0" applyAlignmentFormats="0" applyWidthHeightFormats="1" dataCaption="Values" updatedVersion="5" minRefreshableVersion="3" createdVersion="5" rowGrandTotals="0" colGrandTotals="0" compact="0" indent="0" outline="1" compactData="0" outlineData="1" showDrill="1" multipleFieldFilters="0">
  <location ref="P3:Q8" firstHeaderRow="1" firstDataRow="1" firstDataCol="1"/>
  <pivotFields count="12">
    <pivotField compact="0"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axis="axisRow" measureFilter="1" compact="0" multipleItemSelectionAllowed="1" showAll="0">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compact="0" showAll="0">
      <items count="9">
        <item h="1" x="0"/>
        <item h="1" x="1"/>
        <item h="1" x="2"/>
        <item h="1" x="3"/>
        <item h="1" x="4"/>
        <item x="5"/>
        <item h="1" x="6"/>
        <item h="1" x="7"/>
        <item t="default"/>
      </items>
    </pivotField>
    <pivotField compact="0"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compact="0"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compact="0"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compact="0" showAll="0">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compact="0" showAll="0">
      <items count="2">
        <item x="0"/>
        <item t="default"/>
      </items>
    </pivotField>
    <pivotField compact="0" numFmtId="10"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dataField="1" compact="0" numFmtId="10"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s>
  <rowFields count="1">
    <field x="1"/>
  </rowFields>
  <rowItems count="5">
    <i>
      <x v="7"/>
    </i>
    <i>
      <x v="49"/>
    </i>
    <i>
      <x v="57"/>
    </i>
    <i>
      <x v="73"/>
    </i>
    <i>
      <x v="90"/>
    </i>
  </rowItems>
  <colItems count="1">
    <i/>
  </colItems>
  <dataFields count="1">
    <dataField name="Away From Target % " fld="11" baseField="0" baseItem="0"/>
  </dataFields>
  <formats count="15">
    <format dxfId="23">
      <pivotArea type="all" dataOnly="0" outline="0" fieldPosition="0"/>
    </format>
    <format dxfId="24">
      <pivotArea type="all" dataOnly="0" outline="0" fieldPosition="0"/>
    </format>
    <format dxfId="25">
      <pivotArea collapsedLevelsAreSubtotals="1" fieldPosition="0"/>
    </format>
    <format dxfId="26">
      <pivotArea grandRow="1" collapsedLevelsAreSubtotals="1" fieldPosition="0"/>
    </format>
    <format dxfId="27">
      <pivotArea dataOnly="0" labelOnly="1" fieldPosition="0">
        <references count="1">
          <reference field="1" count="1">
            <x v="26"/>
          </reference>
        </references>
      </pivotArea>
    </format>
    <format dxfId="28">
      <pivotArea dataOnly="0" labelOnly="1" fieldPosition="0">
        <references count="1">
          <reference field="1" count="1">
            <x v="70"/>
          </reference>
        </references>
      </pivotArea>
    </format>
    <format dxfId="29">
      <pivotArea dataOnly="0" labelOnly="1" fieldPosition="0">
        <references count="1">
          <reference field="1" count="1">
            <x v="72"/>
          </reference>
        </references>
      </pivotArea>
    </format>
    <format dxfId="30">
      <pivotArea dataOnly="0" labelOnly="1" fieldPosition="0">
        <references count="1">
          <reference field="1" count="1">
            <x v="74"/>
          </reference>
        </references>
      </pivotArea>
    </format>
    <format dxfId="31">
      <pivotArea dataOnly="0" labelOnly="1" fieldPosition="0">
        <references count="1">
          <reference field="1" count="1">
            <x v="77"/>
          </reference>
        </references>
      </pivotArea>
    </format>
    <format dxfId="32">
      <pivotArea collapsedLevelsAreSubtotals="1" fieldPosition="0"/>
    </format>
    <format dxfId="33">
      <pivotArea type="all" dataOnly="0" outline="0" fieldPosition="0"/>
    </format>
    <format dxfId="34">
      <pivotArea field="1" type="button" dataOnly="0" labelOnly="1" outline="0" fieldPosition="0"/>
    </format>
    <format dxfId="35">
      <pivotArea field="1" type="button" dataOnly="0" labelOnly="1" outline="0" fieldPosition="0"/>
    </format>
    <format dxfId="36">
      <pivotArea outline="0" collapsedLevelsAreSubtotals="1" fieldPosition="0"/>
    </format>
    <format dxfId="37">
      <pivotArea dataOnly="0" labelOnly="1" outline="0" fieldPosition="0">
        <references count="1">
          <reference field="1" count="5">
            <x v="37"/>
            <x v="61"/>
            <x v="77"/>
            <x v="110"/>
            <x v="134"/>
          </reference>
        </references>
      </pivotArea>
    </format>
  </formats>
  <pivotTableStyleInfo name="tablestyleA71_3e46c2" showRowHeaders="1" showColHeaders="1"/>
  <filters count="1">
    <filter evalOrder="-1" fld="1" iMeasureFld="0" id="7" type="count">
      <autoFilter ref="A1">
        <filterColumn colId="0">
          <top10 filterVal="5" 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1" autoFormatId="1" applyNumberFormats="0" applyBorderFormats="0" applyFontFormats="0" applyPatternFormats="0" applyAlignmentFormats="0" applyWidthHeightFormats="1" dataCaption="Values" updatedVersion="5" minRefreshableVersion="3" createdVersion="5" rowGrandTotals="0" colGrandTotals="0" compact="0" indent="0" outline="1" compactData="0" outlineData="1" showDrill="1" multipleFieldFilters="0" chartFormat="2">
  <location ref="A3:B8" firstHeaderRow="1" firstDataRow="1" firstDataCol="1"/>
  <pivotFields count="12">
    <pivotField compact="0"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axis="axisRow" measureFilter="1" compact="0" multipleItemSelectionAllowed="1" showAll="0">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compact="0" showAll="0">
      <items count="9">
        <item h="1" x="0"/>
        <item h="1" x="1"/>
        <item h="1" x="2"/>
        <item h="1" x="3"/>
        <item h="1" x="4"/>
        <item x="5"/>
        <item h="1" x="6"/>
        <item h="1" x="7"/>
        <item t="default"/>
      </items>
    </pivotField>
    <pivotField compact="0"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compact="0"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compact="0"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compact="0" showAll="0">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dataField="1" compact="0"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compact="0" showAll="0">
      <items count="2">
        <item x="0"/>
        <item t="default"/>
      </items>
    </pivotField>
    <pivotField compact="0" numFmtId="10"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compact="0" numFmtId="10"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s>
  <rowFields count="1">
    <field x="1"/>
  </rowFields>
  <rowItems count="5">
    <i>
      <x v="33"/>
    </i>
    <i>
      <x v="41"/>
    </i>
    <i>
      <x v="98"/>
    </i>
    <i>
      <x v="114"/>
    </i>
    <i>
      <x v="122"/>
    </i>
  </rowItems>
  <colItems count="1">
    <i/>
  </colItems>
  <dataFields count="1">
    <dataField name="Total Sales " fld="8" baseField="0" baseItem="0"/>
  </dataFields>
  <formats count="16">
    <format dxfId="38">
      <pivotArea type="all" dataOnly="0" outline="0" fieldPosition="0"/>
    </format>
    <format dxfId="39">
      <pivotArea type="all" dataOnly="0" outline="0" fieldPosition="0"/>
    </format>
    <format dxfId="40">
      <pivotArea dataOnly="0" labelOnly="1" fieldPosition="0">
        <references count="1">
          <reference field="1" count="1">
            <x v="3"/>
          </reference>
        </references>
      </pivotArea>
    </format>
    <format dxfId="41">
      <pivotArea dataOnly="0" labelOnly="1" fieldPosition="0">
        <references count="1">
          <reference field="1" count="1">
            <x v="15"/>
          </reference>
        </references>
      </pivotArea>
    </format>
    <format dxfId="42">
      <pivotArea dataOnly="0" labelOnly="1" fieldPosition="0">
        <references count="1">
          <reference field="1" count="1">
            <x v="31"/>
          </reference>
        </references>
      </pivotArea>
    </format>
    <format dxfId="43">
      <pivotArea dataOnly="0" labelOnly="1" fieldPosition="0">
        <references count="1">
          <reference field="1" count="1">
            <x v="59"/>
          </reference>
        </references>
      </pivotArea>
    </format>
    <format dxfId="44">
      <pivotArea dataOnly="0" labelOnly="1" fieldPosition="0">
        <references count="1">
          <reference field="1" count="1">
            <x v="79"/>
          </reference>
        </references>
      </pivotArea>
    </format>
    <format dxfId="45">
      <pivotArea collapsedLevelsAreSubtotals="1" fieldPosition="0"/>
    </format>
    <format dxfId="46">
      <pivotArea type="all" dataOnly="0" outline="0" fieldPosition="0"/>
    </format>
    <format dxfId="47">
      <pivotArea field="1" type="button" dataOnly="0" labelOnly="1" outline="0" fieldPosition="0"/>
    </format>
    <format dxfId="48">
      <pivotArea field="1" type="button" dataOnly="0" labelOnly="1" outline="0" fieldPosition="0"/>
    </format>
    <format dxfId="49">
      <pivotArea type="all" dataOnly="0" outline="0" fieldPosition="0"/>
    </format>
    <format dxfId="50">
      <pivotArea outline="0" collapsedLevelsAreSubtotals="1" fieldPosition="0"/>
    </format>
    <format dxfId="51">
      <pivotArea field="1" type="button" dataOnly="0" labelOnly="1" outline="0" fieldPosition="0"/>
    </format>
    <format dxfId="52">
      <pivotArea dataOnly="0" labelOnly="1" outline="0" fieldPosition="0">
        <references count="1">
          <reference field="1" count="5">
            <x v="3"/>
            <x v="21"/>
            <x v="53"/>
            <x v="94"/>
            <x v="102"/>
          </reference>
        </references>
      </pivotArea>
    </format>
    <format dxfId="53">
      <pivotArea dataOnly="0" labelOnly="1" outline="0" fieldPosition="0"/>
    </format>
  </formats>
  <pivotTableStyleInfo name="tablestyleA27_6c9784" showRowHeaders="1" showColHeaders="1"/>
  <filters count="1">
    <filter evalOrder="-1" fld="1" iMeasureFld="0" id="3" type="count">
      <autoFilter ref="A1">
        <filterColumn colId="0">
          <top10 filterVal="5" 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1" autoFormatId="1" applyNumberFormats="0" applyBorderFormats="0" applyFontFormats="0" applyPatternFormats="0" applyAlignmentFormats="0" applyWidthHeightFormats="1" dataCaption="Values" updatedVersion="5" minRefreshableVersion="3" createdVersion="5" rowGrandTotals="0" colGrandTotals="0" compact="0" indent="0" outline="1" compactData="0" outlineData="1" showDrill="1" multipleFieldFilters="0" chartFormat="2">
  <location ref="J3:K8" firstHeaderRow="1" firstDataRow="1" firstDataCol="1"/>
  <pivotFields count="12">
    <pivotField compact="0"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axis="axisRow" measureFilter="1" compact="0" multipleItemSelectionAllowed="1" showAll="0">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compact="0" showAll="0">
      <items count="9">
        <item h="1" x="0"/>
        <item h="1" x="1"/>
        <item h="1" x="2"/>
        <item h="1" x="3"/>
        <item h="1" x="4"/>
        <item x="5"/>
        <item h="1" x="6"/>
        <item h="1" x="7"/>
        <item t="default"/>
      </items>
    </pivotField>
    <pivotField compact="0"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compact="0"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compact="0"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compact="0" showAll="0">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compact="0" showAll="0">
      <items count="2">
        <item x="0"/>
        <item t="default"/>
      </items>
    </pivotField>
    <pivotField compact="0" numFmtId="10"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dataField="1" compact="0" numFmtId="10"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s>
  <rowFields count="1">
    <field x="1"/>
  </rowFields>
  <rowItems count="5">
    <i>
      <x v="33"/>
    </i>
    <i>
      <x v="41"/>
    </i>
    <i>
      <x v="98"/>
    </i>
    <i>
      <x v="114"/>
    </i>
    <i>
      <x v="122"/>
    </i>
  </rowItems>
  <colItems count="1">
    <i/>
  </colItems>
  <dataFields count="1">
    <dataField name="Away From Target % " fld="11" baseField="0" baseItem="0"/>
  </dataFields>
  <formats count="18">
    <format dxfId="54">
      <pivotArea type="all" dataOnly="0" outline="0" fieldPosition="0"/>
    </format>
    <format dxfId="55">
      <pivotArea type="all" dataOnly="0" outline="0" fieldPosition="0"/>
    </format>
    <format dxfId="56">
      <pivotArea collapsedLevelsAreSubtotals="1" fieldPosition="0"/>
    </format>
    <format dxfId="57">
      <pivotArea grandRow="1" collapsedLevelsAreSubtotals="1" fieldPosition="0"/>
    </format>
    <format dxfId="58">
      <pivotArea dataOnly="0" labelOnly="1" fieldPosition="0">
        <references count="1">
          <reference field="1" count="1">
            <x v="3"/>
          </reference>
        </references>
      </pivotArea>
    </format>
    <format dxfId="59">
      <pivotArea dataOnly="0" labelOnly="1" fieldPosition="0">
        <references count="1">
          <reference field="1" count="1">
            <x v="15"/>
          </reference>
        </references>
      </pivotArea>
    </format>
    <format dxfId="60">
      <pivotArea dataOnly="0" labelOnly="1" fieldPosition="0">
        <references count="1">
          <reference field="1" count="1">
            <x v="31"/>
          </reference>
        </references>
      </pivotArea>
    </format>
    <format dxfId="61">
      <pivotArea dataOnly="0" labelOnly="1" fieldPosition="0">
        <references count="1">
          <reference field="1" count="1">
            <x v="59"/>
          </reference>
        </references>
      </pivotArea>
    </format>
    <format dxfId="62">
      <pivotArea dataOnly="0" labelOnly="1" fieldPosition="0">
        <references count="1">
          <reference field="1" count="1">
            <x v="79"/>
          </reference>
        </references>
      </pivotArea>
    </format>
    <format dxfId="63">
      <pivotArea collapsedLevelsAreSubtotals="1" fieldPosition="0"/>
    </format>
    <format dxfId="64">
      <pivotArea type="all" dataOnly="0" outline="0" fieldPosition="0"/>
    </format>
    <format dxfId="65">
      <pivotArea field="1" type="button" dataOnly="0" labelOnly="1" outline="0" fieldPosition="0"/>
    </format>
    <format dxfId="66">
      <pivotArea field="1" type="button" dataOnly="0" labelOnly="1" outline="0" fieldPosition="0"/>
    </format>
    <format dxfId="67">
      <pivotArea type="all" dataOnly="0" outline="0" fieldPosition="0"/>
    </format>
    <format dxfId="68">
      <pivotArea outline="0" collapsedLevelsAreSubtotals="1" fieldPosition="0"/>
    </format>
    <format dxfId="69">
      <pivotArea field="1" type="button" dataOnly="0" labelOnly="1" outline="0" fieldPosition="0"/>
    </format>
    <format dxfId="70">
      <pivotArea dataOnly="0" labelOnly="1" outline="0" fieldPosition="0">
        <references count="1">
          <reference field="1" count="5">
            <x v="3"/>
            <x v="21"/>
            <x v="53"/>
            <x v="94"/>
            <x v="102"/>
          </reference>
        </references>
      </pivotArea>
    </format>
    <format dxfId="71">
      <pivotArea dataOnly="0" labelOnly="1" outline="0" fieldPosition="0"/>
    </format>
  </formats>
  <pivotTableStyleInfo name="tablestyleA71_3e46c2" showRowHeaders="1" showColHeaders="1"/>
  <filters count="1">
    <filter evalOrder="-1" fld="1" iMeasureFld="0" id="8" type="count">
      <autoFilter ref="A1">
        <filterColumn colId="0">
          <top10 top="0" filterVal="5" 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1" autoFormatId="1" applyNumberFormats="0" applyBorderFormats="0" applyFontFormats="0" applyPatternFormats="0" applyAlignmentFormats="0" applyWidthHeightFormats="1" dataCaption="Values" updatedVersion="5" minRefreshableVersion="3" createdVersion="5" rowGrandTotals="0" colGrandTotals="0" compact="0" indent="0" outline="1" compactData="0" outlineData="1" showDrill="1" multipleFieldFilters="0">
  <location ref="D3:E8" firstHeaderRow="1" firstDataRow="1" firstDataCol="1"/>
  <pivotFields count="12">
    <pivotField compact="0"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axis="axisRow" measureFilter="1" compact="0" multipleItemSelectionAllowed="1" showAll="0">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compact="0" showAll="0">
      <items count="9">
        <item h="1" x="0"/>
        <item h="1" x="1"/>
        <item h="1" x="2"/>
        <item h="1" x="3"/>
        <item h="1" x="4"/>
        <item x="5"/>
        <item h="1" x="6"/>
        <item h="1" x="7"/>
        <item t="default"/>
      </items>
    </pivotField>
    <pivotField compact="0"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compact="0"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compact="0"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compact="0" showAll="0">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dataField="1" compact="0"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compact="0" showAll="0">
      <items count="2">
        <item x="0"/>
        <item t="default"/>
      </items>
    </pivotField>
    <pivotField compact="0" numFmtId="10"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compact="0" numFmtId="10"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s>
  <rowFields count="1">
    <field x="1"/>
  </rowFields>
  <rowItems count="5">
    <i>
      <x v="7"/>
    </i>
    <i>
      <x v="49"/>
    </i>
    <i>
      <x v="57"/>
    </i>
    <i>
      <x v="73"/>
    </i>
    <i>
      <x v="90"/>
    </i>
  </rowItems>
  <colItems count="1">
    <i/>
  </colItems>
  <dataFields count="1">
    <dataField name="Total Sales " fld="8" baseField="0" baseItem="0"/>
  </dataFields>
  <formats count="16">
    <format dxfId="72">
      <pivotArea type="all" dataOnly="0" outline="0" fieldPosition="0"/>
    </format>
    <format dxfId="73">
      <pivotArea type="all" dataOnly="0" outline="0" fieldPosition="0"/>
    </format>
    <format dxfId="74">
      <pivotArea dataOnly="0" labelOnly="1" fieldPosition="0">
        <references count="1">
          <reference field="1" count="1">
            <x v="26"/>
          </reference>
        </references>
      </pivotArea>
    </format>
    <format dxfId="75">
      <pivotArea dataOnly="0" labelOnly="1" fieldPosition="0">
        <references count="1">
          <reference field="1" count="1">
            <x v="70"/>
          </reference>
        </references>
      </pivotArea>
    </format>
    <format dxfId="76">
      <pivotArea dataOnly="0" labelOnly="1" fieldPosition="0">
        <references count="1">
          <reference field="1" count="1">
            <x v="72"/>
          </reference>
        </references>
      </pivotArea>
    </format>
    <format dxfId="77">
      <pivotArea dataOnly="0" labelOnly="1" fieldPosition="0">
        <references count="1">
          <reference field="1" count="1">
            <x v="74"/>
          </reference>
        </references>
      </pivotArea>
    </format>
    <format dxfId="78">
      <pivotArea dataOnly="0" labelOnly="1" fieldPosition="0">
        <references count="1">
          <reference field="1" count="1">
            <x v="77"/>
          </reference>
        </references>
      </pivotArea>
    </format>
    <format dxfId="79">
      <pivotArea collapsedLevelsAreSubtotals="1" fieldPosition="0"/>
    </format>
    <format dxfId="80">
      <pivotArea type="all" dataOnly="0" outline="0" fieldPosition="0"/>
    </format>
    <format dxfId="81">
      <pivotArea field="1" type="button" dataOnly="0" labelOnly="1" outline="0" fieldPosition="0"/>
    </format>
    <format dxfId="82">
      <pivotArea field="1" type="button" dataOnly="0" labelOnly="1" outline="0" fieldPosition="0"/>
    </format>
    <format dxfId="83">
      <pivotArea type="all" dataOnly="0" outline="0" fieldPosition="0"/>
    </format>
    <format dxfId="84">
      <pivotArea outline="0" collapsedLevelsAreSubtotals="1" fieldPosition="0"/>
    </format>
    <format dxfId="85">
      <pivotArea field="1" type="button" dataOnly="0" labelOnly="1" outline="0" fieldPosition="0"/>
    </format>
    <format dxfId="86">
      <pivotArea dataOnly="0" labelOnly="1" outline="0" fieldPosition="0">
        <references count="1">
          <reference field="1" count="5">
            <x v="37"/>
            <x v="61"/>
            <x v="77"/>
            <x v="110"/>
            <x v="134"/>
          </reference>
        </references>
      </pivotArea>
    </format>
    <format dxfId="87">
      <pivotArea dataOnly="0" labelOnly="1" outline="0" fieldPosition="0"/>
    </format>
  </formats>
  <pivotTableStyleInfo name="tablestyleA27_6c9784" showRowHeaders="1" showColHeaders="1"/>
  <filters count="1">
    <filter evalOrder="-1" fld="1" iMeasureFld="0" id="4" type="count">
      <autoFilter ref="A1">
        <filterColumn colId="0">
          <top10 top="0" filterVal="5" 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1" autoFormatId="1" applyNumberFormats="0" applyBorderFormats="0" applyFontFormats="0" applyPatternFormats="0" applyAlignmentFormats="0" applyWidthHeightFormats="1" dataCaption="Values" updatedVersion="5" minRefreshableVersion="3" createdVersion="5" rowGrandTotals="0" colGrandTotals="0" compact="0" indent="0" outline="1" compactData="0" outlineData="1" showDrill="1" multipleFieldFilters="0" chartFormat="2">
  <location ref="G3:H8" firstHeaderRow="1" firstDataRow="1" firstDataCol="1"/>
  <pivotFields count="12">
    <pivotField compact="0"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axis="axisRow" measureFilter="1" compact="0" multipleItemSelectionAllowed="1" showAll="0">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compact="0" showAll="0">
      <items count="9">
        <item h="1" x="0"/>
        <item h="1" x="1"/>
        <item h="1" x="2"/>
        <item h="1" x="3"/>
        <item h="1" x="4"/>
        <item x="5"/>
        <item h="1" x="6"/>
        <item h="1" x="7"/>
        <item t="default"/>
      </items>
    </pivotField>
    <pivotField compact="0"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compact="0"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compact="0"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compact="0" showAll="0">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compact="0" showAll="0">
      <items count="2">
        <item x="0"/>
        <item t="default"/>
      </items>
    </pivotField>
    <pivotField dataField="1" compact="0" numFmtId="10"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compact="0" numFmtId="10"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s>
  <rowFields count="1">
    <field x="1"/>
  </rowFields>
  <rowItems count="5">
    <i>
      <x v="33"/>
    </i>
    <i>
      <x v="41"/>
    </i>
    <i>
      <x v="98"/>
    </i>
    <i>
      <x v="114"/>
    </i>
    <i>
      <x v="122"/>
    </i>
  </rowItems>
  <colItems count="1">
    <i/>
  </colItems>
  <dataFields count="1">
    <dataField name="Target Hit % " fld="10" baseField="0" baseItem="0" numFmtId="10"/>
  </dataFields>
  <formats count="23">
    <format dxfId="88">
      <pivotArea type="all" dataOnly="0" outline="0" fieldPosition="0"/>
    </format>
    <format dxfId="89">
      <pivotArea type="all" dataOnly="0" outline="0" fieldPosition="0"/>
    </format>
    <format dxfId="90">
      <pivotArea collapsedLevelsAreSubtotals="1" fieldPosition="0"/>
    </format>
    <format dxfId="91">
      <pivotArea grandRow="1" collapsedLevelsAreSubtotals="1" fieldPosition="0"/>
    </format>
    <format dxfId="92">
      <pivotArea dataOnly="0" labelOnly="1" fieldPosition="0">
        <references count="1">
          <reference field="1" count="1">
            <x v="3"/>
          </reference>
        </references>
      </pivotArea>
    </format>
    <format dxfId="93">
      <pivotArea dataOnly="0" labelOnly="1" fieldPosition="0">
        <references count="1">
          <reference field="1" count="1">
            <x v="15"/>
          </reference>
        </references>
      </pivotArea>
    </format>
    <format dxfId="94">
      <pivotArea dataOnly="0" labelOnly="1" fieldPosition="0">
        <references count="1">
          <reference field="1" count="1">
            <x v="31"/>
          </reference>
        </references>
      </pivotArea>
    </format>
    <format dxfId="95">
      <pivotArea dataOnly="0" labelOnly="1" fieldPosition="0">
        <references count="1">
          <reference field="1" count="1">
            <x v="59"/>
          </reference>
        </references>
      </pivotArea>
    </format>
    <format dxfId="96">
      <pivotArea dataOnly="0" labelOnly="1" fieldPosition="0">
        <references count="1">
          <reference field="1" count="1">
            <x v="79"/>
          </reference>
        </references>
      </pivotArea>
    </format>
    <format dxfId="97">
      <pivotArea collapsedLevelsAreSubtotals="1" fieldPosition="0"/>
    </format>
    <format dxfId="98">
      <pivotArea dataOnly="0" labelOnly="1" fieldPosition="0">
        <references count="1">
          <reference field="1" count="1">
            <x v="3"/>
          </reference>
        </references>
      </pivotArea>
    </format>
    <format dxfId="99">
      <pivotArea dataOnly="0" labelOnly="1" fieldPosition="0">
        <references count="1">
          <reference field="1" count="1">
            <x v="15"/>
          </reference>
        </references>
      </pivotArea>
    </format>
    <format dxfId="100">
      <pivotArea dataOnly="0" labelOnly="1" fieldPosition="0">
        <references count="1">
          <reference field="1" count="1">
            <x v="31"/>
          </reference>
        </references>
      </pivotArea>
    </format>
    <format dxfId="101">
      <pivotArea dataOnly="0" labelOnly="1" fieldPosition="0">
        <references count="1">
          <reference field="1" count="1">
            <x v="59"/>
          </reference>
        </references>
      </pivotArea>
    </format>
    <format dxfId="102">
      <pivotArea dataOnly="0" labelOnly="1" fieldPosition="0">
        <references count="1">
          <reference field="1" count="1">
            <x v="79"/>
          </reference>
        </references>
      </pivotArea>
    </format>
    <format dxfId="103">
      <pivotArea type="all" dataOnly="0" outline="0" fieldPosition="0"/>
    </format>
    <format dxfId="104">
      <pivotArea field="1" type="button" dataOnly="0" labelOnly="1" outline="0" fieldPosition="0"/>
    </format>
    <format dxfId="105">
      <pivotArea field="1" type="button" dataOnly="0" labelOnly="1" outline="0" fieldPosition="0"/>
    </format>
    <format dxfId="106">
      <pivotArea type="all" dataOnly="0" outline="0" fieldPosition="0"/>
    </format>
    <format dxfId="107">
      <pivotArea outline="0" collapsedLevelsAreSubtotals="1" fieldPosition="0"/>
    </format>
    <format dxfId="108">
      <pivotArea field="1" type="button" dataOnly="0" labelOnly="1" outline="0" fieldPosition="0"/>
    </format>
    <format dxfId="109">
      <pivotArea dataOnly="0" labelOnly="1" outline="0" fieldPosition="0">
        <references count="1">
          <reference field="1" count="5">
            <x v="3"/>
            <x v="21"/>
            <x v="53"/>
            <x v="94"/>
            <x v="102"/>
          </reference>
        </references>
      </pivotArea>
    </format>
    <format dxfId="110">
      <pivotArea dataOnly="0" labelOnly="1" outline="0" fieldPosition="0"/>
    </format>
  </formats>
  <pivotTableStyleInfo name="PivotStylePreset3_Accent3" showRowHeaders="1" showColHeaders="1"/>
  <filters count="1">
    <filter evalOrder="-1" fld="1" iMeasureFld="0" id="5" type="count">
      <autoFilter ref="A1">
        <filterColumn colId="0">
          <top10 filterVal="5" 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2" name="PivotTable1"/>
    <pivotTable tabId="22" name="PivotTable2"/>
    <pivotTable tabId="22" name="PivotTable3"/>
    <pivotTable tabId="22" name="PivotTable4"/>
    <pivotTable tabId="22" name="PivotTable5"/>
    <pivotTable tabId="22" name="PivotTable6"/>
  </pivotTables>
  <data>
    <tabular pivotCacheId="1">
      <items count="8">
        <i x="3" s="0"/>
        <i x="1" s="0"/>
        <i x="0" s="0"/>
        <i x="2" s="0"/>
        <i x="5" s="1"/>
        <i x="4" s="0"/>
        <i x="6" s="0"/>
        <i x="7" s="0"/>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8" showCaption="0" style="Slicer Style 8" rowHeight="365760"/>
</slicer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8" Type="http://schemas.microsoft.com/office/2007/relationships/slicer" Target="../slicers/slicer1.xml"/><Relationship Id="rId7" Type="http://schemas.openxmlformats.org/officeDocument/2006/relationships/drawing" Target="../drawings/drawing2.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02"/>
  <sheetViews>
    <sheetView zoomScale="117" zoomScaleNormal="117" workbookViewId="0">
      <selection activeCell="G4" sqref="G4"/>
    </sheetView>
  </sheetViews>
  <sheetFormatPr defaultColWidth="8.75454545454545" defaultRowHeight="14.5" outlineLevelCol="4"/>
  <cols>
    <col min="1" max="1" width="11.6272727272727" style="245" customWidth="1"/>
    <col min="2" max="2" width="12.7545454545455" style="245" customWidth="1"/>
    <col min="3" max="3" width="10.8727272727273" style="245" customWidth="1"/>
    <col min="4" max="4" width="10.7545454545455" style="227" customWidth="1"/>
    <col min="5" max="5" width="11.3727272727273" style="172" customWidth="1"/>
    <col min="7" max="7" width="11"/>
  </cols>
  <sheetData>
    <row r="1" ht="16" spans="1:5">
      <c r="A1" s="153" t="s">
        <v>0</v>
      </c>
      <c r="B1" s="153" t="s">
        <v>1</v>
      </c>
      <c r="C1" s="153" t="s">
        <v>2</v>
      </c>
      <c r="D1" s="154" t="s">
        <v>3</v>
      </c>
      <c r="E1" s="155" t="s">
        <v>4</v>
      </c>
    </row>
    <row r="2" ht="16" spans="1:5">
      <c r="A2" s="161" t="s">
        <v>5</v>
      </c>
      <c r="B2" s="161" t="s">
        <v>6</v>
      </c>
      <c r="C2" s="161" t="s">
        <v>7</v>
      </c>
      <c r="D2" s="162">
        <v>41954</v>
      </c>
      <c r="E2" s="252">
        <v>46023</v>
      </c>
    </row>
    <row r="3" ht="16" spans="1:5">
      <c r="A3" s="161" t="s">
        <v>8</v>
      </c>
      <c r="B3" s="161" t="s">
        <v>9</v>
      </c>
      <c r="C3" s="161" t="s">
        <v>10</v>
      </c>
      <c r="D3" s="162">
        <v>49855</v>
      </c>
      <c r="E3" s="252">
        <v>46024</v>
      </c>
    </row>
    <row r="4" ht="16" spans="1:5">
      <c r="A4" s="161" t="s">
        <v>11</v>
      </c>
      <c r="B4" s="161" t="s">
        <v>12</v>
      </c>
      <c r="C4" s="161" t="s">
        <v>13</v>
      </c>
      <c r="D4" s="162">
        <v>94210</v>
      </c>
      <c r="E4" s="252">
        <v>46025</v>
      </c>
    </row>
    <row r="5" ht="16" spans="1:5">
      <c r="A5" s="161" t="s">
        <v>14</v>
      </c>
      <c r="B5" s="161" t="s">
        <v>15</v>
      </c>
      <c r="C5" s="161" t="s">
        <v>7</v>
      </c>
      <c r="D5" s="162">
        <v>74689</v>
      </c>
      <c r="E5" s="252">
        <v>46026</v>
      </c>
    </row>
    <row r="6" ht="16" spans="1:5">
      <c r="A6" s="161" t="s">
        <v>16</v>
      </c>
      <c r="B6" s="161" t="s">
        <v>17</v>
      </c>
      <c r="C6" s="161" t="s">
        <v>10</v>
      </c>
      <c r="D6" s="162">
        <v>90652</v>
      </c>
      <c r="E6" s="252">
        <v>46027</v>
      </c>
    </row>
    <row r="7" ht="16" spans="1:5">
      <c r="A7" s="161" t="s">
        <v>18</v>
      </c>
      <c r="B7" s="161" t="s">
        <v>12</v>
      </c>
      <c r="C7" s="161" t="s">
        <v>10</v>
      </c>
      <c r="D7" s="162">
        <v>74820</v>
      </c>
      <c r="E7" s="252">
        <v>46028</v>
      </c>
    </row>
    <row r="8" ht="16" spans="1:5">
      <c r="A8" s="161" t="s">
        <v>19</v>
      </c>
      <c r="B8" s="161" t="s">
        <v>20</v>
      </c>
      <c r="C8" s="161" t="s">
        <v>13</v>
      </c>
      <c r="D8" s="162">
        <v>85206</v>
      </c>
      <c r="E8" s="252">
        <v>46029</v>
      </c>
    </row>
    <row r="9" ht="16" spans="1:5">
      <c r="A9" s="161" t="s">
        <v>21</v>
      </c>
      <c r="B9" s="161" t="s">
        <v>22</v>
      </c>
      <c r="C9" s="161" t="s">
        <v>7</v>
      </c>
      <c r="D9" s="162">
        <v>30924</v>
      </c>
      <c r="E9" s="252">
        <v>46030</v>
      </c>
    </row>
    <row r="10" ht="16" spans="1:5">
      <c r="A10" s="161" t="s">
        <v>23</v>
      </c>
      <c r="B10" s="161" t="s">
        <v>24</v>
      </c>
      <c r="C10" s="161" t="s">
        <v>10</v>
      </c>
      <c r="D10" s="162">
        <v>57737</v>
      </c>
      <c r="E10" s="252">
        <v>46031</v>
      </c>
    </row>
    <row r="11" ht="16" spans="1:5">
      <c r="A11" s="161" t="s">
        <v>25</v>
      </c>
      <c r="B11" s="161" t="s">
        <v>26</v>
      </c>
      <c r="C11" s="161" t="s">
        <v>13</v>
      </c>
      <c r="D11" s="162">
        <v>36000</v>
      </c>
      <c r="E11" s="252">
        <v>46032</v>
      </c>
    </row>
    <row r="12" ht="16" spans="1:5">
      <c r="A12" s="161" t="s">
        <v>27</v>
      </c>
      <c r="B12" s="161" t="s">
        <v>28</v>
      </c>
      <c r="C12" s="161" t="s">
        <v>13</v>
      </c>
      <c r="D12" s="162">
        <v>96371</v>
      </c>
      <c r="E12" s="252">
        <v>46033</v>
      </c>
    </row>
    <row r="13" ht="16" spans="1:5">
      <c r="A13" s="161" t="s">
        <v>29</v>
      </c>
      <c r="B13" s="161" t="s">
        <v>30</v>
      </c>
      <c r="C13" s="161" t="s">
        <v>10</v>
      </c>
      <c r="D13" s="162">
        <v>85028</v>
      </c>
      <c r="E13" s="252">
        <v>46034</v>
      </c>
    </row>
    <row r="14" ht="16" spans="1:5">
      <c r="A14" s="161" t="s">
        <v>31</v>
      </c>
      <c r="B14" s="161" t="s">
        <v>32</v>
      </c>
      <c r="C14" s="161" t="s">
        <v>33</v>
      </c>
      <c r="D14" s="162">
        <v>51378</v>
      </c>
      <c r="E14" s="252">
        <v>46035</v>
      </c>
    </row>
    <row r="15" ht="16" spans="1:5">
      <c r="A15" s="161" t="s">
        <v>34</v>
      </c>
      <c r="B15" s="161" t="s">
        <v>35</v>
      </c>
      <c r="C15" s="161" t="s">
        <v>7</v>
      </c>
      <c r="D15" s="162">
        <v>49898</v>
      </c>
      <c r="E15" s="252">
        <v>46036</v>
      </c>
    </row>
    <row r="16" ht="16" spans="1:5">
      <c r="A16" s="161" t="s">
        <v>36</v>
      </c>
      <c r="B16" s="161" t="s">
        <v>37</v>
      </c>
      <c r="C16" s="161" t="s">
        <v>13</v>
      </c>
      <c r="D16" s="162">
        <v>71737</v>
      </c>
      <c r="E16" s="252">
        <v>46037</v>
      </c>
    </row>
    <row r="17" ht="16" spans="1:5">
      <c r="A17" s="161" t="s">
        <v>38</v>
      </c>
      <c r="B17" s="161" t="s">
        <v>39</v>
      </c>
      <c r="C17" s="161" t="s">
        <v>13</v>
      </c>
      <c r="D17" s="162">
        <v>89576</v>
      </c>
      <c r="E17" s="252">
        <v>46038</v>
      </c>
    </row>
    <row r="18" ht="16" spans="1:5">
      <c r="A18" s="161" t="s">
        <v>40</v>
      </c>
      <c r="B18" s="161" t="s">
        <v>41</v>
      </c>
      <c r="C18" s="161" t="s">
        <v>13</v>
      </c>
      <c r="D18" s="162">
        <v>45503</v>
      </c>
      <c r="E18" s="252">
        <v>46039</v>
      </c>
    </row>
    <row r="19" ht="16" spans="1:5">
      <c r="A19" s="161" t="s">
        <v>42</v>
      </c>
      <c r="B19" s="161" t="s">
        <v>43</v>
      </c>
      <c r="C19" s="161" t="s">
        <v>44</v>
      </c>
      <c r="D19" s="162" t="s">
        <v>45</v>
      </c>
      <c r="E19" s="252">
        <v>46040</v>
      </c>
    </row>
    <row r="20" ht="16" spans="1:5">
      <c r="A20" s="161" t="s">
        <v>46</v>
      </c>
      <c r="B20" s="161" t="s">
        <v>47</v>
      </c>
      <c r="C20" s="161" t="s">
        <v>33</v>
      </c>
      <c r="D20" s="162" t="s">
        <v>48</v>
      </c>
      <c r="E20" s="252">
        <v>46041</v>
      </c>
    </row>
    <row r="21" ht="16" spans="1:5">
      <c r="A21" s="161" t="s">
        <v>49</v>
      </c>
      <c r="B21" s="161" t="s">
        <v>50</v>
      </c>
      <c r="C21" s="161" t="s">
        <v>13</v>
      </c>
      <c r="D21" s="162" t="s">
        <v>51</v>
      </c>
      <c r="E21" s="252">
        <v>46042</v>
      </c>
    </row>
    <row r="22" ht="16" spans="1:5">
      <c r="A22" s="161" t="s">
        <v>52</v>
      </c>
      <c r="B22" s="161" t="s">
        <v>53</v>
      </c>
      <c r="C22" s="161" t="s">
        <v>44</v>
      </c>
      <c r="D22" s="162" t="s">
        <v>54</v>
      </c>
      <c r="E22" s="252">
        <v>46043</v>
      </c>
    </row>
    <row r="23" ht="16" spans="1:5">
      <c r="A23" s="161" t="s">
        <v>55</v>
      </c>
      <c r="B23" s="161" t="s">
        <v>56</v>
      </c>
      <c r="C23" s="161" t="s">
        <v>44</v>
      </c>
      <c r="D23" s="162" t="s">
        <v>57</v>
      </c>
      <c r="E23" s="252">
        <v>46044</v>
      </c>
    </row>
    <row r="24" ht="16" spans="1:5">
      <c r="A24" s="161" t="s">
        <v>58</v>
      </c>
      <c r="B24" s="161" t="s">
        <v>59</v>
      </c>
      <c r="C24" s="161" t="s">
        <v>13</v>
      </c>
      <c r="D24" s="162" t="s">
        <v>60</v>
      </c>
      <c r="E24" s="252">
        <v>46045</v>
      </c>
    </row>
    <row r="25" ht="16" spans="1:5">
      <c r="A25" s="161" t="s">
        <v>61</v>
      </c>
      <c r="B25" s="161" t="s">
        <v>62</v>
      </c>
      <c r="C25" s="161" t="s">
        <v>10</v>
      </c>
      <c r="D25" s="162" t="s">
        <v>63</v>
      </c>
      <c r="E25" s="252">
        <v>46046</v>
      </c>
    </row>
    <row r="26" ht="16" spans="1:5">
      <c r="A26" s="161" t="s">
        <v>64</v>
      </c>
      <c r="B26" s="161" t="s">
        <v>65</v>
      </c>
      <c r="C26" s="161" t="s">
        <v>44</v>
      </c>
      <c r="D26" s="162" t="s">
        <v>66</v>
      </c>
      <c r="E26" s="252">
        <v>46047</v>
      </c>
    </row>
    <row r="27" ht="16" spans="1:5">
      <c r="A27" s="161" t="s">
        <v>67</v>
      </c>
      <c r="B27" s="161" t="s">
        <v>68</v>
      </c>
      <c r="C27" s="161" t="s">
        <v>33</v>
      </c>
      <c r="D27" s="162" t="s">
        <v>69</v>
      </c>
      <c r="E27" s="252">
        <v>46048</v>
      </c>
    </row>
    <row r="28" ht="16" spans="1:5">
      <c r="A28" s="161" t="s">
        <v>70</v>
      </c>
      <c r="B28" s="161" t="s">
        <v>71</v>
      </c>
      <c r="C28" s="161" t="s">
        <v>10</v>
      </c>
      <c r="D28" s="162" t="s">
        <v>72</v>
      </c>
      <c r="E28" s="252">
        <v>46049</v>
      </c>
    </row>
    <row r="29" ht="16" spans="1:5">
      <c r="A29" s="161" t="s">
        <v>73</v>
      </c>
      <c r="B29" s="161" t="s">
        <v>74</v>
      </c>
      <c r="C29" s="161" t="s">
        <v>7</v>
      </c>
      <c r="D29" s="162" t="s">
        <v>75</v>
      </c>
      <c r="E29" s="252">
        <v>46050</v>
      </c>
    </row>
    <row r="30" ht="16" spans="1:5">
      <c r="A30" s="161" t="s">
        <v>76</v>
      </c>
      <c r="B30" s="161" t="s">
        <v>77</v>
      </c>
      <c r="C30" s="161" t="s">
        <v>13</v>
      </c>
      <c r="D30" s="162" t="s">
        <v>78</v>
      </c>
      <c r="E30" s="252">
        <v>46051</v>
      </c>
    </row>
    <row r="31" ht="16" spans="1:5">
      <c r="A31" s="161" t="s">
        <v>79</v>
      </c>
      <c r="B31" s="161" t="s">
        <v>80</v>
      </c>
      <c r="C31" s="161" t="s">
        <v>7</v>
      </c>
      <c r="D31" s="162" t="s">
        <v>81</v>
      </c>
      <c r="E31" s="252">
        <v>46052</v>
      </c>
    </row>
    <row r="32" ht="16" spans="1:5">
      <c r="A32" s="161" t="s">
        <v>82</v>
      </c>
      <c r="B32" s="161" t="s">
        <v>83</v>
      </c>
      <c r="C32" s="161" t="s">
        <v>13</v>
      </c>
      <c r="D32" s="162" t="s">
        <v>84</v>
      </c>
      <c r="E32" s="252">
        <v>46053</v>
      </c>
    </row>
    <row r="33" ht="16" spans="1:5">
      <c r="A33" s="161" t="s">
        <v>85</v>
      </c>
      <c r="B33" s="161" t="s">
        <v>86</v>
      </c>
      <c r="C33" s="161" t="s">
        <v>7</v>
      </c>
      <c r="D33" s="162" t="s">
        <v>87</v>
      </c>
      <c r="E33" s="252">
        <v>46054</v>
      </c>
    </row>
    <row r="34" ht="16" spans="1:5">
      <c r="A34" s="161" t="s">
        <v>88</v>
      </c>
      <c r="B34" s="161" t="s">
        <v>89</v>
      </c>
      <c r="C34" s="161" t="s">
        <v>44</v>
      </c>
      <c r="D34" s="162" t="s">
        <v>90</v>
      </c>
      <c r="E34" s="252">
        <v>46055</v>
      </c>
    </row>
    <row r="35" ht="16" spans="1:5">
      <c r="A35" s="161" t="s">
        <v>91</v>
      </c>
      <c r="B35" s="161" t="s">
        <v>92</v>
      </c>
      <c r="C35" s="161" t="s">
        <v>33</v>
      </c>
      <c r="D35" s="162" t="s">
        <v>93</v>
      </c>
      <c r="E35" s="252">
        <v>46056</v>
      </c>
    </row>
    <row r="36" ht="16" spans="1:5">
      <c r="A36" s="161" t="s">
        <v>94</v>
      </c>
      <c r="B36" s="161" t="s">
        <v>95</v>
      </c>
      <c r="C36" s="161" t="s">
        <v>44</v>
      </c>
      <c r="D36" s="162" t="s">
        <v>96</v>
      </c>
      <c r="E36" s="252">
        <v>46057</v>
      </c>
    </row>
    <row r="37" ht="16" spans="1:5">
      <c r="A37" s="161" t="s">
        <v>97</v>
      </c>
      <c r="B37" s="161" t="s">
        <v>98</v>
      </c>
      <c r="C37" s="161" t="s">
        <v>33</v>
      </c>
      <c r="D37" s="162" t="s">
        <v>99</v>
      </c>
      <c r="E37" s="252">
        <v>46058</v>
      </c>
    </row>
    <row r="38" ht="16" spans="1:5">
      <c r="A38" s="161" t="s">
        <v>100</v>
      </c>
      <c r="B38" s="161" t="s">
        <v>101</v>
      </c>
      <c r="C38" s="161" t="s">
        <v>13</v>
      </c>
      <c r="D38" s="162" t="s">
        <v>102</v>
      </c>
      <c r="E38" s="252">
        <v>46059</v>
      </c>
    </row>
    <row r="39" ht="16" spans="1:5">
      <c r="A39" s="161" t="s">
        <v>103</v>
      </c>
      <c r="B39" s="161" t="s">
        <v>104</v>
      </c>
      <c r="C39" s="161" t="s">
        <v>7</v>
      </c>
      <c r="D39" s="162" t="s">
        <v>105</v>
      </c>
      <c r="E39" s="252">
        <v>46060</v>
      </c>
    </row>
    <row r="40" ht="16" spans="1:5">
      <c r="A40" s="161" t="s">
        <v>106</v>
      </c>
      <c r="B40" s="161" t="s">
        <v>107</v>
      </c>
      <c r="C40" s="161" t="s">
        <v>7</v>
      </c>
      <c r="D40" s="162" t="s">
        <v>108</v>
      </c>
      <c r="E40" s="252">
        <v>46061</v>
      </c>
    </row>
    <row r="41" ht="16" spans="1:5">
      <c r="A41" s="161" t="s">
        <v>109</v>
      </c>
      <c r="B41" s="161" t="s">
        <v>110</v>
      </c>
      <c r="C41" s="161" t="s">
        <v>13</v>
      </c>
      <c r="D41" s="162" t="s">
        <v>111</v>
      </c>
      <c r="E41" s="252">
        <v>46062</v>
      </c>
    </row>
    <row r="42" ht="16" spans="1:5">
      <c r="A42" s="161" t="s">
        <v>112</v>
      </c>
      <c r="B42" s="161" t="s">
        <v>113</v>
      </c>
      <c r="C42" s="161" t="s">
        <v>7</v>
      </c>
      <c r="D42" s="162" t="s">
        <v>114</v>
      </c>
      <c r="E42" s="252">
        <v>46063</v>
      </c>
    </row>
    <row r="43" ht="16" spans="1:5">
      <c r="A43" s="161" t="s">
        <v>115</v>
      </c>
      <c r="B43" s="161" t="s">
        <v>116</v>
      </c>
      <c r="C43" s="161" t="s">
        <v>44</v>
      </c>
      <c r="D43" s="162" t="s">
        <v>117</v>
      </c>
      <c r="E43" s="252">
        <v>46064</v>
      </c>
    </row>
    <row r="44" ht="16" spans="1:5">
      <c r="A44" s="161" t="s">
        <v>118</v>
      </c>
      <c r="B44" s="161" t="s">
        <v>119</v>
      </c>
      <c r="C44" s="161" t="s">
        <v>13</v>
      </c>
      <c r="D44" s="162" t="s">
        <v>120</v>
      </c>
      <c r="E44" s="252">
        <v>46065</v>
      </c>
    </row>
    <row r="45" ht="16" spans="1:5">
      <c r="A45" s="161" t="s">
        <v>121</v>
      </c>
      <c r="B45" s="161" t="s">
        <v>122</v>
      </c>
      <c r="C45" s="161" t="s">
        <v>10</v>
      </c>
      <c r="D45" s="162" t="s">
        <v>123</v>
      </c>
      <c r="E45" s="252">
        <v>46066</v>
      </c>
    </row>
    <row r="46" ht="16" spans="1:5">
      <c r="A46" s="161" t="s">
        <v>124</v>
      </c>
      <c r="B46" s="161" t="s">
        <v>125</v>
      </c>
      <c r="C46" s="161" t="s">
        <v>44</v>
      </c>
      <c r="D46" s="162" t="s">
        <v>126</v>
      </c>
      <c r="E46" s="252">
        <v>46067</v>
      </c>
    </row>
    <row r="47" ht="16" spans="1:5">
      <c r="A47" s="161" t="s">
        <v>127</v>
      </c>
      <c r="B47" s="161" t="s">
        <v>128</v>
      </c>
      <c r="C47" s="161" t="s">
        <v>13</v>
      </c>
      <c r="D47" s="162" t="s">
        <v>129</v>
      </c>
      <c r="E47" s="252">
        <v>46068</v>
      </c>
    </row>
    <row r="48" ht="16" spans="1:5">
      <c r="A48" s="161" t="s">
        <v>130</v>
      </c>
      <c r="B48" s="161" t="s">
        <v>131</v>
      </c>
      <c r="C48" s="161" t="s">
        <v>44</v>
      </c>
      <c r="D48" s="162" t="s">
        <v>132</v>
      </c>
      <c r="E48" s="252">
        <v>46069</v>
      </c>
    </row>
    <row r="49" ht="16" spans="1:5">
      <c r="A49" s="161" t="s">
        <v>133</v>
      </c>
      <c r="B49" s="161" t="s">
        <v>134</v>
      </c>
      <c r="C49" s="161" t="s">
        <v>44</v>
      </c>
      <c r="D49" s="162" t="s">
        <v>135</v>
      </c>
      <c r="E49" s="252">
        <v>46070</v>
      </c>
    </row>
    <row r="50" ht="16" spans="1:5">
      <c r="A50" s="161" t="s">
        <v>136</v>
      </c>
      <c r="B50" s="161" t="s">
        <v>137</v>
      </c>
      <c r="C50" s="161" t="s">
        <v>33</v>
      </c>
      <c r="D50" s="162" t="s">
        <v>138</v>
      </c>
      <c r="E50" s="252">
        <v>46071</v>
      </c>
    </row>
    <row r="51" ht="16" spans="1:5">
      <c r="A51" s="161" t="s">
        <v>139</v>
      </c>
      <c r="B51" s="161" t="s">
        <v>140</v>
      </c>
      <c r="C51" s="161" t="s">
        <v>10</v>
      </c>
      <c r="D51" s="162" t="s">
        <v>141</v>
      </c>
      <c r="E51" s="252">
        <v>46072</v>
      </c>
    </row>
    <row r="52" ht="16" spans="1:5">
      <c r="A52" s="161" t="s">
        <v>142</v>
      </c>
      <c r="B52" s="161" t="s">
        <v>143</v>
      </c>
      <c r="C52" s="161" t="s">
        <v>44</v>
      </c>
      <c r="D52" s="162" t="s">
        <v>144</v>
      </c>
      <c r="E52" s="252">
        <v>46073</v>
      </c>
    </row>
    <row r="53" ht="16" spans="1:5">
      <c r="A53" s="161" t="s">
        <v>145</v>
      </c>
      <c r="B53" s="161" t="s">
        <v>146</v>
      </c>
      <c r="C53" s="161" t="s">
        <v>33</v>
      </c>
      <c r="D53" s="162" t="s">
        <v>147</v>
      </c>
      <c r="E53" s="252">
        <v>46074</v>
      </c>
    </row>
    <row r="54" ht="16" spans="1:5">
      <c r="A54" s="161" t="s">
        <v>148</v>
      </c>
      <c r="B54" s="161" t="s">
        <v>149</v>
      </c>
      <c r="C54" s="161" t="s">
        <v>33</v>
      </c>
      <c r="D54" s="162" t="s">
        <v>150</v>
      </c>
      <c r="E54" s="252">
        <v>46075</v>
      </c>
    </row>
    <row r="55" ht="16" spans="1:5">
      <c r="A55" s="161" t="s">
        <v>151</v>
      </c>
      <c r="B55" s="161" t="s">
        <v>152</v>
      </c>
      <c r="C55" s="161" t="s">
        <v>13</v>
      </c>
      <c r="D55" s="162" t="s">
        <v>153</v>
      </c>
      <c r="E55" s="252">
        <v>46076</v>
      </c>
    </row>
    <row r="56" ht="16" spans="1:5">
      <c r="A56" s="161" t="s">
        <v>154</v>
      </c>
      <c r="B56" s="161" t="s">
        <v>155</v>
      </c>
      <c r="C56" s="161" t="s">
        <v>10</v>
      </c>
      <c r="D56" s="162" t="s">
        <v>156</v>
      </c>
      <c r="E56" s="252">
        <v>46077</v>
      </c>
    </row>
    <row r="57" ht="16" spans="1:5">
      <c r="A57" s="161" t="s">
        <v>157</v>
      </c>
      <c r="B57" s="161" t="s">
        <v>158</v>
      </c>
      <c r="C57" s="161" t="s">
        <v>44</v>
      </c>
      <c r="D57" s="162" t="s">
        <v>159</v>
      </c>
      <c r="E57" s="252">
        <v>46078</v>
      </c>
    </row>
    <row r="58" ht="16" spans="1:5">
      <c r="A58" s="161" t="s">
        <v>160</v>
      </c>
      <c r="B58" s="161" t="s">
        <v>161</v>
      </c>
      <c r="C58" s="161" t="s">
        <v>13</v>
      </c>
      <c r="D58" s="162" t="s">
        <v>162</v>
      </c>
      <c r="E58" s="252">
        <v>46079</v>
      </c>
    </row>
    <row r="59" ht="16" spans="1:5">
      <c r="A59" s="161" t="s">
        <v>163</v>
      </c>
      <c r="B59" s="161" t="s">
        <v>164</v>
      </c>
      <c r="C59" s="161" t="s">
        <v>13</v>
      </c>
      <c r="D59" s="162" t="s">
        <v>165</v>
      </c>
      <c r="E59" s="252">
        <v>46080</v>
      </c>
    </row>
    <row r="60" ht="16" spans="1:5">
      <c r="A60" s="161" t="s">
        <v>166</v>
      </c>
      <c r="B60" s="161" t="s">
        <v>167</v>
      </c>
      <c r="C60" s="161" t="s">
        <v>10</v>
      </c>
      <c r="D60" s="162" t="s">
        <v>168</v>
      </c>
      <c r="E60" s="252">
        <v>46081</v>
      </c>
    </row>
    <row r="61" ht="16" spans="1:5">
      <c r="A61" s="161" t="s">
        <v>169</v>
      </c>
      <c r="B61" s="161" t="s">
        <v>170</v>
      </c>
      <c r="C61" s="161" t="s">
        <v>33</v>
      </c>
      <c r="D61" s="162" t="s">
        <v>171</v>
      </c>
      <c r="E61" s="252">
        <v>46082</v>
      </c>
    </row>
    <row r="62" ht="16" spans="1:5">
      <c r="A62" s="161" t="s">
        <v>172</v>
      </c>
      <c r="B62" s="161" t="s">
        <v>173</v>
      </c>
      <c r="C62" s="161" t="s">
        <v>13</v>
      </c>
      <c r="D62" s="162" t="s">
        <v>174</v>
      </c>
      <c r="E62" s="252">
        <v>46083</v>
      </c>
    </row>
    <row r="63" ht="16" spans="1:5">
      <c r="A63" s="161" t="s">
        <v>175</v>
      </c>
      <c r="B63" s="161" t="s">
        <v>176</v>
      </c>
      <c r="C63" s="161" t="s">
        <v>10</v>
      </c>
      <c r="D63" s="162" t="s">
        <v>177</v>
      </c>
      <c r="E63" s="252">
        <v>46084</v>
      </c>
    </row>
    <row r="64" ht="16" spans="1:5">
      <c r="A64" s="161" t="s">
        <v>178</v>
      </c>
      <c r="B64" s="161" t="s">
        <v>179</v>
      </c>
      <c r="C64" s="161" t="s">
        <v>7</v>
      </c>
      <c r="D64" s="162" t="s">
        <v>180</v>
      </c>
      <c r="E64" s="252">
        <v>46085</v>
      </c>
    </row>
    <row r="65" ht="16" spans="1:5">
      <c r="A65" s="161" t="s">
        <v>181</v>
      </c>
      <c r="B65" s="161" t="s">
        <v>182</v>
      </c>
      <c r="C65" s="161" t="s">
        <v>33</v>
      </c>
      <c r="D65" s="162" t="s">
        <v>183</v>
      </c>
      <c r="E65" s="252">
        <v>46086</v>
      </c>
    </row>
    <row r="66" ht="16" spans="1:5">
      <c r="A66" s="161" t="s">
        <v>184</v>
      </c>
      <c r="B66" s="161" t="s">
        <v>185</v>
      </c>
      <c r="C66" s="161" t="s">
        <v>7</v>
      </c>
      <c r="D66" s="162" t="s">
        <v>186</v>
      </c>
      <c r="E66" s="252">
        <v>46087</v>
      </c>
    </row>
    <row r="67" ht="16" spans="1:5">
      <c r="A67" s="161" t="s">
        <v>187</v>
      </c>
      <c r="B67" s="161" t="s">
        <v>188</v>
      </c>
      <c r="C67" s="161" t="s">
        <v>44</v>
      </c>
      <c r="D67" s="162" t="s">
        <v>189</v>
      </c>
      <c r="E67" s="252">
        <v>46088</v>
      </c>
    </row>
    <row r="68" ht="16" spans="1:5">
      <c r="A68" s="161" t="s">
        <v>190</v>
      </c>
      <c r="B68" s="161" t="s">
        <v>191</v>
      </c>
      <c r="C68" s="161" t="s">
        <v>13</v>
      </c>
      <c r="D68" s="162" t="s">
        <v>192</v>
      </c>
      <c r="E68" s="252">
        <v>46089</v>
      </c>
    </row>
    <row r="69" ht="16" spans="1:5">
      <c r="A69" s="161" t="s">
        <v>193</v>
      </c>
      <c r="B69" s="161" t="s">
        <v>194</v>
      </c>
      <c r="C69" s="161" t="s">
        <v>10</v>
      </c>
      <c r="D69" s="162" t="s">
        <v>195</v>
      </c>
      <c r="E69" s="252">
        <v>46090</v>
      </c>
    </row>
    <row r="70" ht="16" spans="1:5">
      <c r="A70" s="161" t="s">
        <v>196</v>
      </c>
      <c r="B70" s="161" t="s">
        <v>197</v>
      </c>
      <c r="C70" s="161" t="s">
        <v>44</v>
      </c>
      <c r="D70" s="162" t="s">
        <v>198</v>
      </c>
      <c r="E70" s="252">
        <v>46091</v>
      </c>
    </row>
    <row r="71" ht="16" spans="1:5">
      <c r="A71" s="161" t="s">
        <v>199</v>
      </c>
      <c r="B71" s="161" t="s">
        <v>200</v>
      </c>
      <c r="C71" s="161" t="s">
        <v>33</v>
      </c>
      <c r="D71" s="162" t="s">
        <v>201</v>
      </c>
      <c r="E71" s="252">
        <v>46092</v>
      </c>
    </row>
    <row r="72" ht="16" spans="1:5">
      <c r="A72" s="161" t="s">
        <v>202</v>
      </c>
      <c r="B72" s="161" t="s">
        <v>203</v>
      </c>
      <c r="C72" s="161" t="s">
        <v>44</v>
      </c>
      <c r="D72" s="162" t="s">
        <v>204</v>
      </c>
      <c r="E72" s="252">
        <v>46093</v>
      </c>
    </row>
    <row r="73" ht="16" spans="1:5">
      <c r="A73" s="161" t="s">
        <v>205</v>
      </c>
      <c r="B73" s="161" t="s">
        <v>206</v>
      </c>
      <c r="C73" s="161" t="s">
        <v>13</v>
      </c>
      <c r="D73" s="162" t="s">
        <v>207</v>
      </c>
      <c r="E73" s="252">
        <v>46094</v>
      </c>
    </row>
    <row r="74" ht="16" spans="1:5">
      <c r="A74" s="161" t="s">
        <v>208</v>
      </c>
      <c r="B74" s="161" t="s">
        <v>209</v>
      </c>
      <c r="C74" s="161" t="s">
        <v>33</v>
      </c>
      <c r="D74" s="162" t="s">
        <v>210</v>
      </c>
      <c r="E74" s="252">
        <v>46095</v>
      </c>
    </row>
    <row r="75" ht="16" spans="1:5">
      <c r="A75" s="161" t="s">
        <v>211</v>
      </c>
      <c r="B75" s="161" t="s">
        <v>212</v>
      </c>
      <c r="C75" s="161" t="s">
        <v>10</v>
      </c>
      <c r="D75" s="162" t="s">
        <v>213</v>
      </c>
      <c r="E75" s="252">
        <v>46096</v>
      </c>
    </row>
    <row r="76" ht="16" spans="1:5">
      <c r="A76" s="161" t="s">
        <v>214</v>
      </c>
      <c r="B76" s="161" t="s">
        <v>215</v>
      </c>
      <c r="C76" s="161" t="s">
        <v>44</v>
      </c>
      <c r="D76" s="162" t="s">
        <v>216</v>
      </c>
      <c r="E76" s="252">
        <v>46097</v>
      </c>
    </row>
    <row r="77" ht="16" spans="1:5">
      <c r="A77" s="161" t="s">
        <v>217</v>
      </c>
      <c r="B77" s="161" t="s">
        <v>218</v>
      </c>
      <c r="C77" s="161" t="s">
        <v>33</v>
      </c>
      <c r="D77" s="162" t="s">
        <v>219</v>
      </c>
      <c r="E77" s="252">
        <v>46098</v>
      </c>
    </row>
    <row r="78" ht="16" spans="1:5">
      <c r="A78" s="161" t="s">
        <v>220</v>
      </c>
      <c r="B78" s="161" t="s">
        <v>221</v>
      </c>
      <c r="C78" s="161" t="s">
        <v>13</v>
      </c>
      <c r="D78" s="162" t="s">
        <v>222</v>
      </c>
      <c r="E78" s="252">
        <v>46099</v>
      </c>
    </row>
    <row r="79" ht="16" spans="1:5">
      <c r="A79" s="161" t="s">
        <v>223</v>
      </c>
      <c r="B79" s="161" t="s">
        <v>224</v>
      </c>
      <c r="C79" s="161" t="s">
        <v>33</v>
      </c>
      <c r="D79" s="162" t="s">
        <v>225</v>
      </c>
      <c r="E79" s="252">
        <v>46100</v>
      </c>
    </row>
    <row r="80" ht="16" spans="1:5">
      <c r="A80" s="161" t="s">
        <v>226</v>
      </c>
      <c r="B80" s="161" t="s">
        <v>227</v>
      </c>
      <c r="C80" s="161" t="s">
        <v>13</v>
      </c>
      <c r="D80" s="162" t="s">
        <v>228</v>
      </c>
      <c r="E80" s="252">
        <v>46101</v>
      </c>
    </row>
    <row r="81" ht="16" spans="1:5">
      <c r="A81" s="161" t="s">
        <v>229</v>
      </c>
      <c r="B81" s="161" t="s">
        <v>230</v>
      </c>
      <c r="C81" s="161" t="s">
        <v>7</v>
      </c>
      <c r="D81" s="162" t="s">
        <v>231</v>
      </c>
      <c r="E81" s="252">
        <v>46102</v>
      </c>
    </row>
    <row r="82" ht="16" spans="1:5">
      <c r="A82" s="161" t="s">
        <v>232</v>
      </c>
      <c r="B82" s="161" t="s">
        <v>233</v>
      </c>
      <c r="C82" s="161" t="s">
        <v>10</v>
      </c>
      <c r="D82" s="162" t="s">
        <v>234</v>
      </c>
      <c r="E82" s="252">
        <v>46103</v>
      </c>
    </row>
    <row r="83" ht="16" spans="1:5">
      <c r="A83" s="161" t="s">
        <v>235</v>
      </c>
      <c r="B83" s="161" t="s">
        <v>236</v>
      </c>
      <c r="C83" s="161" t="s">
        <v>7</v>
      </c>
      <c r="D83" s="162" t="s">
        <v>237</v>
      </c>
      <c r="E83" s="252">
        <v>46104</v>
      </c>
    </row>
    <row r="84" ht="16" spans="1:5">
      <c r="A84" s="161" t="s">
        <v>238</v>
      </c>
      <c r="B84" s="161" t="s">
        <v>239</v>
      </c>
      <c r="C84" s="161" t="s">
        <v>44</v>
      </c>
      <c r="D84" s="162" t="s">
        <v>240</v>
      </c>
      <c r="E84" s="252">
        <v>46105</v>
      </c>
    </row>
    <row r="85" ht="16" spans="1:5">
      <c r="A85" s="161" t="s">
        <v>241</v>
      </c>
      <c r="B85" s="161" t="s">
        <v>242</v>
      </c>
      <c r="C85" s="161" t="s">
        <v>7</v>
      </c>
      <c r="D85" s="162" t="s">
        <v>243</v>
      </c>
      <c r="E85" s="252">
        <v>46106</v>
      </c>
    </row>
    <row r="86" ht="16" spans="1:5">
      <c r="A86" s="161" t="s">
        <v>244</v>
      </c>
      <c r="B86" s="161" t="s">
        <v>245</v>
      </c>
      <c r="C86" s="161" t="s">
        <v>10</v>
      </c>
      <c r="D86" s="162" t="s">
        <v>246</v>
      </c>
      <c r="E86" s="252">
        <v>46107</v>
      </c>
    </row>
    <row r="87" ht="16" spans="1:5">
      <c r="A87" s="161" t="s">
        <v>247</v>
      </c>
      <c r="B87" s="161" t="s">
        <v>248</v>
      </c>
      <c r="C87" s="161" t="s">
        <v>44</v>
      </c>
      <c r="D87" s="162" t="s">
        <v>249</v>
      </c>
      <c r="E87" s="252">
        <v>46108</v>
      </c>
    </row>
    <row r="88" ht="16" spans="1:5">
      <c r="A88" s="161" t="s">
        <v>250</v>
      </c>
      <c r="B88" s="161" t="s">
        <v>251</v>
      </c>
      <c r="C88" s="161" t="s">
        <v>7</v>
      </c>
      <c r="D88" s="162" t="s">
        <v>252</v>
      </c>
      <c r="E88" s="252">
        <v>46109</v>
      </c>
    </row>
    <row r="89" ht="16" spans="1:5">
      <c r="A89" s="161" t="s">
        <v>253</v>
      </c>
      <c r="B89" s="161" t="s">
        <v>254</v>
      </c>
      <c r="C89" s="161" t="s">
        <v>7</v>
      </c>
      <c r="D89" s="162" t="s">
        <v>255</v>
      </c>
      <c r="E89" s="252">
        <v>46110</v>
      </c>
    </row>
    <row r="90" ht="16" spans="1:5">
      <c r="A90" s="161" t="s">
        <v>256</v>
      </c>
      <c r="B90" s="161" t="s">
        <v>257</v>
      </c>
      <c r="C90" s="161" t="s">
        <v>33</v>
      </c>
      <c r="D90" s="162" t="s">
        <v>258</v>
      </c>
      <c r="E90" s="252">
        <v>46111</v>
      </c>
    </row>
    <row r="91" ht="16" spans="1:5">
      <c r="A91" s="161" t="s">
        <v>259</v>
      </c>
      <c r="B91" s="161" t="s">
        <v>260</v>
      </c>
      <c r="C91" s="161" t="s">
        <v>7</v>
      </c>
      <c r="D91" s="162" t="s">
        <v>261</v>
      </c>
      <c r="E91" s="252">
        <v>46112</v>
      </c>
    </row>
    <row r="92" ht="16" spans="1:5">
      <c r="A92" s="161" t="s">
        <v>262</v>
      </c>
      <c r="B92" s="161" t="s">
        <v>263</v>
      </c>
      <c r="C92" s="161" t="s">
        <v>7</v>
      </c>
      <c r="D92" s="162" t="s">
        <v>264</v>
      </c>
      <c r="E92" s="252">
        <v>46113</v>
      </c>
    </row>
    <row r="93" ht="16" spans="1:5">
      <c r="A93" s="161" t="s">
        <v>265</v>
      </c>
      <c r="B93" s="161" t="s">
        <v>266</v>
      </c>
      <c r="C93" s="161" t="s">
        <v>44</v>
      </c>
      <c r="D93" s="162" t="s">
        <v>267</v>
      </c>
      <c r="E93" s="252">
        <v>46114</v>
      </c>
    </row>
    <row r="94" ht="16" spans="1:5">
      <c r="A94" s="161" t="s">
        <v>268</v>
      </c>
      <c r="B94" s="161" t="s">
        <v>269</v>
      </c>
      <c r="C94" s="161" t="s">
        <v>13</v>
      </c>
      <c r="D94" s="162" t="s">
        <v>270</v>
      </c>
      <c r="E94" s="252">
        <v>46115</v>
      </c>
    </row>
    <row r="95" ht="16" spans="1:5">
      <c r="A95" s="161" t="s">
        <v>271</v>
      </c>
      <c r="B95" s="161" t="s">
        <v>272</v>
      </c>
      <c r="C95" s="161" t="s">
        <v>13</v>
      </c>
      <c r="D95" s="162" t="s">
        <v>273</v>
      </c>
      <c r="E95" s="252">
        <v>46116</v>
      </c>
    </row>
    <row r="96" ht="16" spans="1:5">
      <c r="A96" s="161" t="s">
        <v>274</v>
      </c>
      <c r="B96" s="161" t="s">
        <v>275</v>
      </c>
      <c r="C96" s="161" t="s">
        <v>33</v>
      </c>
      <c r="D96" s="162" t="s">
        <v>276</v>
      </c>
      <c r="E96" s="252">
        <v>46117</v>
      </c>
    </row>
    <row r="97" ht="16" spans="1:5">
      <c r="A97" s="161" t="s">
        <v>277</v>
      </c>
      <c r="B97" s="161" t="s">
        <v>278</v>
      </c>
      <c r="C97" s="161" t="s">
        <v>33</v>
      </c>
      <c r="D97" s="162" t="s">
        <v>279</v>
      </c>
      <c r="E97" s="252">
        <v>46118</v>
      </c>
    </row>
    <row r="98" ht="16" spans="1:5">
      <c r="A98" s="161" t="s">
        <v>280</v>
      </c>
      <c r="B98" s="161" t="s">
        <v>281</v>
      </c>
      <c r="C98" s="161" t="s">
        <v>44</v>
      </c>
      <c r="D98" s="162" t="s">
        <v>282</v>
      </c>
      <c r="E98" s="252">
        <v>46119</v>
      </c>
    </row>
    <row r="99" ht="16" spans="1:5">
      <c r="A99" s="161" t="s">
        <v>283</v>
      </c>
      <c r="B99" s="161" t="s">
        <v>284</v>
      </c>
      <c r="C99" s="161" t="s">
        <v>33</v>
      </c>
      <c r="D99" s="162" t="s">
        <v>285</v>
      </c>
      <c r="E99" s="252">
        <v>46120</v>
      </c>
    </row>
    <row r="100" ht="16" spans="1:5">
      <c r="A100" s="161" t="s">
        <v>286</v>
      </c>
      <c r="B100" s="161" t="s">
        <v>287</v>
      </c>
      <c r="C100" s="161" t="s">
        <v>44</v>
      </c>
      <c r="D100" s="162" t="s">
        <v>288</v>
      </c>
      <c r="E100" s="252">
        <v>46121</v>
      </c>
    </row>
    <row r="101" ht="16" spans="1:5">
      <c r="A101" s="161" t="s">
        <v>289</v>
      </c>
      <c r="B101" s="161" t="s">
        <v>290</v>
      </c>
      <c r="C101" s="161" t="s">
        <v>44</v>
      </c>
      <c r="D101" s="162" t="s">
        <v>291</v>
      </c>
      <c r="E101" s="252">
        <v>46122</v>
      </c>
    </row>
    <row r="102" ht="16" spans="1:5">
      <c r="A102" s="161" t="s">
        <v>292</v>
      </c>
      <c r="B102" s="161" t="s">
        <v>293</v>
      </c>
      <c r="C102" s="161" t="s">
        <v>13</v>
      </c>
      <c r="D102" s="162" t="s">
        <v>294</v>
      </c>
      <c r="E102" s="252">
        <v>46123</v>
      </c>
    </row>
    <row r="103" ht="16" spans="1:5">
      <c r="A103" s="161" t="s">
        <v>295</v>
      </c>
      <c r="B103" s="161" t="s">
        <v>296</v>
      </c>
      <c r="C103" s="161" t="s">
        <v>44</v>
      </c>
      <c r="D103" s="162" t="s">
        <v>297</v>
      </c>
      <c r="E103" s="252">
        <v>46124</v>
      </c>
    </row>
    <row r="104" ht="16" spans="1:5">
      <c r="A104" s="161" t="s">
        <v>298</v>
      </c>
      <c r="B104" s="161" t="s">
        <v>299</v>
      </c>
      <c r="C104" s="161" t="s">
        <v>13</v>
      </c>
      <c r="D104" s="162" t="s">
        <v>300</v>
      </c>
      <c r="E104" s="252">
        <v>46125</v>
      </c>
    </row>
    <row r="105" ht="16" spans="1:5">
      <c r="A105" s="161" t="s">
        <v>301</v>
      </c>
      <c r="B105" s="161" t="s">
        <v>302</v>
      </c>
      <c r="C105" s="161" t="s">
        <v>7</v>
      </c>
      <c r="D105" s="162" t="s">
        <v>303</v>
      </c>
      <c r="E105" s="252">
        <v>46126</v>
      </c>
    </row>
    <row r="106" ht="16" spans="1:5">
      <c r="A106" s="161" t="s">
        <v>304</v>
      </c>
      <c r="B106" s="161" t="s">
        <v>305</v>
      </c>
      <c r="C106" s="161" t="s">
        <v>13</v>
      </c>
      <c r="D106" s="162" t="s">
        <v>306</v>
      </c>
      <c r="E106" s="252">
        <v>46127</v>
      </c>
    </row>
    <row r="107" ht="16" spans="1:5">
      <c r="A107" s="161" t="s">
        <v>307</v>
      </c>
      <c r="B107" s="161" t="s">
        <v>308</v>
      </c>
      <c r="C107" s="161" t="s">
        <v>44</v>
      </c>
      <c r="D107" s="162" t="s">
        <v>309</v>
      </c>
      <c r="E107" s="252">
        <v>46128</v>
      </c>
    </row>
    <row r="108" ht="16" spans="1:5">
      <c r="A108" s="161" t="s">
        <v>310</v>
      </c>
      <c r="B108" s="161" t="s">
        <v>311</v>
      </c>
      <c r="C108" s="161" t="s">
        <v>13</v>
      </c>
      <c r="D108" s="162" t="s">
        <v>312</v>
      </c>
      <c r="E108" s="252">
        <v>46129</v>
      </c>
    </row>
    <row r="109" ht="16" spans="1:5">
      <c r="A109" s="161" t="s">
        <v>313</v>
      </c>
      <c r="B109" s="161" t="s">
        <v>314</v>
      </c>
      <c r="C109" s="161" t="s">
        <v>7</v>
      </c>
      <c r="D109" s="162" t="s">
        <v>315</v>
      </c>
      <c r="E109" s="252">
        <v>46130</v>
      </c>
    </row>
    <row r="110" ht="16" spans="1:5">
      <c r="A110" s="161" t="s">
        <v>316</v>
      </c>
      <c r="B110" s="161" t="s">
        <v>317</v>
      </c>
      <c r="C110" s="161" t="s">
        <v>7</v>
      </c>
      <c r="D110" s="162" t="s">
        <v>318</v>
      </c>
      <c r="E110" s="252">
        <v>46131</v>
      </c>
    </row>
    <row r="111" ht="16" spans="1:5">
      <c r="A111" s="161" t="s">
        <v>319</v>
      </c>
      <c r="B111" s="161" t="s">
        <v>320</v>
      </c>
      <c r="C111" s="161" t="s">
        <v>33</v>
      </c>
      <c r="D111" s="162" t="s">
        <v>321</v>
      </c>
      <c r="E111" s="252">
        <v>46132</v>
      </c>
    </row>
    <row r="112" ht="16" spans="1:5">
      <c r="A112" s="161" t="s">
        <v>322</v>
      </c>
      <c r="B112" s="161" t="s">
        <v>323</v>
      </c>
      <c r="C112" s="161" t="s">
        <v>44</v>
      </c>
      <c r="D112" s="162" t="s">
        <v>324</v>
      </c>
      <c r="E112" s="252">
        <v>46133</v>
      </c>
    </row>
    <row r="113" ht="16" spans="1:5">
      <c r="A113" s="161" t="s">
        <v>325</v>
      </c>
      <c r="B113" s="161" t="s">
        <v>326</v>
      </c>
      <c r="C113" s="161" t="s">
        <v>13</v>
      </c>
      <c r="D113" s="162" t="s">
        <v>327</v>
      </c>
      <c r="E113" s="252">
        <v>46134</v>
      </c>
    </row>
    <row r="114" ht="16" spans="1:5">
      <c r="A114" s="161" t="s">
        <v>328</v>
      </c>
      <c r="B114" s="161" t="s">
        <v>329</v>
      </c>
      <c r="C114" s="161" t="s">
        <v>44</v>
      </c>
      <c r="D114" s="162" t="s">
        <v>330</v>
      </c>
      <c r="E114" s="252">
        <v>46135</v>
      </c>
    </row>
    <row r="115" ht="16" spans="1:5">
      <c r="A115" s="161" t="s">
        <v>331</v>
      </c>
      <c r="B115" s="161" t="s">
        <v>332</v>
      </c>
      <c r="C115" s="161" t="s">
        <v>7</v>
      </c>
      <c r="D115" s="162" t="s">
        <v>333</v>
      </c>
      <c r="E115" s="252">
        <v>46136</v>
      </c>
    </row>
    <row r="116" ht="16" spans="1:5">
      <c r="A116" s="161" t="s">
        <v>334</v>
      </c>
      <c r="B116" s="161" t="s">
        <v>335</v>
      </c>
      <c r="C116" s="161" t="s">
        <v>7</v>
      </c>
      <c r="D116" s="162" t="s">
        <v>336</v>
      </c>
      <c r="E116" s="252">
        <v>46137</v>
      </c>
    </row>
    <row r="117" ht="16" spans="1:5">
      <c r="A117" s="161" t="s">
        <v>337</v>
      </c>
      <c r="B117" s="161" t="s">
        <v>338</v>
      </c>
      <c r="C117" s="161" t="s">
        <v>44</v>
      </c>
      <c r="D117" s="162" t="s">
        <v>339</v>
      </c>
      <c r="E117" s="252">
        <v>46138</v>
      </c>
    </row>
    <row r="118" ht="16" spans="1:5">
      <c r="A118" s="161" t="s">
        <v>340</v>
      </c>
      <c r="B118" s="161" t="s">
        <v>341</v>
      </c>
      <c r="C118" s="161" t="s">
        <v>13</v>
      </c>
      <c r="D118" s="162" t="s">
        <v>342</v>
      </c>
      <c r="E118" s="252">
        <v>46139</v>
      </c>
    </row>
    <row r="119" ht="16" spans="1:5">
      <c r="A119" s="161" t="s">
        <v>343</v>
      </c>
      <c r="B119" s="161" t="s">
        <v>344</v>
      </c>
      <c r="C119" s="161" t="s">
        <v>44</v>
      </c>
      <c r="D119" s="162" t="s">
        <v>345</v>
      </c>
      <c r="E119" s="252">
        <v>46140</v>
      </c>
    </row>
    <row r="120" ht="16" spans="1:5">
      <c r="A120" s="161" t="s">
        <v>346</v>
      </c>
      <c r="B120" s="161" t="s">
        <v>347</v>
      </c>
      <c r="C120" s="161" t="s">
        <v>33</v>
      </c>
      <c r="D120" s="162" t="s">
        <v>348</v>
      </c>
      <c r="E120" s="252">
        <v>46141</v>
      </c>
    </row>
    <row r="121" ht="16" spans="1:5">
      <c r="A121" s="161" t="s">
        <v>349</v>
      </c>
      <c r="B121" s="161" t="s">
        <v>350</v>
      </c>
      <c r="C121" s="161" t="s">
        <v>33</v>
      </c>
      <c r="D121" s="162" t="s">
        <v>351</v>
      </c>
      <c r="E121" s="252">
        <v>46142</v>
      </c>
    </row>
    <row r="122" ht="16" spans="1:5">
      <c r="A122" s="161" t="s">
        <v>352</v>
      </c>
      <c r="B122" s="161" t="s">
        <v>353</v>
      </c>
      <c r="C122" s="161" t="s">
        <v>44</v>
      </c>
      <c r="D122" s="162" t="s">
        <v>354</v>
      </c>
      <c r="E122" s="252">
        <v>46143</v>
      </c>
    </row>
    <row r="123" ht="16" spans="1:5">
      <c r="A123" s="161" t="s">
        <v>355</v>
      </c>
      <c r="B123" s="161" t="s">
        <v>356</v>
      </c>
      <c r="C123" s="161" t="s">
        <v>33</v>
      </c>
      <c r="D123" s="162" t="s">
        <v>357</v>
      </c>
      <c r="E123" s="252">
        <v>46144</v>
      </c>
    </row>
    <row r="124" ht="16" spans="1:5">
      <c r="A124" s="161" t="s">
        <v>358</v>
      </c>
      <c r="B124" s="161" t="s">
        <v>359</v>
      </c>
      <c r="C124" s="161" t="s">
        <v>13</v>
      </c>
      <c r="D124" s="162" t="s">
        <v>360</v>
      </c>
      <c r="E124" s="252">
        <v>46145</v>
      </c>
    </row>
    <row r="125" ht="16" spans="1:5">
      <c r="A125" s="161" t="s">
        <v>361</v>
      </c>
      <c r="B125" s="161" t="s">
        <v>362</v>
      </c>
      <c r="C125" s="161" t="s">
        <v>7</v>
      </c>
      <c r="D125" s="162" t="s">
        <v>363</v>
      </c>
      <c r="E125" s="252">
        <v>46146</v>
      </c>
    </row>
    <row r="126" ht="16" spans="1:5">
      <c r="A126" s="161" t="s">
        <v>364</v>
      </c>
      <c r="B126" s="161" t="s">
        <v>365</v>
      </c>
      <c r="C126" s="161" t="s">
        <v>44</v>
      </c>
      <c r="D126" s="162" t="s">
        <v>366</v>
      </c>
      <c r="E126" s="252">
        <v>46147</v>
      </c>
    </row>
    <row r="127" ht="16" spans="1:5">
      <c r="A127" s="161" t="s">
        <v>367</v>
      </c>
      <c r="B127" s="161" t="s">
        <v>368</v>
      </c>
      <c r="C127" s="161" t="s">
        <v>33</v>
      </c>
      <c r="D127" s="162" t="s">
        <v>369</v>
      </c>
      <c r="E127" s="252">
        <v>46148</v>
      </c>
    </row>
    <row r="128" ht="16" spans="1:5">
      <c r="A128" s="161" t="s">
        <v>370</v>
      </c>
      <c r="B128" s="161" t="s">
        <v>371</v>
      </c>
      <c r="C128" s="161" t="s">
        <v>7</v>
      </c>
      <c r="D128" s="162" t="s">
        <v>372</v>
      </c>
      <c r="E128" s="252">
        <v>46149</v>
      </c>
    </row>
    <row r="129" ht="16" spans="1:5">
      <c r="A129" s="161" t="s">
        <v>373</v>
      </c>
      <c r="B129" s="161" t="s">
        <v>374</v>
      </c>
      <c r="C129" s="161" t="s">
        <v>10</v>
      </c>
      <c r="D129" s="162" t="s">
        <v>375</v>
      </c>
      <c r="E129" s="252">
        <v>46150</v>
      </c>
    </row>
    <row r="130" ht="16" spans="1:5">
      <c r="A130" s="161" t="s">
        <v>376</v>
      </c>
      <c r="B130" s="161" t="s">
        <v>377</v>
      </c>
      <c r="C130" s="161" t="s">
        <v>44</v>
      </c>
      <c r="D130" s="162" t="s">
        <v>378</v>
      </c>
      <c r="E130" s="252">
        <v>46151</v>
      </c>
    </row>
    <row r="131" ht="16" spans="1:5">
      <c r="A131" s="161" t="s">
        <v>379</v>
      </c>
      <c r="B131" s="161" t="s">
        <v>380</v>
      </c>
      <c r="C131" s="161" t="s">
        <v>10</v>
      </c>
      <c r="D131" s="162" t="s">
        <v>381</v>
      </c>
      <c r="E131" s="252">
        <v>46152</v>
      </c>
    </row>
    <row r="132" ht="16" spans="1:5">
      <c r="A132" s="161" t="s">
        <v>382</v>
      </c>
      <c r="B132" s="161" t="s">
        <v>383</v>
      </c>
      <c r="C132" s="161" t="s">
        <v>33</v>
      </c>
      <c r="D132" s="162" t="s">
        <v>384</v>
      </c>
      <c r="E132" s="252">
        <v>46153</v>
      </c>
    </row>
    <row r="133" ht="16" spans="1:5">
      <c r="A133" s="161" t="s">
        <v>385</v>
      </c>
      <c r="B133" s="161" t="s">
        <v>386</v>
      </c>
      <c r="C133" s="161" t="s">
        <v>44</v>
      </c>
      <c r="D133" s="162" t="s">
        <v>387</v>
      </c>
      <c r="E133" s="252">
        <v>46154</v>
      </c>
    </row>
    <row r="134" ht="16" spans="1:5">
      <c r="A134" s="161" t="s">
        <v>388</v>
      </c>
      <c r="B134" s="161" t="s">
        <v>389</v>
      </c>
      <c r="C134" s="161" t="s">
        <v>44</v>
      </c>
      <c r="D134" s="162" t="s">
        <v>390</v>
      </c>
      <c r="E134" s="252">
        <v>46155</v>
      </c>
    </row>
    <row r="135" ht="16" spans="1:5">
      <c r="A135" s="161" t="s">
        <v>391</v>
      </c>
      <c r="B135" s="161" t="s">
        <v>392</v>
      </c>
      <c r="C135" s="161" t="s">
        <v>7</v>
      </c>
      <c r="D135" s="162" t="s">
        <v>393</v>
      </c>
      <c r="E135" s="252">
        <v>46156</v>
      </c>
    </row>
    <row r="136" ht="16" spans="1:5">
      <c r="A136" s="161" t="s">
        <v>394</v>
      </c>
      <c r="B136" s="161" t="s">
        <v>395</v>
      </c>
      <c r="C136" s="161" t="s">
        <v>44</v>
      </c>
      <c r="D136" s="162" t="s">
        <v>396</v>
      </c>
      <c r="E136" s="252">
        <v>46157</v>
      </c>
    </row>
    <row r="137" ht="16" spans="1:5">
      <c r="A137" s="161" t="s">
        <v>397</v>
      </c>
      <c r="B137" s="161" t="s">
        <v>398</v>
      </c>
      <c r="C137" s="161" t="s">
        <v>44</v>
      </c>
      <c r="D137" s="162" t="s">
        <v>399</v>
      </c>
      <c r="E137" s="252">
        <v>46158</v>
      </c>
    </row>
    <row r="138" ht="16" spans="1:5">
      <c r="A138" s="161" t="s">
        <v>400</v>
      </c>
      <c r="B138" s="161" t="s">
        <v>401</v>
      </c>
      <c r="C138" s="161" t="s">
        <v>13</v>
      </c>
      <c r="D138" s="162" t="s">
        <v>402</v>
      </c>
      <c r="E138" s="252">
        <v>46159</v>
      </c>
    </row>
    <row r="139" ht="16" spans="1:5">
      <c r="A139" s="161" t="s">
        <v>403</v>
      </c>
      <c r="B139" s="161" t="s">
        <v>404</v>
      </c>
      <c r="C139" s="161" t="s">
        <v>13</v>
      </c>
      <c r="D139" s="162" t="s">
        <v>405</v>
      </c>
      <c r="E139" s="252">
        <v>46160</v>
      </c>
    </row>
    <row r="140" ht="16" spans="1:5">
      <c r="A140" s="161" t="s">
        <v>406</v>
      </c>
      <c r="B140" s="161" t="s">
        <v>407</v>
      </c>
      <c r="C140" s="161" t="s">
        <v>10</v>
      </c>
      <c r="D140" s="162" t="s">
        <v>408</v>
      </c>
      <c r="E140" s="252">
        <v>46161</v>
      </c>
    </row>
    <row r="141" ht="16" spans="1:5">
      <c r="A141" s="161" t="s">
        <v>409</v>
      </c>
      <c r="B141" s="161" t="s">
        <v>410</v>
      </c>
      <c r="C141" s="161" t="s">
        <v>10</v>
      </c>
      <c r="D141" s="162" t="s">
        <v>411</v>
      </c>
      <c r="E141" s="252">
        <v>46162</v>
      </c>
    </row>
    <row r="142" ht="16" spans="1:5">
      <c r="A142" s="161" t="s">
        <v>412</v>
      </c>
      <c r="B142" s="161" t="s">
        <v>413</v>
      </c>
      <c r="C142" s="161" t="s">
        <v>13</v>
      </c>
      <c r="D142" s="162" t="s">
        <v>414</v>
      </c>
      <c r="E142" s="252">
        <v>46163</v>
      </c>
    </row>
    <row r="143" ht="16" spans="1:5">
      <c r="A143" s="161" t="s">
        <v>415</v>
      </c>
      <c r="B143" s="161" t="s">
        <v>416</v>
      </c>
      <c r="C143" s="161" t="s">
        <v>13</v>
      </c>
      <c r="D143" s="162" t="s">
        <v>417</v>
      </c>
      <c r="E143" s="252">
        <v>46164</v>
      </c>
    </row>
    <row r="144" ht="16" spans="1:5">
      <c r="A144" s="161" t="s">
        <v>418</v>
      </c>
      <c r="B144" s="161" t="s">
        <v>419</v>
      </c>
      <c r="C144" s="161" t="s">
        <v>44</v>
      </c>
      <c r="D144" s="162" t="s">
        <v>420</v>
      </c>
      <c r="E144" s="252">
        <v>46165</v>
      </c>
    </row>
    <row r="145" ht="16" spans="1:5">
      <c r="A145" s="161" t="s">
        <v>421</v>
      </c>
      <c r="B145" s="161" t="s">
        <v>422</v>
      </c>
      <c r="C145" s="161" t="s">
        <v>7</v>
      </c>
      <c r="D145" s="162" t="s">
        <v>423</v>
      </c>
      <c r="E145" s="252">
        <v>46166</v>
      </c>
    </row>
    <row r="146" ht="16" spans="1:5">
      <c r="A146" s="161" t="s">
        <v>424</v>
      </c>
      <c r="B146" s="161" t="s">
        <v>425</v>
      </c>
      <c r="C146" s="161" t="s">
        <v>33</v>
      </c>
      <c r="D146" s="162" t="s">
        <v>426</v>
      </c>
      <c r="E146" s="252">
        <v>46167</v>
      </c>
    </row>
    <row r="147" ht="16" spans="1:5">
      <c r="A147" s="161" t="s">
        <v>427</v>
      </c>
      <c r="B147" s="161" t="s">
        <v>428</v>
      </c>
      <c r="C147" s="161" t="s">
        <v>44</v>
      </c>
      <c r="D147" s="162" t="s">
        <v>429</v>
      </c>
      <c r="E147" s="252">
        <v>46168</v>
      </c>
    </row>
    <row r="148" ht="16" spans="1:5">
      <c r="A148" s="161" t="s">
        <v>430</v>
      </c>
      <c r="B148" s="161" t="s">
        <v>431</v>
      </c>
      <c r="C148" s="161" t="s">
        <v>13</v>
      </c>
      <c r="D148" s="162" t="s">
        <v>432</v>
      </c>
      <c r="E148" s="252">
        <v>46169</v>
      </c>
    </row>
    <row r="149" ht="16" spans="1:5">
      <c r="A149" s="161" t="s">
        <v>433</v>
      </c>
      <c r="B149" s="161" t="s">
        <v>434</v>
      </c>
      <c r="C149" s="161" t="s">
        <v>13</v>
      </c>
      <c r="D149" s="162" t="s">
        <v>435</v>
      </c>
      <c r="E149" s="252">
        <v>46170</v>
      </c>
    </row>
    <row r="150" ht="16" spans="1:5">
      <c r="A150" s="161" t="s">
        <v>436</v>
      </c>
      <c r="B150" s="161" t="s">
        <v>437</v>
      </c>
      <c r="C150" s="161" t="s">
        <v>7</v>
      </c>
      <c r="D150" s="162" t="s">
        <v>438</v>
      </c>
      <c r="E150" s="252">
        <v>46171</v>
      </c>
    </row>
    <row r="151" ht="16" spans="1:5">
      <c r="A151" s="161" t="s">
        <v>439</v>
      </c>
      <c r="B151" s="161" t="s">
        <v>440</v>
      </c>
      <c r="C151" s="161" t="s">
        <v>44</v>
      </c>
      <c r="D151" s="162" t="s">
        <v>441</v>
      </c>
      <c r="E151" s="252">
        <v>46172</v>
      </c>
    </row>
    <row r="152" ht="16" spans="1:5">
      <c r="A152" s="161" t="s">
        <v>442</v>
      </c>
      <c r="B152" s="161" t="s">
        <v>443</v>
      </c>
      <c r="C152" s="161" t="s">
        <v>10</v>
      </c>
      <c r="D152" s="162" t="s">
        <v>444</v>
      </c>
      <c r="E152" s="252">
        <v>46173</v>
      </c>
    </row>
    <row r="153" ht="16" spans="1:5">
      <c r="A153" s="161" t="s">
        <v>445</v>
      </c>
      <c r="B153" s="161" t="s">
        <v>446</v>
      </c>
      <c r="C153" s="161" t="s">
        <v>13</v>
      </c>
      <c r="D153" s="162" t="s">
        <v>447</v>
      </c>
      <c r="E153" s="252">
        <v>46174</v>
      </c>
    </row>
    <row r="154" ht="16" spans="1:5">
      <c r="A154" s="161" t="s">
        <v>448</v>
      </c>
      <c r="B154" s="161" t="s">
        <v>449</v>
      </c>
      <c r="C154" s="161" t="s">
        <v>13</v>
      </c>
      <c r="D154" s="162" t="s">
        <v>450</v>
      </c>
      <c r="E154" s="252">
        <v>46175</v>
      </c>
    </row>
    <row r="155" ht="16" spans="1:5">
      <c r="A155" s="161" t="s">
        <v>451</v>
      </c>
      <c r="B155" s="161" t="s">
        <v>452</v>
      </c>
      <c r="C155" s="161" t="s">
        <v>33</v>
      </c>
      <c r="D155" s="162" t="s">
        <v>453</v>
      </c>
      <c r="E155" s="252">
        <v>46176</v>
      </c>
    </row>
    <row r="156" ht="16" spans="1:5">
      <c r="A156" s="161" t="s">
        <v>454</v>
      </c>
      <c r="B156" s="161" t="s">
        <v>455</v>
      </c>
      <c r="C156" s="161" t="s">
        <v>7</v>
      </c>
      <c r="D156" s="162" t="s">
        <v>456</v>
      </c>
      <c r="E156" s="252">
        <v>46177</v>
      </c>
    </row>
    <row r="157" ht="16" spans="1:5">
      <c r="A157" s="161" t="s">
        <v>457</v>
      </c>
      <c r="B157" s="161" t="s">
        <v>458</v>
      </c>
      <c r="C157" s="161" t="s">
        <v>10</v>
      </c>
      <c r="D157" s="162" t="s">
        <v>459</v>
      </c>
      <c r="E157" s="252">
        <v>46178</v>
      </c>
    </row>
    <row r="158" ht="16" spans="1:5">
      <c r="A158" s="161" t="s">
        <v>460</v>
      </c>
      <c r="B158" s="161" t="s">
        <v>461</v>
      </c>
      <c r="C158" s="161" t="s">
        <v>44</v>
      </c>
      <c r="D158" s="162" t="s">
        <v>462</v>
      </c>
      <c r="E158" s="252">
        <v>46179</v>
      </c>
    </row>
    <row r="159" ht="16" spans="1:5">
      <c r="A159" s="161" t="s">
        <v>463</v>
      </c>
      <c r="B159" s="161" t="s">
        <v>464</v>
      </c>
      <c r="C159" s="161" t="s">
        <v>44</v>
      </c>
      <c r="D159" s="162" t="s">
        <v>465</v>
      </c>
      <c r="E159" s="252">
        <v>46180</v>
      </c>
    </row>
    <row r="160" ht="16" spans="1:5">
      <c r="A160" s="161" t="s">
        <v>466</v>
      </c>
      <c r="B160" s="161" t="s">
        <v>467</v>
      </c>
      <c r="C160" s="161" t="s">
        <v>10</v>
      </c>
      <c r="D160" s="162" t="s">
        <v>468</v>
      </c>
      <c r="E160" s="252">
        <v>46181</v>
      </c>
    </row>
    <row r="161" ht="16" spans="1:5">
      <c r="A161" s="161" t="s">
        <v>469</v>
      </c>
      <c r="B161" s="161" t="s">
        <v>470</v>
      </c>
      <c r="C161" s="161" t="s">
        <v>13</v>
      </c>
      <c r="D161" s="162" t="s">
        <v>471</v>
      </c>
      <c r="E161" s="252">
        <v>46182</v>
      </c>
    </row>
    <row r="162" ht="16" spans="1:5">
      <c r="A162" s="161" t="s">
        <v>472</v>
      </c>
      <c r="B162" s="161" t="s">
        <v>473</v>
      </c>
      <c r="C162" s="161" t="s">
        <v>44</v>
      </c>
      <c r="D162" s="162" t="s">
        <v>474</v>
      </c>
      <c r="E162" s="252">
        <v>46183</v>
      </c>
    </row>
    <row r="163" ht="16" spans="1:5">
      <c r="A163" s="161" t="s">
        <v>475</v>
      </c>
      <c r="B163" s="161" t="s">
        <v>476</v>
      </c>
      <c r="C163" s="161" t="s">
        <v>7</v>
      </c>
      <c r="D163" s="162" t="s">
        <v>477</v>
      </c>
      <c r="E163" s="252">
        <v>46184</v>
      </c>
    </row>
    <row r="164" ht="16" spans="1:5">
      <c r="A164" s="161" t="s">
        <v>478</v>
      </c>
      <c r="B164" s="161" t="s">
        <v>479</v>
      </c>
      <c r="C164" s="161" t="s">
        <v>7</v>
      </c>
      <c r="D164" s="162" t="s">
        <v>480</v>
      </c>
      <c r="E164" s="252">
        <v>46185</v>
      </c>
    </row>
    <row r="165" ht="16" spans="1:5">
      <c r="A165" s="161" t="s">
        <v>481</v>
      </c>
      <c r="B165" s="161" t="s">
        <v>482</v>
      </c>
      <c r="C165" s="161" t="s">
        <v>13</v>
      </c>
      <c r="D165" s="162" t="s">
        <v>483</v>
      </c>
      <c r="E165" s="252">
        <v>46186</v>
      </c>
    </row>
    <row r="166" ht="16" spans="1:5">
      <c r="A166" s="161" t="s">
        <v>484</v>
      </c>
      <c r="B166" s="161" t="s">
        <v>485</v>
      </c>
      <c r="C166" s="161" t="s">
        <v>10</v>
      </c>
      <c r="D166" s="162" t="s">
        <v>486</v>
      </c>
      <c r="E166" s="252">
        <v>46187</v>
      </c>
    </row>
    <row r="167" ht="16" spans="1:5">
      <c r="A167" s="161" t="s">
        <v>487</v>
      </c>
      <c r="B167" s="161" t="s">
        <v>488</v>
      </c>
      <c r="C167" s="161" t="s">
        <v>13</v>
      </c>
      <c r="D167" s="162" t="s">
        <v>489</v>
      </c>
      <c r="E167" s="252">
        <v>46188</v>
      </c>
    </row>
    <row r="168" ht="16" spans="1:5">
      <c r="A168" s="161" t="s">
        <v>490</v>
      </c>
      <c r="B168" s="161" t="s">
        <v>491</v>
      </c>
      <c r="C168" s="161" t="s">
        <v>44</v>
      </c>
      <c r="D168" s="162" t="s">
        <v>492</v>
      </c>
      <c r="E168" s="252">
        <v>46189</v>
      </c>
    </row>
    <row r="169" ht="16" spans="1:5">
      <c r="A169" s="161" t="s">
        <v>493</v>
      </c>
      <c r="B169" s="161" t="s">
        <v>494</v>
      </c>
      <c r="C169" s="161" t="s">
        <v>10</v>
      </c>
      <c r="D169" s="162" t="s">
        <v>495</v>
      </c>
      <c r="E169" s="252">
        <v>46190</v>
      </c>
    </row>
    <row r="170" ht="16" spans="1:5">
      <c r="A170" s="161" t="s">
        <v>496</v>
      </c>
      <c r="B170" s="161" t="s">
        <v>497</v>
      </c>
      <c r="C170" s="161" t="s">
        <v>13</v>
      </c>
      <c r="D170" s="162" t="s">
        <v>498</v>
      </c>
      <c r="E170" s="252">
        <v>46191</v>
      </c>
    </row>
    <row r="171" ht="16" spans="1:5">
      <c r="A171" s="161" t="s">
        <v>499</v>
      </c>
      <c r="B171" s="161" t="s">
        <v>500</v>
      </c>
      <c r="C171" s="161" t="s">
        <v>44</v>
      </c>
      <c r="D171" s="162" t="s">
        <v>501</v>
      </c>
      <c r="E171" s="252">
        <v>46192</v>
      </c>
    </row>
    <row r="172" ht="16" spans="1:5">
      <c r="A172" s="161" t="s">
        <v>502</v>
      </c>
      <c r="B172" s="161" t="s">
        <v>503</v>
      </c>
      <c r="C172" s="161" t="s">
        <v>44</v>
      </c>
      <c r="D172" s="162" t="s">
        <v>504</v>
      </c>
      <c r="E172" s="252">
        <v>46193</v>
      </c>
    </row>
    <row r="173" ht="16" spans="1:5">
      <c r="A173" s="161" t="s">
        <v>505</v>
      </c>
      <c r="B173" s="161" t="s">
        <v>506</v>
      </c>
      <c r="C173" s="161" t="s">
        <v>7</v>
      </c>
      <c r="D173" s="162" t="s">
        <v>507</v>
      </c>
      <c r="E173" s="252">
        <v>46194</v>
      </c>
    </row>
    <row r="174" ht="16" spans="1:5">
      <c r="A174" s="161" t="s">
        <v>508</v>
      </c>
      <c r="B174" s="161" t="s">
        <v>509</v>
      </c>
      <c r="C174" s="161" t="s">
        <v>7</v>
      </c>
      <c r="D174" s="162" t="s">
        <v>510</v>
      </c>
      <c r="E174" s="252">
        <v>46195</v>
      </c>
    </row>
    <row r="175" ht="16" spans="1:5">
      <c r="A175" s="161" t="s">
        <v>511</v>
      </c>
      <c r="B175" s="161" t="s">
        <v>512</v>
      </c>
      <c r="C175" s="161" t="s">
        <v>44</v>
      </c>
      <c r="D175" s="162" t="s">
        <v>513</v>
      </c>
      <c r="E175" s="252">
        <v>46196</v>
      </c>
    </row>
    <row r="176" ht="16" spans="1:5">
      <c r="A176" s="161" t="s">
        <v>514</v>
      </c>
      <c r="B176" s="161" t="s">
        <v>515</v>
      </c>
      <c r="C176" s="161" t="s">
        <v>10</v>
      </c>
      <c r="D176" s="162" t="s">
        <v>516</v>
      </c>
      <c r="E176" s="252">
        <v>46197</v>
      </c>
    </row>
    <row r="177" ht="16" spans="1:5">
      <c r="A177" s="161" t="s">
        <v>517</v>
      </c>
      <c r="B177" s="161" t="s">
        <v>518</v>
      </c>
      <c r="C177" s="161" t="s">
        <v>33</v>
      </c>
      <c r="D177" s="162" t="s">
        <v>519</v>
      </c>
      <c r="E177" s="252">
        <v>46198</v>
      </c>
    </row>
    <row r="178" ht="16" spans="1:5">
      <c r="A178" s="161" t="s">
        <v>520</v>
      </c>
      <c r="B178" s="161" t="s">
        <v>521</v>
      </c>
      <c r="C178" s="161" t="s">
        <v>44</v>
      </c>
      <c r="D178" s="162" t="s">
        <v>522</v>
      </c>
      <c r="E178" s="252">
        <v>46199</v>
      </c>
    </row>
    <row r="179" ht="16" spans="1:5">
      <c r="A179" s="161" t="s">
        <v>523</v>
      </c>
      <c r="B179" s="161" t="s">
        <v>524</v>
      </c>
      <c r="C179" s="161" t="s">
        <v>7</v>
      </c>
      <c r="D179" s="162" t="s">
        <v>525</v>
      </c>
      <c r="E179" s="252">
        <v>46200</v>
      </c>
    </row>
    <row r="180" ht="16" spans="1:5">
      <c r="A180" s="161" t="s">
        <v>526</v>
      </c>
      <c r="B180" s="161" t="s">
        <v>527</v>
      </c>
      <c r="C180" s="161" t="s">
        <v>33</v>
      </c>
      <c r="D180" s="162" t="s">
        <v>528</v>
      </c>
      <c r="E180" s="252">
        <v>46201</v>
      </c>
    </row>
    <row r="181" ht="16" spans="1:5">
      <c r="A181" s="161" t="s">
        <v>529</v>
      </c>
      <c r="B181" s="161" t="s">
        <v>530</v>
      </c>
      <c r="C181" s="161" t="s">
        <v>44</v>
      </c>
      <c r="D181" s="162" t="s">
        <v>531</v>
      </c>
      <c r="E181" s="252">
        <v>46202</v>
      </c>
    </row>
    <row r="182" ht="16" spans="1:5">
      <c r="A182" s="161" t="s">
        <v>532</v>
      </c>
      <c r="B182" s="161" t="s">
        <v>533</v>
      </c>
      <c r="C182" s="161" t="s">
        <v>44</v>
      </c>
      <c r="D182" s="162" t="s">
        <v>534</v>
      </c>
      <c r="E182" s="252">
        <v>46203</v>
      </c>
    </row>
    <row r="183" ht="16" spans="1:5">
      <c r="A183" s="161" t="s">
        <v>535</v>
      </c>
      <c r="B183" s="161" t="s">
        <v>536</v>
      </c>
      <c r="C183" s="161" t="s">
        <v>7</v>
      </c>
      <c r="D183" s="162" t="s">
        <v>537</v>
      </c>
      <c r="E183" s="252">
        <v>46204</v>
      </c>
    </row>
    <row r="184" ht="16" spans="1:5">
      <c r="A184" s="161" t="s">
        <v>538</v>
      </c>
      <c r="B184" s="161" t="s">
        <v>539</v>
      </c>
      <c r="C184" s="161" t="s">
        <v>13</v>
      </c>
      <c r="D184" s="162" t="s">
        <v>540</v>
      </c>
      <c r="E184" s="252">
        <v>46205</v>
      </c>
    </row>
    <row r="185" ht="16" spans="1:5">
      <c r="A185" s="161" t="s">
        <v>541</v>
      </c>
      <c r="B185" s="161" t="s">
        <v>542</v>
      </c>
      <c r="C185" s="161" t="s">
        <v>44</v>
      </c>
      <c r="D185" s="162" t="s">
        <v>543</v>
      </c>
      <c r="E185" s="252">
        <v>46206</v>
      </c>
    </row>
    <row r="186" ht="16" spans="1:5">
      <c r="A186" s="161" t="s">
        <v>544</v>
      </c>
      <c r="B186" s="161" t="s">
        <v>545</v>
      </c>
      <c r="C186" s="161" t="s">
        <v>44</v>
      </c>
      <c r="D186" s="162" t="s">
        <v>546</v>
      </c>
      <c r="E186" s="252">
        <v>46207</v>
      </c>
    </row>
    <row r="187" ht="16" spans="1:5">
      <c r="A187" s="161" t="s">
        <v>547</v>
      </c>
      <c r="B187" s="161" t="s">
        <v>548</v>
      </c>
      <c r="C187" s="161" t="s">
        <v>33</v>
      </c>
      <c r="D187" s="162" t="s">
        <v>549</v>
      </c>
      <c r="E187" s="252">
        <v>46208</v>
      </c>
    </row>
    <row r="188" ht="16" spans="1:5">
      <c r="A188" s="161" t="s">
        <v>550</v>
      </c>
      <c r="B188" s="161" t="s">
        <v>551</v>
      </c>
      <c r="C188" s="161" t="s">
        <v>44</v>
      </c>
      <c r="D188" s="162" t="s">
        <v>552</v>
      </c>
      <c r="E188" s="252">
        <v>46209</v>
      </c>
    </row>
    <row r="189" ht="16" spans="1:5">
      <c r="A189" s="161" t="s">
        <v>553</v>
      </c>
      <c r="B189" s="161" t="s">
        <v>554</v>
      </c>
      <c r="C189" s="161" t="s">
        <v>13</v>
      </c>
      <c r="D189" s="162" t="s">
        <v>555</v>
      </c>
      <c r="E189" s="252">
        <v>46210</v>
      </c>
    </row>
    <row r="190" ht="16" spans="1:5">
      <c r="A190" s="161" t="s">
        <v>556</v>
      </c>
      <c r="B190" s="161" t="s">
        <v>557</v>
      </c>
      <c r="C190" s="161" t="s">
        <v>33</v>
      </c>
      <c r="D190" s="162" t="s">
        <v>558</v>
      </c>
      <c r="E190" s="252">
        <v>46211</v>
      </c>
    </row>
    <row r="191" ht="16" spans="1:5">
      <c r="A191" s="161" t="s">
        <v>559</v>
      </c>
      <c r="B191" s="161" t="s">
        <v>560</v>
      </c>
      <c r="C191" s="161" t="s">
        <v>7</v>
      </c>
      <c r="D191" s="162" t="s">
        <v>561</v>
      </c>
      <c r="E191" s="252">
        <v>46212</v>
      </c>
    </row>
    <row r="192" ht="16" spans="1:5">
      <c r="A192" s="161" t="s">
        <v>562</v>
      </c>
      <c r="B192" s="161" t="s">
        <v>563</v>
      </c>
      <c r="C192" s="161" t="s">
        <v>13</v>
      </c>
      <c r="D192" s="162" t="s">
        <v>564</v>
      </c>
      <c r="E192" s="252">
        <v>46213</v>
      </c>
    </row>
    <row r="193" ht="16" spans="1:5">
      <c r="A193" s="161" t="s">
        <v>565</v>
      </c>
      <c r="B193" s="161" t="s">
        <v>566</v>
      </c>
      <c r="C193" s="161" t="s">
        <v>33</v>
      </c>
      <c r="D193" s="162" t="s">
        <v>567</v>
      </c>
      <c r="E193" s="252">
        <v>46214</v>
      </c>
    </row>
    <row r="194" ht="16" spans="1:5">
      <c r="A194" s="161" t="s">
        <v>568</v>
      </c>
      <c r="B194" s="161" t="s">
        <v>569</v>
      </c>
      <c r="C194" s="161" t="s">
        <v>33</v>
      </c>
      <c r="D194" s="162" t="s">
        <v>570</v>
      </c>
      <c r="E194" s="252">
        <v>46215</v>
      </c>
    </row>
    <row r="195" ht="16" spans="1:5">
      <c r="A195" s="161" t="s">
        <v>571</v>
      </c>
      <c r="B195" s="161" t="s">
        <v>572</v>
      </c>
      <c r="C195" s="161" t="s">
        <v>33</v>
      </c>
      <c r="D195" s="162" t="s">
        <v>573</v>
      </c>
      <c r="E195" s="252">
        <v>46216</v>
      </c>
    </row>
    <row r="196" ht="16" spans="1:5">
      <c r="A196" s="161" t="s">
        <v>574</v>
      </c>
      <c r="B196" s="161" t="s">
        <v>575</v>
      </c>
      <c r="C196" s="161" t="s">
        <v>7</v>
      </c>
      <c r="D196" s="162" t="s">
        <v>576</v>
      </c>
      <c r="E196" s="252">
        <v>46217</v>
      </c>
    </row>
    <row r="197" ht="16" spans="1:5">
      <c r="A197" s="161" t="s">
        <v>577</v>
      </c>
      <c r="B197" s="161" t="s">
        <v>578</v>
      </c>
      <c r="C197" s="161" t="s">
        <v>7</v>
      </c>
      <c r="D197" s="162" t="s">
        <v>579</v>
      </c>
      <c r="E197" s="252">
        <v>46218</v>
      </c>
    </row>
    <row r="198" ht="16" spans="1:5">
      <c r="A198" s="161" t="s">
        <v>580</v>
      </c>
      <c r="B198" s="161" t="s">
        <v>581</v>
      </c>
      <c r="C198" s="161" t="s">
        <v>33</v>
      </c>
      <c r="D198" s="162" t="s">
        <v>582</v>
      </c>
      <c r="E198" s="252">
        <v>46219</v>
      </c>
    </row>
    <row r="199" ht="16" spans="1:5">
      <c r="A199" s="161" t="s">
        <v>583</v>
      </c>
      <c r="B199" s="161" t="s">
        <v>584</v>
      </c>
      <c r="C199" s="161" t="s">
        <v>33</v>
      </c>
      <c r="D199" s="162" t="s">
        <v>585</v>
      </c>
      <c r="E199" s="252">
        <v>46220</v>
      </c>
    </row>
    <row r="200" ht="16" spans="1:5">
      <c r="A200" s="161" t="s">
        <v>586</v>
      </c>
      <c r="B200" s="161" t="s">
        <v>587</v>
      </c>
      <c r="C200" s="161" t="s">
        <v>10</v>
      </c>
      <c r="D200" s="162" t="s">
        <v>588</v>
      </c>
      <c r="E200" s="252">
        <v>46221</v>
      </c>
    </row>
    <row r="201" ht="16" spans="1:5">
      <c r="A201" s="161" t="s">
        <v>589</v>
      </c>
      <c r="B201" s="161" t="s">
        <v>590</v>
      </c>
      <c r="C201" s="161" t="s">
        <v>10</v>
      </c>
      <c r="D201" s="162" t="s">
        <v>591</v>
      </c>
      <c r="E201" s="252">
        <v>46222</v>
      </c>
    </row>
    <row r="202" ht="16" spans="1:5">
      <c r="A202" s="161" t="s">
        <v>592</v>
      </c>
      <c r="B202" s="161" t="s">
        <v>593</v>
      </c>
      <c r="C202" s="161" t="s">
        <v>33</v>
      </c>
      <c r="D202" s="162" t="s">
        <v>594</v>
      </c>
      <c r="E202" s="252">
        <v>46223</v>
      </c>
    </row>
    <row r="203" ht="16" spans="1:5">
      <c r="A203" s="161" t="s">
        <v>595</v>
      </c>
      <c r="B203" s="161" t="s">
        <v>596</v>
      </c>
      <c r="C203" s="161" t="s">
        <v>13</v>
      </c>
      <c r="D203" s="162" t="s">
        <v>597</v>
      </c>
      <c r="E203" s="252">
        <v>46224</v>
      </c>
    </row>
    <row r="204" ht="16" spans="1:5">
      <c r="A204" s="161" t="s">
        <v>598</v>
      </c>
      <c r="B204" s="161" t="s">
        <v>599</v>
      </c>
      <c r="C204" s="161" t="s">
        <v>33</v>
      </c>
      <c r="D204" s="162" t="s">
        <v>600</v>
      </c>
      <c r="E204" s="252">
        <v>46225</v>
      </c>
    </row>
    <row r="205" ht="16" spans="1:5">
      <c r="A205" s="161" t="s">
        <v>601</v>
      </c>
      <c r="B205" s="161" t="s">
        <v>602</v>
      </c>
      <c r="C205" s="161" t="s">
        <v>33</v>
      </c>
      <c r="D205" s="162" t="s">
        <v>603</v>
      </c>
      <c r="E205" s="252">
        <v>46226</v>
      </c>
    </row>
    <row r="206" ht="16" spans="1:5">
      <c r="A206" s="161" t="s">
        <v>604</v>
      </c>
      <c r="B206" s="161" t="s">
        <v>605</v>
      </c>
      <c r="C206" s="161" t="s">
        <v>10</v>
      </c>
      <c r="D206" s="162" t="s">
        <v>606</v>
      </c>
      <c r="E206" s="252">
        <v>46227</v>
      </c>
    </row>
    <row r="207" ht="16" spans="1:5">
      <c r="A207" s="161" t="s">
        <v>607</v>
      </c>
      <c r="B207" s="161" t="s">
        <v>608</v>
      </c>
      <c r="C207" s="161" t="s">
        <v>13</v>
      </c>
      <c r="D207" s="162" t="s">
        <v>609</v>
      </c>
      <c r="E207" s="252">
        <v>46228</v>
      </c>
    </row>
    <row r="208" ht="16" spans="1:5">
      <c r="A208" s="161" t="s">
        <v>610</v>
      </c>
      <c r="B208" s="161" t="s">
        <v>611</v>
      </c>
      <c r="C208" s="161" t="s">
        <v>10</v>
      </c>
      <c r="D208" s="162" t="s">
        <v>612</v>
      </c>
      <c r="E208" s="252">
        <v>46229</v>
      </c>
    </row>
    <row r="209" ht="16" spans="1:5">
      <c r="A209" s="161" t="s">
        <v>613</v>
      </c>
      <c r="B209" s="161" t="s">
        <v>614</v>
      </c>
      <c r="C209" s="161" t="s">
        <v>7</v>
      </c>
      <c r="D209" s="162" t="s">
        <v>615</v>
      </c>
      <c r="E209" s="252">
        <v>46230</v>
      </c>
    </row>
    <row r="210" ht="16" spans="1:5">
      <c r="A210" s="161" t="s">
        <v>616</v>
      </c>
      <c r="B210" s="161" t="s">
        <v>617</v>
      </c>
      <c r="C210" s="161" t="s">
        <v>33</v>
      </c>
      <c r="D210" s="162" t="s">
        <v>618</v>
      </c>
      <c r="E210" s="252">
        <v>46231</v>
      </c>
    </row>
    <row r="211" ht="16" spans="1:5">
      <c r="A211" s="161" t="s">
        <v>619</v>
      </c>
      <c r="B211" s="161" t="s">
        <v>620</v>
      </c>
      <c r="C211" s="161" t="s">
        <v>7</v>
      </c>
      <c r="D211" s="162" t="s">
        <v>621</v>
      </c>
      <c r="E211" s="252">
        <v>46232</v>
      </c>
    </row>
    <row r="212" ht="16" spans="1:5">
      <c r="A212" s="161" t="s">
        <v>622</v>
      </c>
      <c r="B212" s="161" t="s">
        <v>623</v>
      </c>
      <c r="C212" s="161" t="s">
        <v>44</v>
      </c>
      <c r="D212" s="162" t="s">
        <v>624</v>
      </c>
      <c r="E212" s="252">
        <v>46233</v>
      </c>
    </row>
    <row r="213" ht="16" spans="1:5">
      <c r="A213" s="161" t="s">
        <v>625</v>
      </c>
      <c r="B213" s="161" t="s">
        <v>626</v>
      </c>
      <c r="C213" s="161" t="s">
        <v>44</v>
      </c>
      <c r="D213" s="162" t="s">
        <v>627</v>
      </c>
      <c r="E213" s="252">
        <v>46234</v>
      </c>
    </row>
    <row r="214" ht="16" spans="1:5">
      <c r="A214" s="161" t="s">
        <v>628</v>
      </c>
      <c r="B214" s="161" t="s">
        <v>629</v>
      </c>
      <c r="C214" s="161" t="s">
        <v>44</v>
      </c>
      <c r="D214" s="162" t="s">
        <v>630</v>
      </c>
      <c r="E214" s="252">
        <v>46235</v>
      </c>
    </row>
    <row r="215" ht="16" spans="1:5">
      <c r="A215" s="161" t="s">
        <v>631</v>
      </c>
      <c r="B215" s="161" t="s">
        <v>632</v>
      </c>
      <c r="C215" s="161" t="s">
        <v>10</v>
      </c>
      <c r="D215" s="162" t="s">
        <v>633</v>
      </c>
      <c r="E215" s="252">
        <v>46236</v>
      </c>
    </row>
    <row r="216" ht="16" spans="1:5">
      <c r="A216" s="161" t="s">
        <v>634</v>
      </c>
      <c r="B216" s="161" t="s">
        <v>635</v>
      </c>
      <c r="C216" s="161" t="s">
        <v>33</v>
      </c>
      <c r="D216" s="162" t="s">
        <v>636</v>
      </c>
      <c r="E216" s="252">
        <v>46237</v>
      </c>
    </row>
    <row r="217" ht="16" spans="1:5">
      <c r="A217" s="161" t="s">
        <v>637</v>
      </c>
      <c r="B217" s="161" t="s">
        <v>638</v>
      </c>
      <c r="C217" s="161" t="s">
        <v>44</v>
      </c>
      <c r="D217" s="162" t="s">
        <v>639</v>
      </c>
      <c r="E217" s="252">
        <v>46238</v>
      </c>
    </row>
    <row r="218" ht="16" spans="1:5">
      <c r="A218" s="161" t="s">
        <v>640</v>
      </c>
      <c r="B218" s="161" t="s">
        <v>641</v>
      </c>
      <c r="C218" s="161" t="s">
        <v>44</v>
      </c>
      <c r="D218" s="162" t="s">
        <v>642</v>
      </c>
      <c r="E218" s="252">
        <v>46239</v>
      </c>
    </row>
    <row r="219" ht="16" spans="1:5">
      <c r="A219" s="161" t="s">
        <v>643</v>
      </c>
      <c r="B219" s="161" t="s">
        <v>644</v>
      </c>
      <c r="C219" s="161" t="s">
        <v>10</v>
      </c>
      <c r="D219" s="162" t="s">
        <v>645</v>
      </c>
      <c r="E219" s="252">
        <v>46240</v>
      </c>
    </row>
    <row r="220" ht="16" spans="1:5">
      <c r="A220" s="161" t="s">
        <v>646</v>
      </c>
      <c r="B220" s="161" t="s">
        <v>647</v>
      </c>
      <c r="C220" s="161" t="s">
        <v>33</v>
      </c>
      <c r="D220" s="162" t="s">
        <v>648</v>
      </c>
      <c r="E220" s="252">
        <v>46241</v>
      </c>
    </row>
    <row r="221" ht="16" spans="1:5">
      <c r="A221" s="161" t="s">
        <v>649</v>
      </c>
      <c r="B221" s="161" t="s">
        <v>650</v>
      </c>
      <c r="C221" s="161" t="s">
        <v>33</v>
      </c>
      <c r="D221" s="162" t="s">
        <v>651</v>
      </c>
      <c r="E221" s="252">
        <v>46242</v>
      </c>
    </row>
    <row r="222" ht="16" spans="1:5">
      <c r="A222" s="161" t="s">
        <v>652</v>
      </c>
      <c r="B222" s="161" t="s">
        <v>653</v>
      </c>
      <c r="C222" s="161" t="s">
        <v>44</v>
      </c>
      <c r="D222" s="162" t="s">
        <v>654</v>
      </c>
      <c r="E222" s="252">
        <v>46243</v>
      </c>
    </row>
    <row r="223" ht="16" spans="1:5">
      <c r="A223" s="161" t="s">
        <v>655</v>
      </c>
      <c r="B223" s="161" t="s">
        <v>656</v>
      </c>
      <c r="C223" s="161" t="s">
        <v>10</v>
      </c>
      <c r="D223" s="162" t="s">
        <v>657</v>
      </c>
      <c r="E223" s="252">
        <v>46244</v>
      </c>
    </row>
    <row r="224" ht="16" spans="1:5">
      <c r="A224" s="161" t="s">
        <v>658</v>
      </c>
      <c r="B224" s="161" t="s">
        <v>659</v>
      </c>
      <c r="C224" s="161" t="s">
        <v>44</v>
      </c>
      <c r="D224" s="162" t="s">
        <v>660</v>
      </c>
      <c r="E224" s="252">
        <v>46245</v>
      </c>
    </row>
    <row r="225" ht="16" spans="1:5">
      <c r="A225" s="161" t="s">
        <v>661</v>
      </c>
      <c r="B225" s="161" t="s">
        <v>662</v>
      </c>
      <c r="C225" s="161" t="s">
        <v>7</v>
      </c>
      <c r="D225" s="162" t="s">
        <v>663</v>
      </c>
      <c r="E225" s="252">
        <v>46246</v>
      </c>
    </row>
    <row r="226" ht="16" spans="1:5">
      <c r="A226" s="161" t="s">
        <v>664</v>
      </c>
      <c r="B226" s="161" t="s">
        <v>665</v>
      </c>
      <c r="C226" s="161" t="s">
        <v>13</v>
      </c>
      <c r="D226" s="162" t="s">
        <v>666</v>
      </c>
      <c r="E226" s="252">
        <v>46247</v>
      </c>
    </row>
    <row r="227" ht="16" spans="1:5">
      <c r="A227" s="161" t="s">
        <v>667</v>
      </c>
      <c r="B227" s="161" t="s">
        <v>668</v>
      </c>
      <c r="C227" s="161" t="s">
        <v>33</v>
      </c>
      <c r="D227" s="162" t="s">
        <v>669</v>
      </c>
      <c r="E227" s="252">
        <v>46248</v>
      </c>
    </row>
    <row r="228" ht="16" spans="1:5">
      <c r="A228" s="161" t="s">
        <v>670</v>
      </c>
      <c r="B228" s="161" t="s">
        <v>671</v>
      </c>
      <c r="C228" s="161" t="s">
        <v>33</v>
      </c>
      <c r="D228" s="162" t="s">
        <v>672</v>
      </c>
      <c r="E228" s="252">
        <v>46249</v>
      </c>
    </row>
    <row r="229" ht="16" spans="1:5">
      <c r="A229" s="161" t="s">
        <v>673</v>
      </c>
      <c r="B229" s="161" t="s">
        <v>674</v>
      </c>
      <c r="C229" s="161" t="s">
        <v>44</v>
      </c>
      <c r="D229" s="162" t="s">
        <v>675</v>
      </c>
      <c r="E229" s="252">
        <v>46250</v>
      </c>
    </row>
    <row r="230" ht="16" spans="1:5">
      <c r="A230" s="161" t="s">
        <v>676</v>
      </c>
      <c r="B230" s="161" t="s">
        <v>677</v>
      </c>
      <c r="C230" s="161" t="s">
        <v>10</v>
      </c>
      <c r="D230" s="162" t="s">
        <v>678</v>
      </c>
      <c r="E230" s="252">
        <v>46251</v>
      </c>
    </row>
    <row r="231" ht="16" spans="1:5">
      <c r="A231" s="161" t="s">
        <v>679</v>
      </c>
      <c r="B231" s="161" t="s">
        <v>680</v>
      </c>
      <c r="C231" s="161" t="s">
        <v>10</v>
      </c>
      <c r="D231" s="162" t="s">
        <v>681</v>
      </c>
      <c r="E231" s="252">
        <v>46252</v>
      </c>
    </row>
    <row r="232" ht="16" spans="1:5">
      <c r="A232" s="161" t="s">
        <v>682</v>
      </c>
      <c r="B232" s="161" t="s">
        <v>683</v>
      </c>
      <c r="C232" s="161" t="s">
        <v>13</v>
      </c>
      <c r="D232" s="162" t="s">
        <v>684</v>
      </c>
      <c r="E232" s="252">
        <v>46253</v>
      </c>
    </row>
    <row r="233" ht="16" spans="1:5">
      <c r="A233" s="161" t="s">
        <v>685</v>
      </c>
      <c r="B233" s="161" t="s">
        <v>686</v>
      </c>
      <c r="C233" s="161" t="s">
        <v>10</v>
      </c>
      <c r="D233" s="162" t="s">
        <v>687</v>
      </c>
      <c r="E233" s="252">
        <v>46254</v>
      </c>
    </row>
    <row r="234" ht="16" spans="1:5">
      <c r="A234" s="161" t="s">
        <v>688</v>
      </c>
      <c r="B234" s="161" t="s">
        <v>689</v>
      </c>
      <c r="C234" s="161" t="s">
        <v>33</v>
      </c>
      <c r="D234" s="162" t="s">
        <v>690</v>
      </c>
      <c r="E234" s="252">
        <v>46255</v>
      </c>
    </row>
    <row r="235" ht="16" spans="1:5">
      <c r="A235" s="161" t="s">
        <v>691</v>
      </c>
      <c r="B235" s="161" t="s">
        <v>692</v>
      </c>
      <c r="C235" s="161" t="s">
        <v>13</v>
      </c>
      <c r="D235" s="162" t="s">
        <v>693</v>
      </c>
      <c r="E235" s="252">
        <v>46256</v>
      </c>
    </row>
    <row r="236" ht="16" spans="1:5">
      <c r="A236" s="161" t="s">
        <v>694</v>
      </c>
      <c r="B236" s="161" t="s">
        <v>695</v>
      </c>
      <c r="C236" s="161" t="s">
        <v>10</v>
      </c>
      <c r="D236" s="162" t="s">
        <v>696</v>
      </c>
      <c r="E236" s="252">
        <v>46257</v>
      </c>
    </row>
    <row r="237" ht="16" spans="1:5">
      <c r="A237" s="161" t="s">
        <v>697</v>
      </c>
      <c r="B237" s="161" t="s">
        <v>698</v>
      </c>
      <c r="C237" s="161" t="s">
        <v>10</v>
      </c>
      <c r="D237" s="162" t="s">
        <v>699</v>
      </c>
      <c r="E237" s="252">
        <v>46258</v>
      </c>
    </row>
    <row r="238" ht="16" spans="1:5">
      <c r="A238" s="161" t="s">
        <v>700</v>
      </c>
      <c r="B238" s="161" t="s">
        <v>701</v>
      </c>
      <c r="C238" s="161" t="s">
        <v>7</v>
      </c>
      <c r="D238" s="162" t="s">
        <v>702</v>
      </c>
      <c r="E238" s="252">
        <v>46259</v>
      </c>
    </row>
    <row r="239" ht="16" spans="1:5">
      <c r="A239" s="161" t="s">
        <v>703</v>
      </c>
      <c r="B239" s="161" t="s">
        <v>704</v>
      </c>
      <c r="C239" s="161" t="s">
        <v>10</v>
      </c>
      <c r="D239" s="162" t="s">
        <v>705</v>
      </c>
      <c r="E239" s="252">
        <v>46260</v>
      </c>
    </row>
    <row r="240" ht="16" spans="1:5">
      <c r="A240" s="161" t="s">
        <v>706</v>
      </c>
      <c r="B240" s="161" t="s">
        <v>707</v>
      </c>
      <c r="C240" s="161" t="s">
        <v>7</v>
      </c>
      <c r="D240" s="162" t="s">
        <v>708</v>
      </c>
      <c r="E240" s="252">
        <v>46261</v>
      </c>
    </row>
    <row r="241" ht="16" spans="1:5">
      <c r="A241" s="161" t="s">
        <v>709</v>
      </c>
      <c r="B241" s="161" t="s">
        <v>710</v>
      </c>
      <c r="C241" s="161" t="s">
        <v>13</v>
      </c>
      <c r="D241" s="162" t="s">
        <v>711</v>
      </c>
      <c r="E241" s="252">
        <v>46262</v>
      </c>
    </row>
    <row r="242" ht="16" spans="1:5">
      <c r="A242" s="161" t="s">
        <v>712</v>
      </c>
      <c r="B242" s="161" t="s">
        <v>713</v>
      </c>
      <c r="C242" s="161" t="s">
        <v>44</v>
      </c>
      <c r="D242" s="162" t="s">
        <v>714</v>
      </c>
      <c r="E242" s="252">
        <v>46263</v>
      </c>
    </row>
    <row r="243" ht="16" spans="1:5">
      <c r="A243" s="161" t="s">
        <v>715</v>
      </c>
      <c r="B243" s="161" t="s">
        <v>716</v>
      </c>
      <c r="C243" s="161" t="s">
        <v>44</v>
      </c>
      <c r="D243" s="162" t="s">
        <v>717</v>
      </c>
      <c r="E243" s="252">
        <v>46264</v>
      </c>
    </row>
    <row r="244" ht="16" spans="1:5">
      <c r="A244" s="161" t="s">
        <v>718</v>
      </c>
      <c r="B244" s="161" t="s">
        <v>719</v>
      </c>
      <c r="C244" s="161" t="s">
        <v>44</v>
      </c>
      <c r="D244" s="162" t="s">
        <v>720</v>
      </c>
      <c r="E244" s="252">
        <v>46265</v>
      </c>
    </row>
    <row r="245" ht="16" spans="1:5">
      <c r="A245" s="161" t="s">
        <v>721</v>
      </c>
      <c r="B245" s="161" t="s">
        <v>722</v>
      </c>
      <c r="C245" s="161" t="s">
        <v>13</v>
      </c>
      <c r="D245" s="162" t="s">
        <v>723</v>
      </c>
      <c r="E245" s="252">
        <v>46266</v>
      </c>
    </row>
    <row r="246" ht="16" spans="1:5">
      <c r="A246" s="161" t="s">
        <v>724</v>
      </c>
      <c r="B246" s="161" t="s">
        <v>725</v>
      </c>
      <c r="C246" s="161" t="s">
        <v>7</v>
      </c>
      <c r="D246" s="162" t="s">
        <v>726</v>
      </c>
      <c r="E246" s="252">
        <v>46267</v>
      </c>
    </row>
    <row r="247" ht="16" spans="1:5">
      <c r="A247" s="161" t="s">
        <v>727</v>
      </c>
      <c r="B247" s="161" t="s">
        <v>728</v>
      </c>
      <c r="C247" s="161" t="s">
        <v>33</v>
      </c>
      <c r="D247" s="162" t="s">
        <v>729</v>
      </c>
      <c r="E247" s="252">
        <v>46268</v>
      </c>
    </row>
    <row r="248" ht="16" spans="1:5">
      <c r="A248" s="161" t="s">
        <v>730</v>
      </c>
      <c r="B248" s="161" t="s">
        <v>731</v>
      </c>
      <c r="C248" s="161" t="s">
        <v>13</v>
      </c>
      <c r="D248" s="162" t="s">
        <v>732</v>
      </c>
      <c r="E248" s="252">
        <v>46269</v>
      </c>
    </row>
    <row r="249" ht="16" spans="1:5">
      <c r="A249" s="161" t="s">
        <v>733</v>
      </c>
      <c r="B249" s="161" t="s">
        <v>734</v>
      </c>
      <c r="C249" s="161" t="s">
        <v>33</v>
      </c>
      <c r="D249" s="162" t="s">
        <v>735</v>
      </c>
      <c r="E249" s="252">
        <v>46270</v>
      </c>
    </row>
    <row r="250" ht="16" spans="1:5">
      <c r="A250" s="161" t="s">
        <v>736</v>
      </c>
      <c r="B250" s="161" t="s">
        <v>737</v>
      </c>
      <c r="C250" s="161" t="s">
        <v>33</v>
      </c>
      <c r="D250" s="162" t="s">
        <v>738</v>
      </c>
      <c r="E250" s="252">
        <v>46271</v>
      </c>
    </row>
    <row r="251" ht="16" spans="1:5">
      <c r="A251" s="161" t="s">
        <v>739</v>
      </c>
      <c r="B251" s="161" t="s">
        <v>740</v>
      </c>
      <c r="C251" s="161" t="s">
        <v>44</v>
      </c>
      <c r="D251" s="162" t="s">
        <v>741</v>
      </c>
      <c r="E251" s="252">
        <v>46272</v>
      </c>
    </row>
    <row r="252" ht="16" spans="1:5">
      <c r="A252" s="161" t="s">
        <v>742</v>
      </c>
      <c r="B252" s="161" t="s">
        <v>743</v>
      </c>
      <c r="C252" s="161" t="s">
        <v>7</v>
      </c>
      <c r="D252" s="162" t="s">
        <v>744</v>
      </c>
      <c r="E252" s="252">
        <v>46273</v>
      </c>
    </row>
    <row r="253" ht="16" spans="1:5">
      <c r="A253" s="161" t="s">
        <v>745</v>
      </c>
      <c r="B253" s="161" t="s">
        <v>746</v>
      </c>
      <c r="C253" s="161" t="s">
        <v>44</v>
      </c>
      <c r="D253" s="162" t="s">
        <v>747</v>
      </c>
      <c r="E253" s="252">
        <v>46274</v>
      </c>
    </row>
    <row r="254" ht="16" spans="1:5">
      <c r="A254" s="161" t="s">
        <v>748</v>
      </c>
      <c r="B254" s="161" t="s">
        <v>749</v>
      </c>
      <c r="C254" s="161" t="s">
        <v>10</v>
      </c>
      <c r="D254" s="162" t="s">
        <v>750</v>
      </c>
      <c r="E254" s="252">
        <v>46275</v>
      </c>
    </row>
    <row r="255" ht="16" spans="1:5">
      <c r="A255" s="161" t="s">
        <v>751</v>
      </c>
      <c r="B255" s="161" t="s">
        <v>752</v>
      </c>
      <c r="C255" s="161" t="s">
        <v>44</v>
      </c>
      <c r="D255" s="162" t="s">
        <v>753</v>
      </c>
      <c r="E255" s="252">
        <v>46276</v>
      </c>
    </row>
    <row r="256" ht="16" spans="1:5">
      <c r="A256" s="161" t="s">
        <v>754</v>
      </c>
      <c r="B256" s="161" t="s">
        <v>755</v>
      </c>
      <c r="C256" s="161" t="s">
        <v>33</v>
      </c>
      <c r="D256" s="162" t="s">
        <v>756</v>
      </c>
      <c r="E256" s="252">
        <v>46277</v>
      </c>
    </row>
    <row r="257" ht="16" spans="1:5">
      <c r="A257" s="161" t="s">
        <v>757</v>
      </c>
      <c r="B257" s="161" t="s">
        <v>758</v>
      </c>
      <c r="C257" s="161" t="s">
        <v>44</v>
      </c>
      <c r="D257" s="162" t="s">
        <v>759</v>
      </c>
      <c r="E257" s="252">
        <v>46278</v>
      </c>
    </row>
    <row r="258" ht="16" spans="1:5">
      <c r="A258" s="161" t="s">
        <v>760</v>
      </c>
      <c r="B258" s="161" t="s">
        <v>761</v>
      </c>
      <c r="C258" s="161" t="s">
        <v>44</v>
      </c>
      <c r="D258" s="162" t="s">
        <v>762</v>
      </c>
      <c r="E258" s="252">
        <v>46279</v>
      </c>
    </row>
    <row r="259" ht="16" spans="1:5">
      <c r="A259" s="161" t="s">
        <v>763</v>
      </c>
      <c r="B259" s="161" t="s">
        <v>764</v>
      </c>
      <c r="C259" s="161" t="s">
        <v>44</v>
      </c>
      <c r="D259" s="162" t="s">
        <v>765</v>
      </c>
      <c r="E259" s="252">
        <v>46280</v>
      </c>
    </row>
    <row r="260" ht="16" spans="1:5">
      <c r="A260" s="161" t="s">
        <v>766</v>
      </c>
      <c r="B260" s="161" t="s">
        <v>767</v>
      </c>
      <c r="C260" s="161" t="s">
        <v>13</v>
      </c>
      <c r="D260" s="162" t="s">
        <v>768</v>
      </c>
      <c r="E260" s="252">
        <v>46281</v>
      </c>
    </row>
    <row r="261" ht="16" spans="1:5">
      <c r="A261" s="161" t="s">
        <v>769</v>
      </c>
      <c r="B261" s="161" t="s">
        <v>770</v>
      </c>
      <c r="C261" s="161" t="s">
        <v>10</v>
      </c>
      <c r="D261" s="162" t="s">
        <v>771</v>
      </c>
      <c r="E261" s="252">
        <v>46282</v>
      </c>
    </row>
    <row r="262" ht="16" spans="1:5">
      <c r="A262" s="161" t="s">
        <v>772</v>
      </c>
      <c r="B262" s="161" t="s">
        <v>773</v>
      </c>
      <c r="C262" s="161" t="s">
        <v>33</v>
      </c>
      <c r="D262" s="162" t="s">
        <v>774</v>
      </c>
      <c r="E262" s="252">
        <v>46283</v>
      </c>
    </row>
    <row r="263" ht="16" spans="1:5">
      <c r="A263" s="161" t="s">
        <v>775</v>
      </c>
      <c r="B263" s="161" t="s">
        <v>776</v>
      </c>
      <c r="C263" s="161" t="s">
        <v>44</v>
      </c>
      <c r="D263" s="162" t="s">
        <v>777</v>
      </c>
      <c r="E263" s="252">
        <v>46284</v>
      </c>
    </row>
    <row r="264" ht="16" spans="1:5">
      <c r="A264" s="161" t="s">
        <v>778</v>
      </c>
      <c r="B264" s="161" t="s">
        <v>779</v>
      </c>
      <c r="C264" s="161" t="s">
        <v>44</v>
      </c>
      <c r="D264" s="162" t="s">
        <v>780</v>
      </c>
      <c r="E264" s="252">
        <v>46285</v>
      </c>
    </row>
    <row r="265" ht="16" spans="1:5">
      <c r="A265" s="161" t="s">
        <v>781</v>
      </c>
      <c r="B265" s="161" t="s">
        <v>782</v>
      </c>
      <c r="C265" s="161" t="s">
        <v>44</v>
      </c>
      <c r="D265" s="162" t="s">
        <v>783</v>
      </c>
      <c r="E265" s="252">
        <v>46286</v>
      </c>
    </row>
    <row r="266" ht="16" spans="1:5">
      <c r="A266" s="161" t="s">
        <v>784</v>
      </c>
      <c r="B266" s="161" t="s">
        <v>785</v>
      </c>
      <c r="C266" s="161" t="s">
        <v>33</v>
      </c>
      <c r="D266" s="162" t="s">
        <v>786</v>
      </c>
      <c r="E266" s="252">
        <v>46287</v>
      </c>
    </row>
    <row r="267" ht="16" spans="1:5">
      <c r="A267" s="161" t="s">
        <v>787</v>
      </c>
      <c r="B267" s="161" t="s">
        <v>788</v>
      </c>
      <c r="C267" s="161" t="s">
        <v>10</v>
      </c>
      <c r="D267" s="162" t="s">
        <v>789</v>
      </c>
      <c r="E267" s="252">
        <v>46288</v>
      </c>
    </row>
    <row r="268" ht="16" spans="1:5">
      <c r="A268" s="161" t="s">
        <v>790</v>
      </c>
      <c r="B268" s="161" t="s">
        <v>791</v>
      </c>
      <c r="C268" s="161" t="s">
        <v>10</v>
      </c>
      <c r="D268" s="162" t="s">
        <v>792</v>
      </c>
      <c r="E268" s="252">
        <v>46289</v>
      </c>
    </row>
    <row r="269" ht="16" spans="1:5">
      <c r="A269" s="161" t="s">
        <v>793</v>
      </c>
      <c r="B269" s="161" t="s">
        <v>794</v>
      </c>
      <c r="C269" s="161" t="s">
        <v>10</v>
      </c>
      <c r="D269" s="162" t="s">
        <v>795</v>
      </c>
      <c r="E269" s="252">
        <v>46290</v>
      </c>
    </row>
    <row r="270" ht="16" spans="1:5">
      <c r="A270" s="161" t="s">
        <v>796</v>
      </c>
      <c r="B270" s="161" t="s">
        <v>797</v>
      </c>
      <c r="C270" s="161" t="s">
        <v>44</v>
      </c>
      <c r="D270" s="162" t="s">
        <v>798</v>
      </c>
      <c r="E270" s="252">
        <v>46291</v>
      </c>
    </row>
    <row r="271" ht="16" spans="1:5">
      <c r="A271" s="161" t="s">
        <v>799</v>
      </c>
      <c r="B271" s="161" t="s">
        <v>800</v>
      </c>
      <c r="C271" s="161" t="s">
        <v>10</v>
      </c>
      <c r="D271" s="162" t="s">
        <v>801</v>
      </c>
      <c r="E271" s="252">
        <v>46292</v>
      </c>
    </row>
    <row r="272" ht="16" spans="1:5">
      <c r="A272" s="161" t="s">
        <v>802</v>
      </c>
      <c r="B272" s="161" t="s">
        <v>803</v>
      </c>
      <c r="C272" s="161" t="s">
        <v>33</v>
      </c>
      <c r="D272" s="162" t="s">
        <v>804</v>
      </c>
      <c r="E272" s="252">
        <v>46293</v>
      </c>
    </row>
    <row r="273" ht="16" spans="1:5">
      <c r="A273" s="161" t="s">
        <v>805</v>
      </c>
      <c r="B273" s="161" t="s">
        <v>806</v>
      </c>
      <c r="C273" s="161" t="s">
        <v>7</v>
      </c>
      <c r="D273" s="162" t="s">
        <v>807</v>
      </c>
      <c r="E273" s="252">
        <v>46294</v>
      </c>
    </row>
    <row r="274" ht="16" spans="1:5">
      <c r="A274" s="161" t="s">
        <v>808</v>
      </c>
      <c r="B274" s="161" t="s">
        <v>809</v>
      </c>
      <c r="C274" s="161" t="s">
        <v>7</v>
      </c>
      <c r="D274" s="162" t="s">
        <v>810</v>
      </c>
      <c r="E274" s="252">
        <v>46295</v>
      </c>
    </row>
    <row r="275" ht="16" spans="1:5">
      <c r="A275" s="161" t="s">
        <v>811</v>
      </c>
      <c r="B275" s="161" t="s">
        <v>812</v>
      </c>
      <c r="C275" s="161" t="s">
        <v>7</v>
      </c>
      <c r="D275" s="162" t="s">
        <v>813</v>
      </c>
      <c r="E275" s="252">
        <v>46296</v>
      </c>
    </row>
    <row r="276" ht="16" spans="1:5">
      <c r="A276" s="161" t="s">
        <v>814</v>
      </c>
      <c r="B276" s="161" t="s">
        <v>815</v>
      </c>
      <c r="C276" s="161" t="s">
        <v>10</v>
      </c>
      <c r="D276" s="162" t="s">
        <v>816</v>
      </c>
      <c r="E276" s="252">
        <v>46297</v>
      </c>
    </row>
    <row r="277" ht="16" spans="1:5">
      <c r="A277" s="161" t="s">
        <v>817</v>
      </c>
      <c r="B277" s="161" t="s">
        <v>818</v>
      </c>
      <c r="C277" s="161" t="s">
        <v>7</v>
      </c>
      <c r="D277" s="162" t="s">
        <v>819</v>
      </c>
      <c r="E277" s="252">
        <v>46298</v>
      </c>
    </row>
    <row r="278" ht="16" spans="1:5">
      <c r="A278" s="161" t="s">
        <v>820</v>
      </c>
      <c r="B278" s="161" t="s">
        <v>821</v>
      </c>
      <c r="C278" s="161" t="s">
        <v>13</v>
      </c>
      <c r="D278" s="162" t="s">
        <v>822</v>
      </c>
      <c r="E278" s="252">
        <v>46299</v>
      </c>
    </row>
    <row r="279" ht="16" spans="1:5">
      <c r="A279" s="161" t="s">
        <v>823</v>
      </c>
      <c r="B279" s="161" t="s">
        <v>824</v>
      </c>
      <c r="C279" s="161" t="s">
        <v>10</v>
      </c>
      <c r="D279" s="162" t="s">
        <v>825</v>
      </c>
      <c r="E279" s="252">
        <v>46300</v>
      </c>
    </row>
    <row r="280" ht="16" spans="1:5">
      <c r="A280" s="161" t="s">
        <v>826</v>
      </c>
      <c r="B280" s="161" t="s">
        <v>827</v>
      </c>
      <c r="C280" s="161" t="s">
        <v>13</v>
      </c>
      <c r="D280" s="162" t="s">
        <v>828</v>
      </c>
      <c r="E280" s="252">
        <v>46301</v>
      </c>
    </row>
    <row r="281" ht="16" spans="1:5">
      <c r="A281" s="161" t="s">
        <v>829</v>
      </c>
      <c r="B281" s="161" t="s">
        <v>830</v>
      </c>
      <c r="C281" s="161" t="s">
        <v>13</v>
      </c>
      <c r="D281" s="162" t="s">
        <v>831</v>
      </c>
      <c r="E281" s="252">
        <v>46302</v>
      </c>
    </row>
    <row r="282" ht="16" spans="1:5">
      <c r="A282" s="161" t="s">
        <v>832</v>
      </c>
      <c r="B282" s="161" t="s">
        <v>833</v>
      </c>
      <c r="C282" s="161" t="s">
        <v>7</v>
      </c>
      <c r="D282" s="162" t="s">
        <v>834</v>
      </c>
      <c r="E282" s="252">
        <v>46303</v>
      </c>
    </row>
    <row r="283" ht="16" spans="1:5">
      <c r="A283" s="161" t="s">
        <v>835</v>
      </c>
      <c r="B283" s="161" t="s">
        <v>836</v>
      </c>
      <c r="C283" s="161" t="s">
        <v>7</v>
      </c>
      <c r="D283" s="162" t="s">
        <v>837</v>
      </c>
      <c r="E283" s="252">
        <v>46304</v>
      </c>
    </row>
    <row r="284" ht="16" spans="1:5">
      <c r="A284" s="161" t="s">
        <v>838</v>
      </c>
      <c r="B284" s="161" t="s">
        <v>839</v>
      </c>
      <c r="C284" s="161" t="s">
        <v>33</v>
      </c>
      <c r="D284" s="162" t="s">
        <v>840</v>
      </c>
      <c r="E284" s="252">
        <v>46305</v>
      </c>
    </row>
    <row r="285" ht="16" spans="1:5">
      <c r="A285" s="161" t="s">
        <v>841</v>
      </c>
      <c r="B285" s="161" t="s">
        <v>842</v>
      </c>
      <c r="C285" s="161" t="s">
        <v>10</v>
      </c>
      <c r="D285" s="162" t="s">
        <v>843</v>
      </c>
      <c r="E285" s="252">
        <v>46306</v>
      </c>
    </row>
    <row r="286" ht="16" spans="1:5">
      <c r="A286" s="161" t="s">
        <v>844</v>
      </c>
      <c r="B286" s="161" t="s">
        <v>845</v>
      </c>
      <c r="C286" s="161" t="s">
        <v>7</v>
      </c>
      <c r="D286" s="162" t="s">
        <v>846</v>
      </c>
      <c r="E286" s="252">
        <v>46307</v>
      </c>
    </row>
    <row r="287" ht="16" spans="1:5">
      <c r="A287" s="161" t="s">
        <v>847</v>
      </c>
      <c r="B287" s="161" t="s">
        <v>848</v>
      </c>
      <c r="C287" s="161" t="s">
        <v>10</v>
      </c>
      <c r="D287" s="162" t="s">
        <v>849</v>
      </c>
      <c r="E287" s="252">
        <v>46308</v>
      </c>
    </row>
    <row r="288" ht="16" spans="1:5">
      <c r="A288" s="161" t="s">
        <v>850</v>
      </c>
      <c r="B288" s="161" t="s">
        <v>851</v>
      </c>
      <c r="C288" s="161" t="s">
        <v>7</v>
      </c>
      <c r="D288" s="162" t="s">
        <v>852</v>
      </c>
      <c r="E288" s="252">
        <v>46309</v>
      </c>
    </row>
    <row r="289" ht="16" spans="1:5">
      <c r="A289" s="161" t="s">
        <v>853</v>
      </c>
      <c r="B289" s="161" t="s">
        <v>854</v>
      </c>
      <c r="C289" s="161" t="s">
        <v>10</v>
      </c>
      <c r="D289" s="162" t="s">
        <v>855</v>
      </c>
      <c r="E289" s="252">
        <v>46310</v>
      </c>
    </row>
    <row r="290" ht="16" spans="1:5">
      <c r="A290" s="161" t="s">
        <v>856</v>
      </c>
      <c r="B290" s="161" t="s">
        <v>857</v>
      </c>
      <c r="C290" s="161" t="s">
        <v>7</v>
      </c>
      <c r="D290" s="162" t="s">
        <v>858</v>
      </c>
      <c r="E290" s="252">
        <v>46311</v>
      </c>
    </row>
    <row r="291" ht="16" spans="1:5">
      <c r="A291" s="161" t="s">
        <v>859</v>
      </c>
      <c r="B291" s="161" t="s">
        <v>860</v>
      </c>
      <c r="C291" s="161" t="s">
        <v>13</v>
      </c>
      <c r="D291" s="162" t="s">
        <v>861</v>
      </c>
      <c r="E291" s="252">
        <v>46312</v>
      </c>
    </row>
    <row r="292" ht="16" spans="1:5">
      <c r="A292" s="161" t="s">
        <v>862</v>
      </c>
      <c r="B292" s="161" t="s">
        <v>863</v>
      </c>
      <c r="C292" s="161" t="s">
        <v>7</v>
      </c>
      <c r="D292" s="162" t="s">
        <v>864</v>
      </c>
      <c r="E292" s="252">
        <v>46313</v>
      </c>
    </row>
    <row r="293" ht="16" spans="1:5">
      <c r="A293" s="161" t="s">
        <v>865</v>
      </c>
      <c r="B293" s="161" t="s">
        <v>866</v>
      </c>
      <c r="C293" s="161" t="s">
        <v>10</v>
      </c>
      <c r="D293" s="162" t="s">
        <v>867</v>
      </c>
      <c r="E293" s="252">
        <v>46314</v>
      </c>
    </row>
    <row r="294" ht="16" spans="1:5">
      <c r="A294" s="161" t="s">
        <v>868</v>
      </c>
      <c r="B294" s="161" t="s">
        <v>869</v>
      </c>
      <c r="C294" s="161" t="s">
        <v>7</v>
      </c>
      <c r="D294" s="162" t="s">
        <v>870</v>
      </c>
      <c r="E294" s="252">
        <v>46315</v>
      </c>
    </row>
    <row r="295" ht="16" spans="1:5">
      <c r="A295" s="161" t="s">
        <v>871</v>
      </c>
      <c r="B295" s="161" t="s">
        <v>872</v>
      </c>
      <c r="C295" s="161" t="s">
        <v>33</v>
      </c>
      <c r="D295" s="162" t="s">
        <v>873</v>
      </c>
      <c r="E295" s="252">
        <v>46316</v>
      </c>
    </row>
    <row r="296" ht="16" spans="1:5">
      <c r="A296" s="161" t="s">
        <v>874</v>
      </c>
      <c r="B296" s="161" t="s">
        <v>875</v>
      </c>
      <c r="C296" s="161" t="s">
        <v>7</v>
      </c>
      <c r="D296" s="162" t="s">
        <v>876</v>
      </c>
      <c r="E296" s="252">
        <v>46317</v>
      </c>
    </row>
    <row r="297" ht="16" spans="1:5">
      <c r="A297" s="161" t="s">
        <v>877</v>
      </c>
      <c r="B297" s="161" t="s">
        <v>878</v>
      </c>
      <c r="C297" s="161" t="s">
        <v>33</v>
      </c>
      <c r="D297" s="162" t="s">
        <v>879</v>
      </c>
      <c r="E297" s="252">
        <v>46318</v>
      </c>
    </row>
    <row r="298" ht="16" spans="1:5">
      <c r="A298" s="161" t="s">
        <v>880</v>
      </c>
      <c r="B298" s="161" t="s">
        <v>881</v>
      </c>
      <c r="C298" s="161" t="s">
        <v>44</v>
      </c>
      <c r="D298" s="162" t="s">
        <v>882</v>
      </c>
      <c r="E298" s="252">
        <v>46319</v>
      </c>
    </row>
    <row r="299" ht="16" spans="1:5">
      <c r="A299" s="161" t="s">
        <v>883</v>
      </c>
      <c r="B299" s="161" t="s">
        <v>884</v>
      </c>
      <c r="C299" s="161" t="s">
        <v>13</v>
      </c>
      <c r="D299" s="162" t="s">
        <v>885</v>
      </c>
      <c r="E299" s="252">
        <v>46320</v>
      </c>
    </row>
    <row r="300" ht="16" spans="1:5">
      <c r="A300" s="161" t="s">
        <v>886</v>
      </c>
      <c r="B300" s="161" t="s">
        <v>887</v>
      </c>
      <c r="C300" s="161" t="s">
        <v>10</v>
      </c>
      <c r="D300" s="162" t="s">
        <v>888</v>
      </c>
      <c r="E300" s="252">
        <v>46321</v>
      </c>
    </row>
    <row r="301" ht="16" spans="1:5">
      <c r="A301" s="161" t="s">
        <v>889</v>
      </c>
      <c r="B301" s="161" t="s">
        <v>890</v>
      </c>
      <c r="C301" s="161" t="s">
        <v>13</v>
      </c>
      <c r="D301" s="162" t="s">
        <v>891</v>
      </c>
      <c r="E301" s="252">
        <v>46322</v>
      </c>
    </row>
    <row r="302" ht="16" spans="1:5">
      <c r="A302" s="161" t="s">
        <v>892</v>
      </c>
      <c r="B302" s="161" t="s">
        <v>893</v>
      </c>
      <c r="C302" s="161" t="s">
        <v>33</v>
      </c>
      <c r="D302" s="162" t="s">
        <v>894</v>
      </c>
      <c r="E302" s="252">
        <v>46323</v>
      </c>
    </row>
    <row r="303" ht="16" spans="1:5">
      <c r="A303" s="161" t="s">
        <v>895</v>
      </c>
      <c r="B303" s="161" t="s">
        <v>896</v>
      </c>
      <c r="C303" s="161" t="s">
        <v>7</v>
      </c>
      <c r="D303" s="162" t="s">
        <v>897</v>
      </c>
      <c r="E303" s="252">
        <v>46324</v>
      </c>
    </row>
    <row r="304" ht="16" spans="1:5">
      <c r="A304" s="161" t="s">
        <v>898</v>
      </c>
      <c r="B304" s="161" t="s">
        <v>899</v>
      </c>
      <c r="C304" s="161" t="s">
        <v>13</v>
      </c>
      <c r="D304" s="162" t="s">
        <v>900</v>
      </c>
      <c r="E304" s="252">
        <v>46325</v>
      </c>
    </row>
    <row r="305" ht="16" spans="1:5">
      <c r="A305" s="161" t="s">
        <v>901</v>
      </c>
      <c r="B305" s="161" t="s">
        <v>902</v>
      </c>
      <c r="C305" s="161" t="s">
        <v>10</v>
      </c>
      <c r="D305" s="162" t="s">
        <v>903</v>
      </c>
      <c r="E305" s="252">
        <v>46326</v>
      </c>
    </row>
    <row r="306" ht="16" spans="1:5">
      <c r="A306" s="161" t="s">
        <v>904</v>
      </c>
      <c r="B306" s="161" t="s">
        <v>905</v>
      </c>
      <c r="C306" s="161" t="s">
        <v>7</v>
      </c>
      <c r="D306" s="162" t="s">
        <v>906</v>
      </c>
      <c r="E306" s="252">
        <v>46327</v>
      </c>
    </row>
    <row r="307" ht="16" spans="1:5">
      <c r="A307" s="161" t="s">
        <v>907</v>
      </c>
      <c r="B307" s="161" t="s">
        <v>908</v>
      </c>
      <c r="C307" s="161" t="s">
        <v>33</v>
      </c>
      <c r="D307" s="162" t="s">
        <v>909</v>
      </c>
      <c r="E307" s="252">
        <v>46328</v>
      </c>
    </row>
    <row r="308" ht="16" spans="1:5">
      <c r="A308" s="161" t="s">
        <v>910</v>
      </c>
      <c r="B308" s="161" t="s">
        <v>911</v>
      </c>
      <c r="C308" s="161" t="s">
        <v>44</v>
      </c>
      <c r="D308" s="162" t="s">
        <v>912</v>
      </c>
      <c r="E308" s="252">
        <v>46329</v>
      </c>
    </row>
    <row r="309" ht="16" spans="1:5">
      <c r="A309" s="161" t="s">
        <v>913</v>
      </c>
      <c r="B309" s="161" t="s">
        <v>914</v>
      </c>
      <c r="C309" s="161" t="s">
        <v>33</v>
      </c>
      <c r="D309" s="162" t="s">
        <v>915</v>
      </c>
      <c r="E309" s="252">
        <v>46330</v>
      </c>
    </row>
    <row r="310" ht="16" spans="1:5">
      <c r="A310" s="161" t="s">
        <v>916</v>
      </c>
      <c r="B310" s="161" t="s">
        <v>917</v>
      </c>
      <c r="C310" s="161" t="s">
        <v>33</v>
      </c>
      <c r="D310" s="162" t="s">
        <v>918</v>
      </c>
      <c r="E310" s="252">
        <v>46331</v>
      </c>
    </row>
    <row r="311" ht="16" spans="1:5">
      <c r="A311" s="161" t="s">
        <v>919</v>
      </c>
      <c r="B311" s="161" t="s">
        <v>920</v>
      </c>
      <c r="C311" s="161" t="s">
        <v>13</v>
      </c>
      <c r="D311" s="162" t="s">
        <v>921</v>
      </c>
      <c r="E311" s="252">
        <v>46332</v>
      </c>
    </row>
    <row r="312" ht="16" spans="1:5">
      <c r="A312" s="161" t="s">
        <v>922</v>
      </c>
      <c r="B312" s="161" t="s">
        <v>923</v>
      </c>
      <c r="C312" s="161" t="s">
        <v>7</v>
      </c>
      <c r="D312" s="162" t="s">
        <v>924</v>
      </c>
      <c r="E312" s="252">
        <v>46333</v>
      </c>
    </row>
    <row r="313" ht="16" spans="1:5">
      <c r="A313" s="161" t="s">
        <v>925</v>
      </c>
      <c r="B313" s="161" t="s">
        <v>926</v>
      </c>
      <c r="C313" s="161" t="s">
        <v>33</v>
      </c>
      <c r="D313" s="162" t="s">
        <v>927</v>
      </c>
      <c r="E313" s="252">
        <v>46334</v>
      </c>
    </row>
    <row r="314" ht="16" spans="1:5">
      <c r="A314" s="161" t="s">
        <v>928</v>
      </c>
      <c r="B314" s="161" t="s">
        <v>929</v>
      </c>
      <c r="C314" s="161" t="s">
        <v>10</v>
      </c>
      <c r="D314" s="162" t="s">
        <v>930</v>
      </c>
      <c r="E314" s="252">
        <v>46335</v>
      </c>
    </row>
    <row r="315" ht="16" spans="1:5">
      <c r="A315" s="161" t="s">
        <v>931</v>
      </c>
      <c r="B315" s="161" t="s">
        <v>932</v>
      </c>
      <c r="C315" s="161" t="s">
        <v>7</v>
      </c>
      <c r="D315" s="162" t="s">
        <v>933</v>
      </c>
      <c r="E315" s="252">
        <v>46336</v>
      </c>
    </row>
    <row r="316" ht="16" spans="1:5">
      <c r="A316" s="161" t="s">
        <v>934</v>
      </c>
      <c r="B316" s="161" t="s">
        <v>935</v>
      </c>
      <c r="C316" s="161" t="s">
        <v>33</v>
      </c>
      <c r="D316" s="162" t="s">
        <v>936</v>
      </c>
      <c r="E316" s="252">
        <v>46337</v>
      </c>
    </row>
    <row r="317" ht="16" spans="1:5">
      <c r="A317" s="161" t="s">
        <v>937</v>
      </c>
      <c r="B317" s="161" t="s">
        <v>938</v>
      </c>
      <c r="C317" s="161" t="s">
        <v>13</v>
      </c>
      <c r="D317" s="162" t="s">
        <v>939</v>
      </c>
      <c r="E317" s="252">
        <v>46338</v>
      </c>
    </row>
    <row r="318" ht="16" spans="1:5">
      <c r="A318" s="161" t="s">
        <v>940</v>
      </c>
      <c r="B318" s="161" t="s">
        <v>941</v>
      </c>
      <c r="C318" s="161" t="s">
        <v>33</v>
      </c>
      <c r="D318" s="162" t="s">
        <v>942</v>
      </c>
      <c r="E318" s="252">
        <v>46339</v>
      </c>
    </row>
    <row r="319" ht="16" spans="1:5">
      <c r="A319" s="161" t="s">
        <v>943</v>
      </c>
      <c r="B319" s="161" t="s">
        <v>944</v>
      </c>
      <c r="C319" s="161" t="s">
        <v>10</v>
      </c>
      <c r="D319" s="162" t="s">
        <v>945</v>
      </c>
      <c r="E319" s="252">
        <v>46340</v>
      </c>
    </row>
    <row r="320" ht="16" spans="1:5">
      <c r="A320" s="161" t="s">
        <v>946</v>
      </c>
      <c r="B320" s="161" t="s">
        <v>947</v>
      </c>
      <c r="C320" s="161" t="s">
        <v>10</v>
      </c>
      <c r="D320" s="162" t="s">
        <v>948</v>
      </c>
      <c r="E320" s="252">
        <v>46341</v>
      </c>
    </row>
    <row r="321" ht="16" spans="1:5">
      <c r="A321" s="161" t="s">
        <v>949</v>
      </c>
      <c r="B321" s="161" t="s">
        <v>950</v>
      </c>
      <c r="C321" s="161" t="s">
        <v>7</v>
      </c>
      <c r="D321" s="162" t="s">
        <v>951</v>
      </c>
      <c r="E321" s="252">
        <v>46342</v>
      </c>
    </row>
    <row r="322" ht="16" spans="1:5">
      <c r="A322" s="161" t="s">
        <v>952</v>
      </c>
      <c r="B322" s="161" t="s">
        <v>953</v>
      </c>
      <c r="C322" s="161" t="s">
        <v>7</v>
      </c>
      <c r="D322" s="162" t="s">
        <v>954</v>
      </c>
      <c r="E322" s="252">
        <v>46343</v>
      </c>
    </row>
    <row r="323" ht="16" spans="1:5">
      <c r="A323" s="161" t="s">
        <v>955</v>
      </c>
      <c r="B323" s="161" t="s">
        <v>956</v>
      </c>
      <c r="C323" s="161" t="s">
        <v>13</v>
      </c>
      <c r="D323" s="162" t="s">
        <v>957</v>
      </c>
      <c r="E323" s="252">
        <v>46344</v>
      </c>
    </row>
    <row r="324" ht="16" spans="1:5">
      <c r="A324" s="161" t="s">
        <v>958</v>
      </c>
      <c r="B324" s="161" t="s">
        <v>959</v>
      </c>
      <c r="C324" s="161" t="s">
        <v>10</v>
      </c>
      <c r="D324" s="162" t="s">
        <v>960</v>
      </c>
      <c r="E324" s="252">
        <v>46345</v>
      </c>
    </row>
    <row r="325" ht="16" spans="1:5">
      <c r="A325" s="161" t="s">
        <v>961</v>
      </c>
      <c r="B325" s="161" t="s">
        <v>962</v>
      </c>
      <c r="C325" s="161" t="s">
        <v>33</v>
      </c>
      <c r="D325" s="162" t="s">
        <v>963</v>
      </c>
      <c r="E325" s="252">
        <v>46346</v>
      </c>
    </row>
    <row r="326" ht="16" spans="1:5">
      <c r="A326" s="161" t="s">
        <v>964</v>
      </c>
      <c r="B326" s="161" t="s">
        <v>965</v>
      </c>
      <c r="C326" s="161" t="s">
        <v>13</v>
      </c>
      <c r="D326" s="162" t="s">
        <v>966</v>
      </c>
      <c r="E326" s="252">
        <v>46347</v>
      </c>
    </row>
    <row r="327" ht="16" spans="1:5">
      <c r="A327" s="161" t="s">
        <v>967</v>
      </c>
      <c r="B327" s="161" t="s">
        <v>968</v>
      </c>
      <c r="C327" s="161" t="s">
        <v>13</v>
      </c>
      <c r="D327" s="162" t="s">
        <v>969</v>
      </c>
      <c r="E327" s="252">
        <v>46348</v>
      </c>
    </row>
    <row r="328" ht="16" spans="1:5">
      <c r="A328" s="161" t="s">
        <v>970</v>
      </c>
      <c r="B328" s="161" t="s">
        <v>971</v>
      </c>
      <c r="C328" s="161" t="s">
        <v>10</v>
      </c>
      <c r="D328" s="162" t="s">
        <v>972</v>
      </c>
      <c r="E328" s="252">
        <v>46349</v>
      </c>
    </row>
    <row r="329" ht="16" spans="1:5">
      <c r="A329" s="161" t="s">
        <v>973</v>
      </c>
      <c r="B329" s="161" t="s">
        <v>974</v>
      </c>
      <c r="C329" s="161" t="s">
        <v>33</v>
      </c>
      <c r="D329" s="162" t="s">
        <v>975</v>
      </c>
      <c r="E329" s="252">
        <v>46350</v>
      </c>
    </row>
    <row r="330" ht="16" spans="1:5">
      <c r="A330" s="161" t="s">
        <v>976</v>
      </c>
      <c r="B330" s="161" t="s">
        <v>977</v>
      </c>
      <c r="C330" s="161" t="s">
        <v>44</v>
      </c>
      <c r="D330" s="162" t="s">
        <v>978</v>
      </c>
      <c r="E330" s="252">
        <v>46351</v>
      </c>
    </row>
    <row r="331" ht="16" spans="1:5">
      <c r="A331" s="161" t="s">
        <v>979</v>
      </c>
      <c r="B331" s="161" t="s">
        <v>980</v>
      </c>
      <c r="C331" s="161" t="s">
        <v>44</v>
      </c>
      <c r="D331" s="162" t="s">
        <v>981</v>
      </c>
      <c r="E331" s="252">
        <v>46352</v>
      </c>
    </row>
    <row r="332" ht="16" spans="1:5">
      <c r="A332" s="161" t="s">
        <v>982</v>
      </c>
      <c r="B332" s="161" t="s">
        <v>983</v>
      </c>
      <c r="C332" s="161" t="s">
        <v>33</v>
      </c>
      <c r="D332" s="162" t="s">
        <v>984</v>
      </c>
      <c r="E332" s="252">
        <v>46353</v>
      </c>
    </row>
    <row r="333" ht="16" spans="1:5">
      <c r="A333" s="161" t="s">
        <v>985</v>
      </c>
      <c r="B333" s="161" t="s">
        <v>986</v>
      </c>
      <c r="C333" s="161" t="s">
        <v>44</v>
      </c>
      <c r="D333" s="162" t="s">
        <v>987</v>
      </c>
      <c r="E333" s="252">
        <v>46354</v>
      </c>
    </row>
    <row r="334" ht="16" spans="1:5">
      <c r="A334" s="161" t="s">
        <v>988</v>
      </c>
      <c r="B334" s="161" t="s">
        <v>989</v>
      </c>
      <c r="C334" s="161" t="s">
        <v>7</v>
      </c>
      <c r="D334" s="162" t="s">
        <v>990</v>
      </c>
      <c r="E334" s="252">
        <v>46355</v>
      </c>
    </row>
    <row r="335" ht="16" spans="1:5">
      <c r="A335" s="161" t="s">
        <v>991</v>
      </c>
      <c r="B335" s="161" t="s">
        <v>992</v>
      </c>
      <c r="C335" s="161" t="s">
        <v>10</v>
      </c>
      <c r="D335" s="162" t="s">
        <v>993</v>
      </c>
      <c r="E335" s="252">
        <v>46356</v>
      </c>
    </row>
    <row r="336" ht="16" spans="1:5">
      <c r="A336" s="161" t="s">
        <v>994</v>
      </c>
      <c r="B336" s="161" t="s">
        <v>995</v>
      </c>
      <c r="C336" s="161" t="s">
        <v>44</v>
      </c>
      <c r="D336" s="162" t="s">
        <v>996</v>
      </c>
      <c r="E336" s="252">
        <v>46357</v>
      </c>
    </row>
    <row r="337" ht="16" spans="1:5">
      <c r="A337" s="161" t="s">
        <v>997</v>
      </c>
      <c r="B337" s="161" t="s">
        <v>998</v>
      </c>
      <c r="C337" s="161" t="s">
        <v>7</v>
      </c>
      <c r="D337" s="162" t="s">
        <v>999</v>
      </c>
      <c r="E337" s="252">
        <v>46358</v>
      </c>
    </row>
    <row r="338" ht="16" spans="1:5">
      <c r="A338" s="161" t="s">
        <v>1000</v>
      </c>
      <c r="B338" s="161" t="s">
        <v>1001</v>
      </c>
      <c r="C338" s="161" t="s">
        <v>7</v>
      </c>
      <c r="D338" s="162" t="s">
        <v>1002</v>
      </c>
      <c r="E338" s="252">
        <v>46359</v>
      </c>
    </row>
    <row r="339" ht="16" spans="1:5">
      <c r="A339" s="161" t="s">
        <v>1003</v>
      </c>
      <c r="B339" s="161" t="s">
        <v>1004</v>
      </c>
      <c r="C339" s="161" t="s">
        <v>33</v>
      </c>
      <c r="D339" s="162" t="s">
        <v>1005</v>
      </c>
      <c r="E339" s="252">
        <v>46360</v>
      </c>
    </row>
    <row r="340" ht="16" spans="1:5">
      <c r="A340" s="161" t="s">
        <v>1006</v>
      </c>
      <c r="B340" s="161" t="s">
        <v>1007</v>
      </c>
      <c r="C340" s="161" t="s">
        <v>13</v>
      </c>
      <c r="D340" s="162" t="s">
        <v>1008</v>
      </c>
      <c r="E340" s="252">
        <v>46361</v>
      </c>
    </row>
    <row r="341" ht="16" spans="1:5">
      <c r="A341" s="161" t="s">
        <v>1009</v>
      </c>
      <c r="B341" s="161" t="s">
        <v>1010</v>
      </c>
      <c r="C341" s="161" t="s">
        <v>10</v>
      </c>
      <c r="D341" s="162" t="s">
        <v>1011</v>
      </c>
      <c r="E341" s="252">
        <v>46362</v>
      </c>
    </row>
    <row r="342" ht="16" spans="1:5">
      <c r="A342" s="161" t="s">
        <v>1012</v>
      </c>
      <c r="B342" s="161" t="s">
        <v>1013</v>
      </c>
      <c r="C342" s="161" t="s">
        <v>10</v>
      </c>
      <c r="D342" s="162" t="s">
        <v>1014</v>
      </c>
      <c r="E342" s="252">
        <v>46363</v>
      </c>
    </row>
    <row r="343" ht="16" spans="1:5">
      <c r="A343" s="161" t="s">
        <v>1015</v>
      </c>
      <c r="B343" s="161" t="s">
        <v>1016</v>
      </c>
      <c r="C343" s="161" t="s">
        <v>33</v>
      </c>
      <c r="D343" s="162" t="s">
        <v>1017</v>
      </c>
      <c r="E343" s="252">
        <v>46364</v>
      </c>
    </row>
    <row r="344" ht="16" spans="1:5">
      <c r="A344" s="161" t="s">
        <v>1018</v>
      </c>
      <c r="B344" s="161" t="s">
        <v>1019</v>
      </c>
      <c r="C344" s="161" t="s">
        <v>33</v>
      </c>
      <c r="D344" s="162" t="s">
        <v>1020</v>
      </c>
      <c r="E344" s="252">
        <v>46365</v>
      </c>
    </row>
    <row r="345" ht="16" spans="1:5">
      <c r="A345" s="161" t="s">
        <v>1021</v>
      </c>
      <c r="B345" s="161" t="s">
        <v>1022</v>
      </c>
      <c r="C345" s="161" t="s">
        <v>7</v>
      </c>
      <c r="D345" s="162" t="s">
        <v>1023</v>
      </c>
      <c r="E345" s="252">
        <v>46366</v>
      </c>
    </row>
    <row r="346" ht="16" spans="1:5">
      <c r="A346" s="161" t="s">
        <v>1024</v>
      </c>
      <c r="B346" s="161" t="s">
        <v>1025</v>
      </c>
      <c r="C346" s="161" t="s">
        <v>13</v>
      </c>
      <c r="D346" s="162" t="s">
        <v>1026</v>
      </c>
      <c r="E346" s="252">
        <v>46367</v>
      </c>
    </row>
    <row r="347" ht="16" spans="1:5">
      <c r="A347" s="161" t="s">
        <v>1027</v>
      </c>
      <c r="B347" s="161" t="s">
        <v>1028</v>
      </c>
      <c r="C347" s="161" t="s">
        <v>44</v>
      </c>
      <c r="D347" s="162" t="s">
        <v>1029</v>
      </c>
      <c r="E347" s="252">
        <v>46368</v>
      </c>
    </row>
    <row r="348" ht="16" spans="1:5">
      <c r="A348" s="161" t="s">
        <v>1030</v>
      </c>
      <c r="B348" s="161" t="s">
        <v>1031</v>
      </c>
      <c r="C348" s="161" t="s">
        <v>7</v>
      </c>
      <c r="D348" s="162" t="s">
        <v>1032</v>
      </c>
      <c r="E348" s="252">
        <v>46369</v>
      </c>
    </row>
    <row r="349" ht="16" spans="1:5">
      <c r="A349" s="161" t="s">
        <v>1033</v>
      </c>
      <c r="B349" s="161" t="s">
        <v>1034</v>
      </c>
      <c r="C349" s="161" t="s">
        <v>13</v>
      </c>
      <c r="D349" s="162" t="s">
        <v>1035</v>
      </c>
      <c r="E349" s="252">
        <v>46370</v>
      </c>
    </row>
    <row r="350" ht="16" spans="1:5">
      <c r="A350" s="161" t="s">
        <v>1036</v>
      </c>
      <c r="B350" s="161" t="s">
        <v>1037</v>
      </c>
      <c r="C350" s="161" t="s">
        <v>44</v>
      </c>
      <c r="D350" s="162" t="s">
        <v>1038</v>
      </c>
      <c r="E350" s="252">
        <v>46371</v>
      </c>
    </row>
    <row r="351" ht="16" spans="1:5">
      <c r="A351" s="161" t="s">
        <v>1039</v>
      </c>
      <c r="B351" s="161" t="s">
        <v>1040</v>
      </c>
      <c r="C351" s="161" t="s">
        <v>33</v>
      </c>
      <c r="D351" s="162" t="s">
        <v>1041</v>
      </c>
      <c r="E351" s="252">
        <v>46372</v>
      </c>
    </row>
    <row r="352" ht="16" spans="1:5">
      <c r="A352" s="161" t="s">
        <v>1042</v>
      </c>
      <c r="B352" s="161" t="s">
        <v>1043</v>
      </c>
      <c r="C352" s="161" t="s">
        <v>10</v>
      </c>
      <c r="D352" s="162" t="s">
        <v>1044</v>
      </c>
      <c r="E352" s="252">
        <v>46373</v>
      </c>
    </row>
    <row r="353" ht="16" spans="1:5">
      <c r="A353" s="161" t="s">
        <v>1045</v>
      </c>
      <c r="B353" s="161" t="s">
        <v>1046</v>
      </c>
      <c r="C353" s="161" t="s">
        <v>7</v>
      </c>
      <c r="D353" s="162" t="s">
        <v>1047</v>
      </c>
      <c r="E353" s="252">
        <v>46374</v>
      </c>
    </row>
    <row r="354" ht="16" spans="1:5">
      <c r="A354" s="161" t="s">
        <v>1048</v>
      </c>
      <c r="B354" s="161" t="s">
        <v>1049</v>
      </c>
      <c r="C354" s="161" t="s">
        <v>10</v>
      </c>
      <c r="D354" s="162" t="s">
        <v>1050</v>
      </c>
      <c r="E354" s="252">
        <v>46375</v>
      </c>
    </row>
    <row r="355" ht="16" spans="1:5">
      <c r="A355" s="161" t="s">
        <v>1051</v>
      </c>
      <c r="B355" s="161" t="s">
        <v>1052</v>
      </c>
      <c r="C355" s="161" t="s">
        <v>13</v>
      </c>
      <c r="D355" s="162" t="s">
        <v>1053</v>
      </c>
      <c r="E355" s="252">
        <v>46376</v>
      </c>
    </row>
    <row r="356" ht="16" spans="1:5">
      <c r="A356" s="161" t="s">
        <v>1054</v>
      </c>
      <c r="B356" s="161" t="s">
        <v>1055</v>
      </c>
      <c r="C356" s="161" t="s">
        <v>7</v>
      </c>
      <c r="D356" s="162" t="s">
        <v>1056</v>
      </c>
      <c r="E356" s="252">
        <v>46377</v>
      </c>
    </row>
    <row r="357" ht="16" spans="1:5">
      <c r="A357" s="161" t="s">
        <v>1057</v>
      </c>
      <c r="B357" s="161" t="s">
        <v>1058</v>
      </c>
      <c r="C357" s="161" t="s">
        <v>10</v>
      </c>
      <c r="D357" s="162" t="s">
        <v>1059</v>
      </c>
      <c r="E357" s="252">
        <v>46378</v>
      </c>
    </row>
    <row r="358" ht="16" spans="1:5">
      <c r="A358" s="161" t="s">
        <v>1060</v>
      </c>
      <c r="B358" s="161" t="s">
        <v>1061</v>
      </c>
      <c r="C358" s="161" t="s">
        <v>13</v>
      </c>
      <c r="D358" s="162" t="s">
        <v>1062</v>
      </c>
      <c r="E358" s="252">
        <v>46379</v>
      </c>
    </row>
    <row r="359" ht="16" spans="1:5">
      <c r="A359" s="161" t="s">
        <v>1063</v>
      </c>
      <c r="B359" s="161" t="s">
        <v>1064</v>
      </c>
      <c r="C359" s="161" t="s">
        <v>10</v>
      </c>
      <c r="D359" s="162" t="s">
        <v>1065</v>
      </c>
      <c r="E359" s="252">
        <v>46380</v>
      </c>
    </row>
    <row r="360" ht="16" spans="1:5">
      <c r="A360" s="161" t="s">
        <v>1066</v>
      </c>
      <c r="B360" s="161" t="s">
        <v>1067</v>
      </c>
      <c r="C360" s="161" t="s">
        <v>33</v>
      </c>
      <c r="D360" s="162" t="s">
        <v>1068</v>
      </c>
      <c r="E360" s="252">
        <v>46381</v>
      </c>
    </row>
    <row r="361" ht="16" spans="1:5">
      <c r="A361" s="161" t="s">
        <v>1069</v>
      </c>
      <c r="B361" s="161" t="s">
        <v>1070</v>
      </c>
      <c r="C361" s="161" t="s">
        <v>10</v>
      </c>
      <c r="D361" s="162" t="s">
        <v>1071</v>
      </c>
      <c r="E361" s="252">
        <v>46382</v>
      </c>
    </row>
    <row r="362" ht="16" spans="1:5">
      <c r="A362" s="161" t="s">
        <v>1072</v>
      </c>
      <c r="B362" s="161" t="s">
        <v>1073</v>
      </c>
      <c r="C362" s="161" t="s">
        <v>33</v>
      </c>
      <c r="D362" s="162" t="s">
        <v>1074</v>
      </c>
      <c r="E362" s="252">
        <v>46383</v>
      </c>
    </row>
    <row r="363" ht="16" spans="1:5">
      <c r="A363" s="161" t="s">
        <v>1075</v>
      </c>
      <c r="B363" s="161" t="s">
        <v>1076</v>
      </c>
      <c r="C363" s="161" t="s">
        <v>44</v>
      </c>
      <c r="D363" s="162" t="s">
        <v>1077</v>
      </c>
      <c r="E363" s="252">
        <v>46384</v>
      </c>
    </row>
    <row r="364" ht="16" spans="1:5">
      <c r="A364" s="161" t="s">
        <v>1078</v>
      </c>
      <c r="B364" s="161" t="s">
        <v>1079</v>
      </c>
      <c r="C364" s="161" t="s">
        <v>44</v>
      </c>
      <c r="D364" s="162" t="s">
        <v>1080</v>
      </c>
      <c r="E364" s="252">
        <v>46385</v>
      </c>
    </row>
    <row r="365" ht="16" spans="1:5">
      <c r="A365" s="161" t="s">
        <v>1081</v>
      </c>
      <c r="B365" s="161" t="s">
        <v>1082</v>
      </c>
      <c r="C365" s="161" t="s">
        <v>13</v>
      </c>
      <c r="D365" s="162" t="s">
        <v>1083</v>
      </c>
      <c r="E365" s="252">
        <v>46386</v>
      </c>
    </row>
    <row r="366" ht="16" spans="1:5">
      <c r="A366" s="161" t="s">
        <v>1084</v>
      </c>
      <c r="B366" s="161" t="s">
        <v>1085</v>
      </c>
      <c r="C366" s="161" t="s">
        <v>10</v>
      </c>
      <c r="D366" s="162" t="s">
        <v>1086</v>
      </c>
      <c r="E366" s="252">
        <v>46387</v>
      </c>
    </row>
    <row r="367" ht="16" spans="1:5">
      <c r="A367" s="161" t="s">
        <v>1087</v>
      </c>
      <c r="B367" s="161" t="s">
        <v>1088</v>
      </c>
      <c r="C367" s="161" t="s">
        <v>44</v>
      </c>
      <c r="D367" s="162" t="s">
        <v>1089</v>
      </c>
      <c r="E367" s="252">
        <v>46388</v>
      </c>
    </row>
    <row r="368" ht="16" spans="1:5">
      <c r="A368" s="161" t="s">
        <v>1090</v>
      </c>
      <c r="B368" s="161" t="s">
        <v>1091</v>
      </c>
      <c r="C368" s="161" t="s">
        <v>33</v>
      </c>
      <c r="D368" s="162" t="s">
        <v>1092</v>
      </c>
      <c r="E368" s="252">
        <v>46389</v>
      </c>
    </row>
    <row r="369" ht="16" spans="1:5">
      <c r="A369" s="161" t="s">
        <v>1093</v>
      </c>
      <c r="B369" s="161" t="s">
        <v>1094</v>
      </c>
      <c r="C369" s="161" t="s">
        <v>44</v>
      </c>
      <c r="D369" s="162" t="s">
        <v>1095</v>
      </c>
      <c r="E369" s="252">
        <v>46390</v>
      </c>
    </row>
    <row r="370" ht="16" spans="1:5">
      <c r="A370" s="161" t="s">
        <v>1096</v>
      </c>
      <c r="B370" s="161" t="s">
        <v>1097</v>
      </c>
      <c r="C370" s="161" t="s">
        <v>13</v>
      </c>
      <c r="D370" s="162" t="s">
        <v>1098</v>
      </c>
      <c r="E370" s="252">
        <v>46391</v>
      </c>
    </row>
    <row r="371" ht="16" spans="1:5">
      <c r="A371" s="161" t="s">
        <v>1099</v>
      </c>
      <c r="B371" s="161" t="s">
        <v>1100</v>
      </c>
      <c r="C371" s="161" t="s">
        <v>13</v>
      </c>
      <c r="D371" s="162" t="s">
        <v>1101</v>
      </c>
      <c r="E371" s="252">
        <v>46392</v>
      </c>
    </row>
    <row r="372" ht="16" spans="1:5">
      <c r="A372" s="161" t="s">
        <v>1102</v>
      </c>
      <c r="B372" s="161" t="s">
        <v>1103</v>
      </c>
      <c r="C372" s="161" t="s">
        <v>33</v>
      </c>
      <c r="D372" s="162" t="s">
        <v>1104</v>
      </c>
      <c r="E372" s="252">
        <v>46393</v>
      </c>
    </row>
    <row r="373" ht="16" spans="1:5">
      <c r="A373" s="161" t="s">
        <v>1105</v>
      </c>
      <c r="B373" s="161" t="s">
        <v>1106</v>
      </c>
      <c r="C373" s="161" t="s">
        <v>7</v>
      </c>
      <c r="D373" s="162" t="s">
        <v>1107</v>
      </c>
      <c r="E373" s="252">
        <v>46394</v>
      </c>
    </row>
    <row r="374" ht="16" spans="1:5">
      <c r="A374" s="161" t="s">
        <v>1108</v>
      </c>
      <c r="B374" s="161" t="s">
        <v>1109</v>
      </c>
      <c r="C374" s="161" t="s">
        <v>44</v>
      </c>
      <c r="D374" s="162" t="s">
        <v>1110</v>
      </c>
      <c r="E374" s="252">
        <v>46395</v>
      </c>
    </row>
    <row r="375" ht="16" spans="1:5">
      <c r="A375" s="161" t="s">
        <v>1111</v>
      </c>
      <c r="B375" s="161" t="s">
        <v>1112</v>
      </c>
      <c r="C375" s="161" t="s">
        <v>7</v>
      </c>
      <c r="D375" s="162" t="s">
        <v>1113</v>
      </c>
      <c r="E375" s="252">
        <v>46396</v>
      </c>
    </row>
    <row r="376" ht="16" spans="1:5">
      <c r="A376" s="161" t="s">
        <v>1114</v>
      </c>
      <c r="B376" s="161" t="s">
        <v>1115</v>
      </c>
      <c r="C376" s="161" t="s">
        <v>10</v>
      </c>
      <c r="D376" s="162" t="s">
        <v>1116</v>
      </c>
      <c r="E376" s="252">
        <v>46397</v>
      </c>
    </row>
    <row r="377" ht="16" spans="1:5">
      <c r="A377" s="161" t="s">
        <v>1117</v>
      </c>
      <c r="B377" s="161" t="s">
        <v>1118</v>
      </c>
      <c r="C377" s="161" t="s">
        <v>33</v>
      </c>
      <c r="D377" s="162" t="s">
        <v>1119</v>
      </c>
      <c r="E377" s="252">
        <v>46398</v>
      </c>
    </row>
    <row r="378" ht="16" spans="1:5">
      <c r="A378" s="161" t="s">
        <v>1120</v>
      </c>
      <c r="B378" s="161" t="s">
        <v>1121</v>
      </c>
      <c r="C378" s="161" t="s">
        <v>44</v>
      </c>
      <c r="D378" s="162" t="s">
        <v>1122</v>
      </c>
      <c r="E378" s="252">
        <v>46399</v>
      </c>
    </row>
    <row r="379" ht="16" spans="1:5">
      <c r="A379" s="161" t="s">
        <v>1123</v>
      </c>
      <c r="B379" s="161" t="s">
        <v>1124</v>
      </c>
      <c r="C379" s="161" t="s">
        <v>33</v>
      </c>
      <c r="D379" s="162" t="s">
        <v>1125</v>
      </c>
      <c r="E379" s="252">
        <v>46400</v>
      </c>
    </row>
    <row r="380" ht="16" spans="1:5">
      <c r="A380" s="161" t="s">
        <v>1126</v>
      </c>
      <c r="B380" s="161" t="s">
        <v>1127</v>
      </c>
      <c r="C380" s="161" t="s">
        <v>7</v>
      </c>
      <c r="D380" s="162" t="s">
        <v>1128</v>
      </c>
      <c r="E380" s="252">
        <v>46401</v>
      </c>
    </row>
    <row r="381" ht="16" spans="1:5">
      <c r="A381" s="161" t="s">
        <v>1129</v>
      </c>
      <c r="B381" s="161" t="s">
        <v>1130</v>
      </c>
      <c r="C381" s="161" t="s">
        <v>44</v>
      </c>
      <c r="D381" s="162" t="s">
        <v>1131</v>
      </c>
      <c r="E381" s="252">
        <v>46402</v>
      </c>
    </row>
    <row r="382" ht="16" spans="1:5">
      <c r="A382" s="161" t="s">
        <v>1132</v>
      </c>
      <c r="B382" s="161" t="s">
        <v>1133</v>
      </c>
      <c r="C382" s="161" t="s">
        <v>7</v>
      </c>
      <c r="D382" s="162" t="s">
        <v>1134</v>
      </c>
      <c r="E382" s="252">
        <v>46403</v>
      </c>
    </row>
    <row r="383" ht="16" spans="1:5">
      <c r="A383" s="161" t="s">
        <v>1135</v>
      </c>
      <c r="B383" s="161" t="s">
        <v>1136</v>
      </c>
      <c r="C383" s="161" t="s">
        <v>33</v>
      </c>
      <c r="D383" s="162" t="s">
        <v>1137</v>
      </c>
      <c r="E383" s="252">
        <v>46404</v>
      </c>
    </row>
    <row r="384" ht="16" spans="1:5">
      <c r="A384" s="161" t="s">
        <v>1138</v>
      </c>
      <c r="B384" s="161" t="s">
        <v>1139</v>
      </c>
      <c r="C384" s="161" t="s">
        <v>7</v>
      </c>
      <c r="D384" s="162" t="s">
        <v>1140</v>
      </c>
      <c r="E384" s="252">
        <v>46405</v>
      </c>
    </row>
    <row r="385" ht="16" spans="1:5">
      <c r="A385" s="161" t="s">
        <v>1141</v>
      </c>
      <c r="B385" s="161" t="s">
        <v>1142</v>
      </c>
      <c r="C385" s="161" t="s">
        <v>13</v>
      </c>
      <c r="D385" s="162" t="s">
        <v>1143</v>
      </c>
      <c r="E385" s="252">
        <v>46406</v>
      </c>
    </row>
    <row r="386" ht="16" spans="1:5">
      <c r="A386" s="161" t="s">
        <v>1144</v>
      </c>
      <c r="B386" s="161" t="s">
        <v>1145</v>
      </c>
      <c r="C386" s="161" t="s">
        <v>7</v>
      </c>
      <c r="D386" s="162" t="s">
        <v>1146</v>
      </c>
      <c r="E386" s="252">
        <v>46407</v>
      </c>
    </row>
    <row r="387" ht="16" spans="1:5">
      <c r="A387" s="161" t="s">
        <v>1147</v>
      </c>
      <c r="B387" s="161" t="s">
        <v>1148</v>
      </c>
      <c r="C387" s="161" t="s">
        <v>10</v>
      </c>
      <c r="D387" s="162" t="s">
        <v>1149</v>
      </c>
      <c r="E387" s="252">
        <v>46408</v>
      </c>
    </row>
    <row r="388" ht="16" spans="1:5">
      <c r="A388" s="161" t="s">
        <v>1150</v>
      </c>
      <c r="B388" s="161" t="s">
        <v>1151</v>
      </c>
      <c r="C388" s="161" t="s">
        <v>33</v>
      </c>
      <c r="D388" s="162" t="s">
        <v>1152</v>
      </c>
      <c r="E388" s="252">
        <v>46409</v>
      </c>
    </row>
    <row r="389" ht="16" spans="1:5">
      <c r="A389" s="161" t="s">
        <v>1153</v>
      </c>
      <c r="B389" s="161" t="s">
        <v>1154</v>
      </c>
      <c r="C389" s="161" t="s">
        <v>13</v>
      </c>
      <c r="D389" s="162" t="s">
        <v>1155</v>
      </c>
      <c r="E389" s="252">
        <v>46410</v>
      </c>
    </row>
    <row r="390" ht="16" spans="1:5">
      <c r="A390" s="161" t="s">
        <v>1156</v>
      </c>
      <c r="B390" s="161" t="s">
        <v>1157</v>
      </c>
      <c r="C390" s="161" t="s">
        <v>13</v>
      </c>
      <c r="D390" s="162" t="s">
        <v>1158</v>
      </c>
      <c r="E390" s="252">
        <v>46411</v>
      </c>
    </row>
    <row r="391" ht="16" spans="1:5">
      <c r="A391" s="161" t="s">
        <v>1159</v>
      </c>
      <c r="B391" s="161" t="s">
        <v>1160</v>
      </c>
      <c r="C391" s="161" t="s">
        <v>10</v>
      </c>
      <c r="D391" s="162" t="s">
        <v>1161</v>
      </c>
      <c r="E391" s="252">
        <v>46412</v>
      </c>
    </row>
    <row r="392" ht="16" spans="1:5">
      <c r="A392" s="161" t="s">
        <v>1162</v>
      </c>
      <c r="B392" s="161" t="s">
        <v>1163</v>
      </c>
      <c r="C392" s="161" t="s">
        <v>33</v>
      </c>
      <c r="D392" s="162" t="s">
        <v>1164</v>
      </c>
      <c r="E392" s="252">
        <v>46413</v>
      </c>
    </row>
    <row r="393" ht="16" spans="1:5">
      <c r="A393" s="161" t="s">
        <v>1165</v>
      </c>
      <c r="B393" s="161" t="s">
        <v>1166</v>
      </c>
      <c r="C393" s="161" t="s">
        <v>10</v>
      </c>
      <c r="D393" s="162" t="s">
        <v>1167</v>
      </c>
      <c r="E393" s="252">
        <v>46414</v>
      </c>
    </row>
    <row r="394" ht="16" spans="1:5">
      <c r="A394" s="161" t="s">
        <v>1168</v>
      </c>
      <c r="B394" s="161" t="s">
        <v>1169</v>
      </c>
      <c r="C394" s="161" t="s">
        <v>10</v>
      </c>
      <c r="D394" s="162" t="s">
        <v>1170</v>
      </c>
      <c r="E394" s="252">
        <v>46415</v>
      </c>
    </row>
    <row r="395" ht="16" spans="1:5">
      <c r="A395" s="161" t="s">
        <v>1171</v>
      </c>
      <c r="B395" s="161" t="s">
        <v>1172</v>
      </c>
      <c r="C395" s="161" t="s">
        <v>10</v>
      </c>
      <c r="D395" s="162" t="s">
        <v>1173</v>
      </c>
      <c r="E395" s="252">
        <v>46416</v>
      </c>
    </row>
    <row r="396" ht="16" spans="1:5">
      <c r="A396" s="161" t="s">
        <v>1174</v>
      </c>
      <c r="B396" s="161" t="s">
        <v>1175</v>
      </c>
      <c r="C396" s="161" t="s">
        <v>10</v>
      </c>
      <c r="D396" s="162" t="s">
        <v>1176</v>
      </c>
      <c r="E396" s="252">
        <v>46417</v>
      </c>
    </row>
    <row r="397" ht="16" spans="1:5">
      <c r="A397" s="161" t="s">
        <v>1177</v>
      </c>
      <c r="B397" s="161" t="s">
        <v>1178</v>
      </c>
      <c r="C397" s="161" t="s">
        <v>10</v>
      </c>
      <c r="D397" s="162" t="s">
        <v>1179</v>
      </c>
      <c r="E397" s="252">
        <v>46418</v>
      </c>
    </row>
    <row r="398" ht="16" spans="1:5">
      <c r="A398" s="161" t="s">
        <v>1180</v>
      </c>
      <c r="B398" s="161" t="s">
        <v>1181</v>
      </c>
      <c r="C398" s="161" t="s">
        <v>13</v>
      </c>
      <c r="D398" s="162" t="s">
        <v>1182</v>
      </c>
      <c r="E398" s="252">
        <v>46419</v>
      </c>
    </row>
    <row r="399" ht="16" spans="1:5">
      <c r="A399" s="161" t="s">
        <v>1183</v>
      </c>
      <c r="B399" s="161" t="s">
        <v>1184</v>
      </c>
      <c r="C399" s="161" t="s">
        <v>10</v>
      </c>
      <c r="D399" s="162" t="s">
        <v>1185</v>
      </c>
      <c r="E399" s="252">
        <v>46420</v>
      </c>
    </row>
    <row r="400" ht="16" spans="1:5">
      <c r="A400" s="161" t="s">
        <v>1186</v>
      </c>
      <c r="B400" s="161" t="s">
        <v>1187</v>
      </c>
      <c r="C400" s="161" t="s">
        <v>44</v>
      </c>
      <c r="D400" s="162" t="s">
        <v>1188</v>
      </c>
      <c r="E400" s="252">
        <v>46421</v>
      </c>
    </row>
    <row r="401" ht="16" spans="1:5">
      <c r="A401" s="161" t="s">
        <v>1189</v>
      </c>
      <c r="B401" s="161" t="s">
        <v>1190</v>
      </c>
      <c r="C401" s="161" t="s">
        <v>44</v>
      </c>
      <c r="D401" s="162" t="s">
        <v>1191</v>
      </c>
      <c r="E401" s="252">
        <v>46422</v>
      </c>
    </row>
    <row r="402" ht="16" spans="1:5">
      <c r="A402" s="161" t="s">
        <v>1192</v>
      </c>
      <c r="B402" s="161" t="s">
        <v>1193</v>
      </c>
      <c r="C402" s="161" t="s">
        <v>7</v>
      </c>
      <c r="D402" s="162" t="s">
        <v>1194</v>
      </c>
      <c r="E402" s="252">
        <v>46423</v>
      </c>
    </row>
    <row r="403" ht="16" spans="1:5">
      <c r="A403" s="161" t="s">
        <v>1195</v>
      </c>
      <c r="B403" s="161" t="s">
        <v>1196</v>
      </c>
      <c r="C403" s="161" t="s">
        <v>44</v>
      </c>
      <c r="D403" s="162" t="s">
        <v>1197</v>
      </c>
      <c r="E403" s="252">
        <v>46424</v>
      </c>
    </row>
    <row r="404" ht="16" spans="1:5">
      <c r="A404" s="161" t="s">
        <v>1198</v>
      </c>
      <c r="B404" s="161" t="s">
        <v>1199</v>
      </c>
      <c r="C404" s="161" t="s">
        <v>7</v>
      </c>
      <c r="D404" s="162" t="s">
        <v>1200</v>
      </c>
      <c r="E404" s="252">
        <v>46425</v>
      </c>
    </row>
    <row r="405" ht="16" spans="1:5">
      <c r="A405" s="161" t="s">
        <v>1201</v>
      </c>
      <c r="B405" s="161" t="s">
        <v>1202</v>
      </c>
      <c r="C405" s="161" t="s">
        <v>13</v>
      </c>
      <c r="D405" s="162" t="s">
        <v>1203</v>
      </c>
      <c r="E405" s="252">
        <v>46426</v>
      </c>
    </row>
    <row r="406" ht="16" spans="1:5">
      <c r="A406" s="161" t="s">
        <v>1204</v>
      </c>
      <c r="B406" s="161" t="s">
        <v>1205</v>
      </c>
      <c r="C406" s="161" t="s">
        <v>7</v>
      </c>
      <c r="D406" s="162" t="s">
        <v>1206</v>
      </c>
      <c r="E406" s="252">
        <v>46427</v>
      </c>
    </row>
    <row r="407" ht="16" spans="1:5">
      <c r="A407" s="161" t="s">
        <v>1207</v>
      </c>
      <c r="B407" s="161" t="s">
        <v>1208</v>
      </c>
      <c r="C407" s="161" t="s">
        <v>33</v>
      </c>
      <c r="D407" s="162" t="s">
        <v>1209</v>
      </c>
      <c r="E407" s="252">
        <v>46428</v>
      </c>
    </row>
    <row r="408" ht="16" spans="1:5">
      <c r="A408" s="161" t="s">
        <v>1210</v>
      </c>
      <c r="B408" s="161" t="s">
        <v>1211</v>
      </c>
      <c r="C408" s="161" t="s">
        <v>13</v>
      </c>
      <c r="D408" s="162" t="s">
        <v>1212</v>
      </c>
      <c r="E408" s="252">
        <v>46429</v>
      </c>
    </row>
    <row r="409" ht="16" spans="1:5">
      <c r="A409" s="161" t="s">
        <v>1213</v>
      </c>
      <c r="B409" s="161" t="s">
        <v>1214</v>
      </c>
      <c r="C409" s="161" t="s">
        <v>7</v>
      </c>
      <c r="D409" s="162" t="s">
        <v>1215</v>
      </c>
      <c r="E409" s="252">
        <v>46430</v>
      </c>
    </row>
    <row r="410" ht="16" spans="1:5">
      <c r="A410" s="161" t="s">
        <v>1216</v>
      </c>
      <c r="B410" s="161" t="s">
        <v>1217</v>
      </c>
      <c r="C410" s="161" t="s">
        <v>33</v>
      </c>
      <c r="D410" s="162" t="s">
        <v>1218</v>
      </c>
      <c r="E410" s="252">
        <v>46431</v>
      </c>
    </row>
    <row r="411" ht="16" spans="1:5">
      <c r="A411" s="161" t="s">
        <v>1219</v>
      </c>
      <c r="B411" s="161" t="s">
        <v>1220</v>
      </c>
      <c r="C411" s="161" t="s">
        <v>7</v>
      </c>
      <c r="D411" s="162" t="s">
        <v>1221</v>
      </c>
      <c r="E411" s="252">
        <v>46432</v>
      </c>
    </row>
    <row r="412" ht="16" spans="1:5">
      <c r="A412" s="161" t="s">
        <v>1222</v>
      </c>
      <c r="B412" s="161" t="s">
        <v>1223</v>
      </c>
      <c r="C412" s="161" t="s">
        <v>10</v>
      </c>
      <c r="D412" s="162" t="s">
        <v>1224</v>
      </c>
      <c r="E412" s="252">
        <v>46433</v>
      </c>
    </row>
    <row r="413" ht="16" spans="1:5">
      <c r="A413" s="161" t="s">
        <v>1225</v>
      </c>
      <c r="B413" s="161" t="s">
        <v>1226</v>
      </c>
      <c r="C413" s="161" t="s">
        <v>44</v>
      </c>
      <c r="D413" s="162" t="s">
        <v>1227</v>
      </c>
      <c r="E413" s="252">
        <v>46434</v>
      </c>
    </row>
    <row r="414" ht="16" spans="1:5">
      <c r="A414" s="161" t="s">
        <v>1228</v>
      </c>
      <c r="B414" s="161" t="s">
        <v>1229</v>
      </c>
      <c r="C414" s="161" t="s">
        <v>7</v>
      </c>
      <c r="D414" s="162" t="s">
        <v>1230</v>
      </c>
      <c r="E414" s="252">
        <v>46435</v>
      </c>
    </row>
    <row r="415" ht="16" spans="1:5">
      <c r="A415" s="161" t="s">
        <v>1231</v>
      </c>
      <c r="B415" s="161" t="s">
        <v>1232</v>
      </c>
      <c r="C415" s="161" t="s">
        <v>44</v>
      </c>
      <c r="D415" s="162" t="s">
        <v>1233</v>
      </c>
      <c r="E415" s="252">
        <v>46436</v>
      </c>
    </row>
    <row r="416" ht="16" spans="1:5">
      <c r="A416" s="161" t="s">
        <v>1234</v>
      </c>
      <c r="B416" s="161" t="s">
        <v>1235</v>
      </c>
      <c r="C416" s="161" t="s">
        <v>33</v>
      </c>
      <c r="D416" s="162" t="s">
        <v>1236</v>
      </c>
      <c r="E416" s="252">
        <v>46437</v>
      </c>
    </row>
    <row r="417" ht="16" spans="1:5">
      <c r="A417" s="161" t="s">
        <v>1237</v>
      </c>
      <c r="B417" s="161" t="s">
        <v>1238</v>
      </c>
      <c r="C417" s="161" t="s">
        <v>7</v>
      </c>
      <c r="D417" s="162" t="s">
        <v>1239</v>
      </c>
      <c r="E417" s="252">
        <v>46438</v>
      </c>
    </row>
    <row r="418" ht="16" spans="1:5">
      <c r="A418" s="161" t="s">
        <v>1240</v>
      </c>
      <c r="B418" s="161" t="s">
        <v>1241</v>
      </c>
      <c r="C418" s="161" t="s">
        <v>7</v>
      </c>
      <c r="D418" s="162" t="s">
        <v>1242</v>
      </c>
      <c r="E418" s="252">
        <v>46439</v>
      </c>
    </row>
    <row r="419" ht="16" spans="1:5">
      <c r="A419" s="161" t="s">
        <v>1243</v>
      </c>
      <c r="B419" s="161" t="s">
        <v>1244</v>
      </c>
      <c r="C419" s="161" t="s">
        <v>33</v>
      </c>
      <c r="D419" s="162" t="s">
        <v>1245</v>
      </c>
      <c r="E419" s="252">
        <v>46440</v>
      </c>
    </row>
    <row r="420" ht="16" spans="1:5">
      <c r="A420" s="161" t="s">
        <v>1246</v>
      </c>
      <c r="B420" s="161" t="s">
        <v>1247</v>
      </c>
      <c r="C420" s="161" t="s">
        <v>33</v>
      </c>
      <c r="D420" s="162" t="s">
        <v>1248</v>
      </c>
      <c r="E420" s="252">
        <v>46441</v>
      </c>
    </row>
    <row r="421" ht="16" spans="1:5">
      <c r="A421" s="161" t="s">
        <v>1249</v>
      </c>
      <c r="B421" s="161" t="s">
        <v>1250</v>
      </c>
      <c r="C421" s="161" t="s">
        <v>10</v>
      </c>
      <c r="D421" s="162" t="s">
        <v>1251</v>
      </c>
      <c r="E421" s="252">
        <v>46442</v>
      </c>
    </row>
    <row r="422" ht="16" spans="1:5">
      <c r="A422" s="161" t="s">
        <v>1252</v>
      </c>
      <c r="B422" s="161" t="s">
        <v>1253</v>
      </c>
      <c r="C422" s="161" t="s">
        <v>44</v>
      </c>
      <c r="D422" s="162" t="s">
        <v>1254</v>
      </c>
      <c r="E422" s="252">
        <v>46443</v>
      </c>
    </row>
    <row r="423" ht="16" spans="1:5">
      <c r="A423" s="161" t="s">
        <v>1255</v>
      </c>
      <c r="B423" s="161" t="s">
        <v>1256</v>
      </c>
      <c r="C423" s="161" t="s">
        <v>33</v>
      </c>
      <c r="D423" s="162" t="s">
        <v>1257</v>
      </c>
      <c r="E423" s="252">
        <v>46444</v>
      </c>
    </row>
    <row r="424" ht="16" spans="1:5">
      <c r="A424" s="161" t="s">
        <v>1258</v>
      </c>
      <c r="B424" s="161" t="s">
        <v>1259</v>
      </c>
      <c r="C424" s="161" t="s">
        <v>10</v>
      </c>
      <c r="D424" s="162" t="s">
        <v>1260</v>
      </c>
      <c r="E424" s="252">
        <v>46445</v>
      </c>
    </row>
    <row r="425" ht="16" spans="1:5">
      <c r="A425" s="161" t="s">
        <v>1261</v>
      </c>
      <c r="B425" s="161" t="s">
        <v>1262</v>
      </c>
      <c r="C425" s="161" t="s">
        <v>10</v>
      </c>
      <c r="D425" s="162" t="s">
        <v>1263</v>
      </c>
      <c r="E425" s="252">
        <v>46446</v>
      </c>
    </row>
    <row r="426" ht="16" spans="1:5">
      <c r="A426" s="161" t="s">
        <v>1264</v>
      </c>
      <c r="B426" s="161" t="s">
        <v>1265</v>
      </c>
      <c r="C426" s="161" t="s">
        <v>33</v>
      </c>
      <c r="D426" s="162" t="s">
        <v>1266</v>
      </c>
      <c r="E426" s="252">
        <v>46447</v>
      </c>
    </row>
    <row r="427" ht="16" spans="1:5">
      <c r="A427" s="161" t="s">
        <v>1267</v>
      </c>
      <c r="B427" s="161" t="s">
        <v>1268</v>
      </c>
      <c r="C427" s="161" t="s">
        <v>13</v>
      </c>
      <c r="D427" s="162" t="s">
        <v>1269</v>
      </c>
      <c r="E427" s="252">
        <v>46448</v>
      </c>
    </row>
    <row r="428" ht="16" spans="1:5">
      <c r="A428" s="161" t="s">
        <v>1270</v>
      </c>
      <c r="B428" s="161" t="s">
        <v>1271</v>
      </c>
      <c r="C428" s="161" t="s">
        <v>44</v>
      </c>
      <c r="D428" s="162" t="s">
        <v>1272</v>
      </c>
      <c r="E428" s="252">
        <v>46449</v>
      </c>
    </row>
    <row r="429" ht="16" spans="1:5">
      <c r="A429" s="161" t="s">
        <v>1273</v>
      </c>
      <c r="B429" s="161" t="s">
        <v>1274</v>
      </c>
      <c r="C429" s="161" t="s">
        <v>33</v>
      </c>
      <c r="D429" s="162" t="s">
        <v>1275</v>
      </c>
      <c r="E429" s="252">
        <v>46450</v>
      </c>
    </row>
    <row r="430" ht="16" spans="1:5">
      <c r="A430" s="161" t="s">
        <v>1276</v>
      </c>
      <c r="B430" s="161" t="s">
        <v>1277</v>
      </c>
      <c r="C430" s="161" t="s">
        <v>7</v>
      </c>
      <c r="D430" s="162" t="s">
        <v>1278</v>
      </c>
      <c r="E430" s="252">
        <v>46451</v>
      </c>
    </row>
    <row r="431" ht="16" spans="1:5">
      <c r="A431" s="161" t="s">
        <v>1279</v>
      </c>
      <c r="B431" s="161" t="s">
        <v>1280</v>
      </c>
      <c r="C431" s="161" t="s">
        <v>13</v>
      </c>
      <c r="D431" s="162" t="s">
        <v>1281</v>
      </c>
      <c r="E431" s="252">
        <v>46452</v>
      </c>
    </row>
    <row r="432" ht="16" spans="1:5">
      <c r="A432" s="161" t="s">
        <v>1282</v>
      </c>
      <c r="B432" s="161" t="s">
        <v>1283</v>
      </c>
      <c r="C432" s="161" t="s">
        <v>7</v>
      </c>
      <c r="D432" s="162" t="s">
        <v>1284</v>
      </c>
      <c r="E432" s="252">
        <v>46453</v>
      </c>
    </row>
    <row r="433" ht="16" spans="1:5">
      <c r="A433" s="161" t="s">
        <v>1285</v>
      </c>
      <c r="B433" s="161" t="s">
        <v>1286</v>
      </c>
      <c r="C433" s="161" t="s">
        <v>33</v>
      </c>
      <c r="D433" s="162" t="s">
        <v>1287</v>
      </c>
      <c r="E433" s="252">
        <v>46454</v>
      </c>
    </row>
    <row r="434" ht="16" spans="1:5">
      <c r="A434" s="161" t="s">
        <v>1288</v>
      </c>
      <c r="B434" s="161" t="s">
        <v>1289</v>
      </c>
      <c r="C434" s="161" t="s">
        <v>10</v>
      </c>
      <c r="D434" s="162" t="s">
        <v>1290</v>
      </c>
      <c r="E434" s="252">
        <v>46455</v>
      </c>
    </row>
    <row r="435" ht="16" spans="1:5">
      <c r="A435" s="161" t="s">
        <v>1291</v>
      </c>
      <c r="B435" s="161" t="s">
        <v>1292</v>
      </c>
      <c r="C435" s="161" t="s">
        <v>33</v>
      </c>
      <c r="D435" s="162" t="s">
        <v>1293</v>
      </c>
      <c r="E435" s="252">
        <v>46456</v>
      </c>
    </row>
    <row r="436" ht="16" spans="1:5">
      <c r="A436" s="161" t="s">
        <v>1294</v>
      </c>
      <c r="B436" s="161" t="s">
        <v>1295</v>
      </c>
      <c r="C436" s="161" t="s">
        <v>10</v>
      </c>
      <c r="D436" s="162" t="s">
        <v>1296</v>
      </c>
      <c r="E436" s="252">
        <v>46457</v>
      </c>
    </row>
    <row r="437" ht="16" spans="1:5">
      <c r="A437" s="161" t="s">
        <v>1297</v>
      </c>
      <c r="B437" s="161" t="s">
        <v>1298</v>
      </c>
      <c r="C437" s="161" t="s">
        <v>7</v>
      </c>
      <c r="D437" s="162" t="s">
        <v>1299</v>
      </c>
      <c r="E437" s="252">
        <v>46458</v>
      </c>
    </row>
    <row r="438" ht="16" spans="1:5">
      <c r="A438" s="161" t="s">
        <v>1300</v>
      </c>
      <c r="B438" s="161" t="s">
        <v>1301</v>
      </c>
      <c r="C438" s="161" t="s">
        <v>33</v>
      </c>
      <c r="D438" s="162" t="s">
        <v>1302</v>
      </c>
      <c r="E438" s="252">
        <v>46459</v>
      </c>
    </row>
    <row r="439" ht="16" spans="1:5">
      <c r="A439" s="161" t="s">
        <v>1303</v>
      </c>
      <c r="B439" s="161" t="s">
        <v>1304</v>
      </c>
      <c r="C439" s="161" t="s">
        <v>7</v>
      </c>
      <c r="D439" s="162" t="s">
        <v>1305</v>
      </c>
      <c r="E439" s="252">
        <v>46460</v>
      </c>
    </row>
    <row r="440" ht="16" spans="1:5">
      <c r="A440" s="161" t="s">
        <v>1306</v>
      </c>
      <c r="B440" s="161" t="s">
        <v>1307</v>
      </c>
      <c r="C440" s="161" t="s">
        <v>7</v>
      </c>
      <c r="D440" s="162" t="s">
        <v>1308</v>
      </c>
      <c r="E440" s="252">
        <v>46461</v>
      </c>
    </row>
    <row r="441" ht="16" spans="1:5">
      <c r="A441" s="161" t="s">
        <v>1309</v>
      </c>
      <c r="B441" s="161" t="s">
        <v>1310</v>
      </c>
      <c r="C441" s="161" t="s">
        <v>44</v>
      </c>
      <c r="D441" s="162" t="s">
        <v>1311</v>
      </c>
      <c r="E441" s="252">
        <v>46462</v>
      </c>
    </row>
    <row r="442" ht="16" spans="1:5">
      <c r="A442" s="161" t="s">
        <v>1312</v>
      </c>
      <c r="B442" s="161" t="s">
        <v>1313</v>
      </c>
      <c r="C442" s="161" t="s">
        <v>44</v>
      </c>
      <c r="D442" s="162" t="s">
        <v>1314</v>
      </c>
      <c r="E442" s="252">
        <v>46463</v>
      </c>
    </row>
    <row r="443" ht="16" spans="1:5">
      <c r="A443" s="161" t="s">
        <v>1315</v>
      </c>
      <c r="B443" s="161" t="s">
        <v>1316</v>
      </c>
      <c r="C443" s="161" t="s">
        <v>13</v>
      </c>
      <c r="D443" s="162" t="s">
        <v>1317</v>
      </c>
      <c r="E443" s="252">
        <v>46464</v>
      </c>
    </row>
    <row r="444" ht="16" spans="1:5">
      <c r="A444" s="161" t="s">
        <v>1318</v>
      </c>
      <c r="B444" s="161" t="s">
        <v>1319</v>
      </c>
      <c r="C444" s="161" t="s">
        <v>10</v>
      </c>
      <c r="D444" s="162" t="s">
        <v>1320</v>
      </c>
      <c r="E444" s="252">
        <v>46465</v>
      </c>
    </row>
    <row r="445" ht="16" spans="1:5">
      <c r="A445" s="161" t="s">
        <v>1321</v>
      </c>
      <c r="B445" s="161" t="s">
        <v>1322</v>
      </c>
      <c r="C445" s="161" t="s">
        <v>13</v>
      </c>
      <c r="D445" s="162" t="s">
        <v>1323</v>
      </c>
      <c r="E445" s="252">
        <v>46466</v>
      </c>
    </row>
    <row r="446" ht="16" spans="1:5">
      <c r="A446" s="161" t="s">
        <v>1324</v>
      </c>
      <c r="B446" s="161" t="s">
        <v>1325</v>
      </c>
      <c r="C446" s="161" t="s">
        <v>10</v>
      </c>
      <c r="D446" s="162" t="s">
        <v>1326</v>
      </c>
      <c r="E446" s="252">
        <v>46467</v>
      </c>
    </row>
    <row r="447" ht="16" spans="1:5">
      <c r="A447" s="161" t="s">
        <v>1327</v>
      </c>
      <c r="B447" s="161" t="s">
        <v>1328</v>
      </c>
      <c r="C447" s="161" t="s">
        <v>13</v>
      </c>
      <c r="D447" s="162" t="s">
        <v>1329</v>
      </c>
      <c r="E447" s="252">
        <v>46468</v>
      </c>
    </row>
    <row r="448" ht="16" spans="1:5">
      <c r="A448" s="161" t="s">
        <v>1330</v>
      </c>
      <c r="B448" s="161" t="s">
        <v>1331</v>
      </c>
      <c r="C448" s="161" t="s">
        <v>44</v>
      </c>
      <c r="D448" s="162" t="s">
        <v>1332</v>
      </c>
      <c r="E448" s="252">
        <v>46469</v>
      </c>
    </row>
    <row r="449" ht="16" spans="1:5">
      <c r="A449" s="161" t="s">
        <v>1333</v>
      </c>
      <c r="B449" s="161" t="s">
        <v>1334</v>
      </c>
      <c r="C449" s="161" t="s">
        <v>10</v>
      </c>
      <c r="D449" s="162" t="s">
        <v>1335</v>
      </c>
      <c r="E449" s="252">
        <v>46470</v>
      </c>
    </row>
    <row r="450" ht="16" spans="1:5">
      <c r="A450" s="161" t="s">
        <v>1336</v>
      </c>
      <c r="B450" s="161" t="s">
        <v>1337</v>
      </c>
      <c r="C450" s="161" t="s">
        <v>33</v>
      </c>
      <c r="D450" s="162" t="s">
        <v>1338</v>
      </c>
      <c r="E450" s="252">
        <v>46471</v>
      </c>
    </row>
    <row r="451" ht="16" spans="1:5">
      <c r="A451" s="161" t="s">
        <v>1339</v>
      </c>
      <c r="B451" s="161" t="s">
        <v>1340</v>
      </c>
      <c r="C451" s="161" t="s">
        <v>7</v>
      </c>
      <c r="D451" s="162" t="s">
        <v>1341</v>
      </c>
      <c r="E451" s="252">
        <v>46472</v>
      </c>
    </row>
    <row r="452" ht="16" spans="1:5">
      <c r="A452" s="161" t="s">
        <v>1342</v>
      </c>
      <c r="B452" s="161" t="s">
        <v>1343</v>
      </c>
      <c r="C452" s="161" t="s">
        <v>7</v>
      </c>
      <c r="D452" s="162" t="s">
        <v>1344</v>
      </c>
      <c r="E452" s="252">
        <v>46473</v>
      </c>
    </row>
    <row r="453" ht="16" spans="1:5">
      <c r="A453" s="161" t="s">
        <v>1345</v>
      </c>
      <c r="B453" s="161" t="s">
        <v>1346</v>
      </c>
      <c r="C453" s="161" t="s">
        <v>33</v>
      </c>
      <c r="D453" s="162" t="s">
        <v>1347</v>
      </c>
      <c r="E453" s="252">
        <v>46474</v>
      </c>
    </row>
    <row r="454" ht="16" spans="1:5">
      <c r="A454" s="161" t="s">
        <v>1348</v>
      </c>
      <c r="B454" s="161" t="s">
        <v>1349</v>
      </c>
      <c r="C454" s="161" t="s">
        <v>10</v>
      </c>
      <c r="D454" s="162" t="s">
        <v>1350</v>
      </c>
      <c r="E454" s="252">
        <v>46475</v>
      </c>
    </row>
    <row r="455" ht="16" spans="1:5">
      <c r="A455" s="161" t="s">
        <v>1351</v>
      </c>
      <c r="B455" s="161" t="s">
        <v>1352</v>
      </c>
      <c r="C455" s="161" t="s">
        <v>33</v>
      </c>
      <c r="D455" s="162" t="s">
        <v>1353</v>
      </c>
      <c r="E455" s="252">
        <v>46476</v>
      </c>
    </row>
    <row r="456" ht="16" spans="1:5">
      <c r="A456" s="161" t="s">
        <v>1354</v>
      </c>
      <c r="B456" s="161" t="s">
        <v>1355</v>
      </c>
      <c r="C456" s="161" t="s">
        <v>13</v>
      </c>
      <c r="D456" s="162" t="s">
        <v>1356</v>
      </c>
      <c r="E456" s="252">
        <v>46477</v>
      </c>
    </row>
    <row r="457" ht="16" spans="1:5">
      <c r="A457" s="161" t="s">
        <v>1357</v>
      </c>
      <c r="B457" s="161" t="s">
        <v>1358</v>
      </c>
      <c r="C457" s="161" t="s">
        <v>7</v>
      </c>
      <c r="D457" s="162" t="s">
        <v>1359</v>
      </c>
      <c r="E457" s="252">
        <v>46478</v>
      </c>
    </row>
    <row r="458" ht="16" spans="1:5">
      <c r="A458" s="161" t="s">
        <v>1360</v>
      </c>
      <c r="B458" s="161" t="s">
        <v>1361</v>
      </c>
      <c r="C458" s="161" t="s">
        <v>7</v>
      </c>
      <c r="D458" s="162" t="s">
        <v>1362</v>
      </c>
      <c r="E458" s="252">
        <v>46479</v>
      </c>
    </row>
    <row r="459" ht="16" spans="1:5">
      <c r="A459" s="161" t="s">
        <v>1363</v>
      </c>
      <c r="B459" s="161" t="s">
        <v>1364</v>
      </c>
      <c r="C459" s="161" t="s">
        <v>7</v>
      </c>
      <c r="D459" s="162" t="s">
        <v>1365</v>
      </c>
      <c r="E459" s="252">
        <v>46480</v>
      </c>
    </row>
    <row r="460" ht="16" spans="1:5">
      <c r="A460" s="161" t="s">
        <v>1366</v>
      </c>
      <c r="B460" s="161" t="s">
        <v>1367</v>
      </c>
      <c r="C460" s="161" t="s">
        <v>10</v>
      </c>
      <c r="D460" s="162" t="s">
        <v>1368</v>
      </c>
      <c r="E460" s="252">
        <v>46481</v>
      </c>
    </row>
    <row r="461" ht="16" spans="1:5">
      <c r="A461" s="161" t="s">
        <v>1369</v>
      </c>
      <c r="B461" s="161" t="s">
        <v>1370</v>
      </c>
      <c r="C461" s="161" t="s">
        <v>33</v>
      </c>
      <c r="D461" s="162" t="s">
        <v>1371</v>
      </c>
      <c r="E461" s="252">
        <v>46482</v>
      </c>
    </row>
    <row r="462" ht="16" spans="1:5">
      <c r="A462" s="161" t="s">
        <v>1372</v>
      </c>
      <c r="B462" s="161" t="s">
        <v>1373</v>
      </c>
      <c r="C462" s="161" t="s">
        <v>10</v>
      </c>
      <c r="D462" s="162" t="s">
        <v>1374</v>
      </c>
      <c r="E462" s="252">
        <v>46483</v>
      </c>
    </row>
    <row r="463" ht="16" spans="1:5">
      <c r="A463" s="161" t="s">
        <v>1375</v>
      </c>
      <c r="B463" s="161" t="s">
        <v>1376</v>
      </c>
      <c r="C463" s="161" t="s">
        <v>10</v>
      </c>
      <c r="D463" s="162" t="s">
        <v>1377</v>
      </c>
      <c r="E463" s="252">
        <v>46484</v>
      </c>
    </row>
    <row r="464" ht="16" spans="1:5">
      <c r="A464" s="161" t="s">
        <v>1378</v>
      </c>
      <c r="B464" s="161" t="s">
        <v>1379</v>
      </c>
      <c r="C464" s="161" t="s">
        <v>13</v>
      </c>
      <c r="D464" s="162" t="s">
        <v>1380</v>
      </c>
      <c r="E464" s="252">
        <v>46485</v>
      </c>
    </row>
    <row r="465" ht="16" spans="1:5">
      <c r="A465" s="161" t="s">
        <v>1381</v>
      </c>
      <c r="B465" s="161" t="s">
        <v>1382</v>
      </c>
      <c r="C465" s="161" t="s">
        <v>10</v>
      </c>
      <c r="D465" s="162" t="s">
        <v>1383</v>
      </c>
      <c r="E465" s="252">
        <v>46486</v>
      </c>
    </row>
    <row r="466" ht="16" spans="1:5">
      <c r="A466" s="161" t="s">
        <v>1384</v>
      </c>
      <c r="B466" s="161" t="s">
        <v>1385</v>
      </c>
      <c r="C466" s="161" t="s">
        <v>33</v>
      </c>
      <c r="D466" s="162" t="s">
        <v>1386</v>
      </c>
      <c r="E466" s="252">
        <v>46487</v>
      </c>
    </row>
    <row r="467" ht="16" spans="1:5">
      <c r="A467" s="161" t="s">
        <v>1387</v>
      </c>
      <c r="B467" s="161" t="s">
        <v>1388</v>
      </c>
      <c r="C467" s="161" t="s">
        <v>7</v>
      </c>
      <c r="D467" s="162" t="s">
        <v>1389</v>
      </c>
      <c r="E467" s="252">
        <v>46488</v>
      </c>
    </row>
    <row r="468" ht="16" spans="1:5">
      <c r="A468" s="161" t="s">
        <v>1390</v>
      </c>
      <c r="B468" s="161" t="s">
        <v>1391</v>
      </c>
      <c r="C468" s="161" t="s">
        <v>44</v>
      </c>
      <c r="D468" s="162" t="s">
        <v>1392</v>
      </c>
      <c r="E468" s="252">
        <v>46489</v>
      </c>
    </row>
    <row r="469" ht="16" spans="1:5">
      <c r="A469" s="161" t="s">
        <v>1393</v>
      </c>
      <c r="B469" s="161" t="s">
        <v>1394</v>
      </c>
      <c r="C469" s="161" t="s">
        <v>7</v>
      </c>
      <c r="D469" s="162" t="s">
        <v>1395</v>
      </c>
      <c r="E469" s="252">
        <v>46490</v>
      </c>
    </row>
    <row r="470" ht="16" spans="1:5">
      <c r="A470" s="161" t="s">
        <v>1396</v>
      </c>
      <c r="B470" s="161" t="s">
        <v>1397</v>
      </c>
      <c r="C470" s="161" t="s">
        <v>10</v>
      </c>
      <c r="D470" s="162" t="s">
        <v>1398</v>
      </c>
      <c r="E470" s="252">
        <v>46491</v>
      </c>
    </row>
    <row r="471" ht="16" spans="1:5">
      <c r="A471" s="161" t="s">
        <v>1399</v>
      </c>
      <c r="B471" s="161" t="s">
        <v>1400</v>
      </c>
      <c r="C471" s="161" t="s">
        <v>33</v>
      </c>
      <c r="D471" s="162" t="s">
        <v>1401</v>
      </c>
      <c r="E471" s="252">
        <v>46492</v>
      </c>
    </row>
    <row r="472" ht="16" spans="1:5">
      <c r="A472" s="161" t="s">
        <v>1402</v>
      </c>
      <c r="B472" s="161" t="s">
        <v>1403</v>
      </c>
      <c r="C472" s="161" t="s">
        <v>7</v>
      </c>
      <c r="D472" s="162" t="s">
        <v>1404</v>
      </c>
      <c r="E472" s="252">
        <v>46493</v>
      </c>
    </row>
    <row r="473" ht="16" spans="1:5">
      <c r="A473" s="161" t="s">
        <v>1405</v>
      </c>
      <c r="B473" s="161" t="s">
        <v>1406</v>
      </c>
      <c r="C473" s="161" t="s">
        <v>13</v>
      </c>
      <c r="D473" s="162" t="s">
        <v>1407</v>
      </c>
      <c r="E473" s="252">
        <v>46494</v>
      </c>
    </row>
    <row r="474" ht="16" spans="1:5">
      <c r="A474" s="161" t="s">
        <v>1408</v>
      </c>
      <c r="B474" s="161" t="s">
        <v>1409</v>
      </c>
      <c r="C474" s="161" t="s">
        <v>10</v>
      </c>
      <c r="D474" s="162" t="s">
        <v>1410</v>
      </c>
      <c r="E474" s="252">
        <v>46495</v>
      </c>
    </row>
    <row r="475" ht="16" spans="1:5">
      <c r="A475" s="161" t="s">
        <v>1411</v>
      </c>
      <c r="B475" s="161" t="s">
        <v>1412</v>
      </c>
      <c r="C475" s="161" t="s">
        <v>13</v>
      </c>
      <c r="D475" s="162" t="s">
        <v>1413</v>
      </c>
      <c r="E475" s="252">
        <v>46496</v>
      </c>
    </row>
    <row r="476" ht="16" spans="1:5">
      <c r="A476" s="161" t="s">
        <v>1414</v>
      </c>
      <c r="B476" s="161" t="s">
        <v>1415</v>
      </c>
      <c r="C476" s="161" t="s">
        <v>10</v>
      </c>
      <c r="D476" s="162" t="s">
        <v>1416</v>
      </c>
      <c r="E476" s="252">
        <v>46497</v>
      </c>
    </row>
    <row r="477" ht="16" spans="1:5">
      <c r="A477" s="161" t="s">
        <v>1417</v>
      </c>
      <c r="B477" s="161" t="s">
        <v>1418</v>
      </c>
      <c r="C477" s="161" t="s">
        <v>7</v>
      </c>
      <c r="D477" s="162" t="s">
        <v>1419</v>
      </c>
      <c r="E477" s="252">
        <v>46498</v>
      </c>
    </row>
    <row r="478" ht="16" spans="1:5">
      <c r="A478" s="161" t="s">
        <v>1420</v>
      </c>
      <c r="B478" s="161" t="s">
        <v>1421</v>
      </c>
      <c r="C478" s="161" t="s">
        <v>13</v>
      </c>
      <c r="D478" s="162" t="s">
        <v>1422</v>
      </c>
      <c r="E478" s="252">
        <v>46499</v>
      </c>
    </row>
    <row r="479" ht="16" spans="1:5">
      <c r="A479" s="161" t="s">
        <v>1423</v>
      </c>
      <c r="B479" s="161" t="s">
        <v>1424</v>
      </c>
      <c r="C479" s="161" t="s">
        <v>10</v>
      </c>
      <c r="D479" s="162" t="s">
        <v>1425</v>
      </c>
      <c r="E479" s="252">
        <v>46500</v>
      </c>
    </row>
    <row r="480" ht="16" spans="1:5">
      <c r="A480" s="161" t="s">
        <v>1426</v>
      </c>
      <c r="B480" s="161" t="s">
        <v>1427</v>
      </c>
      <c r="C480" s="161" t="s">
        <v>7</v>
      </c>
      <c r="D480" s="162" t="s">
        <v>1428</v>
      </c>
      <c r="E480" s="252">
        <v>46501</v>
      </c>
    </row>
    <row r="481" ht="16" spans="1:5">
      <c r="A481" s="161" t="s">
        <v>1429</v>
      </c>
      <c r="B481" s="161" t="s">
        <v>1430</v>
      </c>
      <c r="C481" s="161" t="s">
        <v>33</v>
      </c>
      <c r="D481" s="162" t="s">
        <v>1431</v>
      </c>
      <c r="E481" s="252">
        <v>46502</v>
      </c>
    </row>
    <row r="482" ht="16" spans="1:5">
      <c r="A482" s="161" t="s">
        <v>1432</v>
      </c>
      <c r="B482" s="161" t="s">
        <v>1433</v>
      </c>
      <c r="C482" s="161" t="s">
        <v>7</v>
      </c>
      <c r="D482" s="162" t="s">
        <v>1434</v>
      </c>
      <c r="E482" s="252">
        <v>46503</v>
      </c>
    </row>
    <row r="483" ht="16" spans="1:5">
      <c r="A483" s="161" t="s">
        <v>1435</v>
      </c>
      <c r="B483" s="161" t="s">
        <v>1436</v>
      </c>
      <c r="C483" s="161" t="s">
        <v>10</v>
      </c>
      <c r="D483" s="162" t="s">
        <v>1437</v>
      </c>
      <c r="E483" s="252">
        <v>46504</v>
      </c>
    </row>
    <row r="484" ht="16" spans="1:5">
      <c r="A484" s="161" t="s">
        <v>1438</v>
      </c>
      <c r="B484" s="161" t="s">
        <v>1439</v>
      </c>
      <c r="C484" s="161" t="s">
        <v>44</v>
      </c>
      <c r="D484" s="162" t="s">
        <v>1440</v>
      </c>
      <c r="E484" s="252">
        <v>46505</v>
      </c>
    </row>
    <row r="485" ht="16" spans="1:5">
      <c r="A485" s="161" t="s">
        <v>1441</v>
      </c>
      <c r="B485" s="161" t="s">
        <v>1442</v>
      </c>
      <c r="C485" s="161" t="s">
        <v>33</v>
      </c>
      <c r="D485" s="162" t="s">
        <v>1443</v>
      </c>
      <c r="E485" s="252">
        <v>46506</v>
      </c>
    </row>
    <row r="486" ht="16" spans="1:5">
      <c r="A486" s="161" t="s">
        <v>1444</v>
      </c>
      <c r="B486" s="161" t="s">
        <v>1445</v>
      </c>
      <c r="C486" s="161" t="s">
        <v>10</v>
      </c>
      <c r="D486" s="162" t="s">
        <v>1446</v>
      </c>
      <c r="E486" s="252">
        <v>46507</v>
      </c>
    </row>
    <row r="487" ht="16" spans="1:5">
      <c r="A487" s="161" t="s">
        <v>1447</v>
      </c>
      <c r="B487" s="161" t="s">
        <v>1448</v>
      </c>
      <c r="C487" s="161" t="s">
        <v>13</v>
      </c>
      <c r="D487" s="162" t="s">
        <v>1449</v>
      </c>
      <c r="E487" s="252">
        <v>46508</v>
      </c>
    </row>
    <row r="488" ht="16" spans="1:5">
      <c r="A488" s="161" t="s">
        <v>1450</v>
      </c>
      <c r="B488" s="161" t="s">
        <v>1451</v>
      </c>
      <c r="C488" s="161" t="s">
        <v>13</v>
      </c>
      <c r="D488" s="162" t="s">
        <v>1452</v>
      </c>
      <c r="E488" s="252">
        <v>46509</v>
      </c>
    </row>
    <row r="489" ht="16" spans="1:5">
      <c r="A489" s="161" t="s">
        <v>1453</v>
      </c>
      <c r="B489" s="161" t="s">
        <v>1454</v>
      </c>
      <c r="C489" s="161" t="s">
        <v>7</v>
      </c>
      <c r="D489" s="162" t="s">
        <v>1455</v>
      </c>
      <c r="E489" s="252">
        <v>46510</v>
      </c>
    </row>
    <row r="490" ht="16" spans="1:5">
      <c r="A490" s="161" t="s">
        <v>1456</v>
      </c>
      <c r="B490" s="161" t="s">
        <v>1457</v>
      </c>
      <c r="C490" s="161" t="s">
        <v>13</v>
      </c>
      <c r="D490" s="162" t="s">
        <v>1458</v>
      </c>
      <c r="E490" s="252">
        <v>46511</v>
      </c>
    </row>
    <row r="491" ht="16" spans="1:5">
      <c r="A491" s="161" t="s">
        <v>1459</v>
      </c>
      <c r="B491" s="161" t="s">
        <v>1460</v>
      </c>
      <c r="C491" s="161" t="s">
        <v>33</v>
      </c>
      <c r="D491" s="162" t="s">
        <v>1461</v>
      </c>
      <c r="E491" s="252">
        <v>46512</v>
      </c>
    </row>
    <row r="492" ht="16" spans="1:5">
      <c r="A492" s="161" t="s">
        <v>1462</v>
      </c>
      <c r="B492" s="161" t="s">
        <v>1463</v>
      </c>
      <c r="C492" s="161" t="s">
        <v>13</v>
      </c>
      <c r="D492" s="162" t="s">
        <v>1464</v>
      </c>
      <c r="E492" s="252">
        <v>46513</v>
      </c>
    </row>
    <row r="493" ht="16" spans="1:5">
      <c r="A493" s="161" t="s">
        <v>1465</v>
      </c>
      <c r="B493" s="161" t="s">
        <v>1466</v>
      </c>
      <c r="C493" s="161" t="s">
        <v>7</v>
      </c>
      <c r="D493" s="162" t="s">
        <v>1467</v>
      </c>
      <c r="E493" s="252">
        <v>46514</v>
      </c>
    </row>
    <row r="494" ht="16" spans="1:5">
      <c r="A494" s="161" t="s">
        <v>1468</v>
      </c>
      <c r="B494" s="161" t="s">
        <v>1469</v>
      </c>
      <c r="C494" s="161" t="s">
        <v>13</v>
      </c>
      <c r="D494" s="162" t="s">
        <v>1470</v>
      </c>
      <c r="E494" s="252">
        <v>46515</v>
      </c>
    </row>
    <row r="495" ht="16" spans="1:5">
      <c r="A495" s="161" t="s">
        <v>1471</v>
      </c>
      <c r="B495" s="161" t="s">
        <v>1472</v>
      </c>
      <c r="C495" s="161" t="s">
        <v>44</v>
      </c>
      <c r="D495" s="162" t="s">
        <v>1473</v>
      </c>
      <c r="E495" s="252">
        <v>46516</v>
      </c>
    </row>
    <row r="496" ht="16" spans="1:5">
      <c r="A496" s="161" t="s">
        <v>1474</v>
      </c>
      <c r="B496" s="161" t="s">
        <v>1475</v>
      </c>
      <c r="C496" s="161" t="s">
        <v>33</v>
      </c>
      <c r="D496" s="162" t="s">
        <v>1476</v>
      </c>
      <c r="E496" s="252">
        <v>46517</v>
      </c>
    </row>
    <row r="497" ht="16" spans="1:5">
      <c r="A497" s="161" t="s">
        <v>1477</v>
      </c>
      <c r="B497" s="161" t="s">
        <v>1478</v>
      </c>
      <c r="C497" s="161" t="s">
        <v>10</v>
      </c>
      <c r="D497" s="162" t="s">
        <v>1479</v>
      </c>
      <c r="E497" s="252">
        <v>46518</v>
      </c>
    </row>
    <row r="498" ht="16" spans="1:5">
      <c r="A498" s="161" t="s">
        <v>1480</v>
      </c>
      <c r="B498" s="161" t="s">
        <v>1481</v>
      </c>
      <c r="C498" s="161" t="s">
        <v>13</v>
      </c>
      <c r="D498" s="162" t="s">
        <v>1482</v>
      </c>
      <c r="E498" s="252">
        <v>46519</v>
      </c>
    </row>
    <row r="499" ht="16" spans="1:5">
      <c r="A499" s="161" t="s">
        <v>1483</v>
      </c>
      <c r="B499" s="161" t="s">
        <v>1484</v>
      </c>
      <c r="C499" s="161" t="s">
        <v>33</v>
      </c>
      <c r="D499" s="162" t="s">
        <v>1485</v>
      </c>
      <c r="E499" s="252">
        <v>46520</v>
      </c>
    </row>
    <row r="500" ht="16" spans="1:5">
      <c r="A500" s="161" t="s">
        <v>1486</v>
      </c>
      <c r="B500" s="161" t="s">
        <v>1487</v>
      </c>
      <c r="C500" s="161" t="s">
        <v>7</v>
      </c>
      <c r="D500" s="162" t="s">
        <v>1488</v>
      </c>
      <c r="E500" s="252">
        <v>46521</v>
      </c>
    </row>
    <row r="501" ht="16" spans="1:5">
      <c r="A501" s="161" t="s">
        <v>1489</v>
      </c>
      <c r="B501" s="161" t="s">
        <v>1490</v>
      </c>
      <c r="C501" s="161" t="s">
        <v>10</v>
      </c>
      <c r="D501" s="162" t="s">
        <v>1491</v>
      </c>
      <c r="E501" s="252">
        <v>46522</v>
      </c>
    </row>
    <row r="502" ht="15.25"/>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02"/>
  <sheetViews>
    <sheetView zoomScale="117" zoomScaleNormal="117" topLeftCell="A42" workbookViewId="0">
      <selection activeCell="I51" sqref="I51"/>
    </sheetView>
  </sheetViews>
  <sheetFormatPr defaultColWidth="8.75454545454545" defaultRowHeight="14.5"/>
  <cols>
    <col min="1" max="1" width="11.6272727272727" style="245" customWidth="1"/>
    <col min="2" max="2" width="12.7545454545455" style="245" customWidth="1"/>
    <col min="3" max="3" width="10.8727272727273" style="245" customWidth="1"/>
    <col min="4" max="4" width="10.7545454545455" style="227" customWidth="1"/>
    <col min="5" max="5" width="11.3727272727273" style="172" customWidth="1"/>
    <col min="6" max="6" width="17.8727272727273" customWidth="1"/>
    <col min="7" max="7" width="11"/>
  </cols>
  <sheetData>
    <row r="1" ht="16" spans="1:11">
      <c r="A1" s="153" t="s">
        <v>0</v>
      </c>
      <c r="B1" s="153" t="s">
        <v>1</v>
      </c>
      <c r="C1" s="153" t="s">
        <v>2</v>
      </c>
      <c r="D1" s="154" t="s">
        <v>3</v>
      </c>
      <c r="E1" s="155" t="s">
        <v>4</v>
      </c>
      <c r="F1" s="155" t="s">
        <v>1492</v>
      </c>
      <c r="G1" s="155" t="s">
        <v>1493</v>
      </c>
      <c r="H1" s="155" t="s">
        <v>1494</v>
      </c>
    </row>
    <row r="2" ht="16" spans="1:11">
      <c r="A2" s="161" t="s">
        <v>5</v>
      </c>
      <c r="B2" s="161" t="s">
        <v>6</v>
      </c>
      <c r="C2" s="161" t="s">
        <v>7</v>
      </c>
      <c r="D2" s="162">
        <v>41954</v>
      </c>
      <c r="E2" s="252">
        <v>46023</v>
      </c>
      <c r="F2" s="164">
        <v>5</v>
      </c>
      <c r="G2" s="164">
        <v>9</v>
      </c>
      <c r="H2" s="164" t="s">
        <v>1495</v>
      </c>
      <c r="I2" s="253" t="s">
        <v>1496</v>
      </c>
      <c r="J2" s="253"/>
      <c r="K2" s="253"/>
    </row>
    <row r="3" ht="16" spans="1:11">
      <c r="A3" s="161" t="s">
        <v>8</v>
      </c>
      <c r="B3" s="161" t="s">
        <v>9</v>
      </c>
      <c r="C3" s="161" t="s">
        <v>10</v>
      </c>
      <c r="D3" s="162">
        <v>49855</v>
      </c>
      <c r="E3" s="252">
        <v>46024</v>
      </c>
      <c r="F3" s="164">
        <v>6</v>
      </c>
      <c r="G3" s="164">
        <v>5</v>
      </c>
      <c r="H3" s="164" t="s">
        <v>1497</v>
      </c>
      <c r="I3" s="253"/>
      <c r="J3" s="253"/>
      <c r="K3" s="253"/>
    </row>
    <row r="4" ht="16" spans="1:11">
      <c r="A4" s="161" t="s">
        <v>11</v>
      </c>
      <c r="B4" s="161" t="s">
        <v>12</v>
      </c>
      <c r="C4" s="161" t="s">
        <v>13</v>
      </c>
      <c r="D4" s="162">
        <v>94210</v>
      </c>
      <c r="E4" s="252">
        <v>46025</v>
      </c>
      <c r="F4" s="164">
        <v>7</v>
      </c>
      <c r="G4" s="164">
        <v>3</v>
      </c>
      <c r="H4" s="164" t="s">
        <v>1498</v>
      </c>
      <c r="I4" s="253"/>
      <c r="J4" s="253"/>
      <c r="K4" s="253"/>
    </row>
    <row r="5" ht="16" spans="1:11">
      <c r="A5" s="161" t="s">
        <v>14</v>
      </c>
      <c r="B5" s="161" t="s">
        <v>15</v>
      </c>
      <c r="C5" s="161" t="s">
        <v>7</v>
      </c>
      <c r="D5" s="162">
        <v>74689</v>
      </c>
      <c r="E5" s="252">
        <v>46026</v>
      </c>
      <c r="F5" s="164">
        <v>8</v>
      </c>
      <c r="G5" s="164">
        <v>5</v>
      </c>
      <c r="H5" s="164" t="s">
        <v>1499</v>
      </c>
      <c r="I5" s="253"/>
      <c r="J5" s="253"/>
      <c r="K5" s="253"/>
    </row>
    <row r="6" ht="16" spans="1:11">
      <c r="A6" s="161" t="s">
        <v>16</v>
      </c>
      <c r="B6" s="161" t="s">
        <v>17</v>
      </c>
      <c r="C6" s="161" t="s">
        <v>10</v>
      </c>
      <c r="D6" s="162">
        <v>41954</v>
      </c>
      <c r="E6" s="252">
        <v>46027</v>
      </c>
      <c r="F6" s="164">
        <v>9</v>
      </c>
      <c r="G6" s="164">
        <v>7</v>
      </c>
      <c r="H6" s="164" t="s">
        <v>1500</v>
      </c>
      <c r="I6" s="253"/>
      <c r="J6" s="253"/>
      <c r="K6" s="253"/>
    </row>
    <row r="7" ht="16" spans="1:11">
      <c r="A7" s="161" t="s">
        <v>18</v>
      </c>
      <c r="B7" s="161" t="s">
        <v>12</v>
      </c>
      <c r="C7" s="161" t="s">
        <v>10</v>
      </c>
      <c r="D7" s="162">
        <v>74820</v>
      </c>
      <c r="E7" s="252">
        <v>46028</v>
      </c>
      <c r="F7" s="164">
        <v>4</v>
      </c>
      <c r="G7" s="164">
        <v>5</v>
      </c>
      <c r="H7" s="164" t="s">
        <v>1501</v>
      </c>
    </row>
    <row r="8" ht="16" spans="1:11">
      <c r="A8" s="161" t="s">
        <v>19</v>
      </c>
      <c r="B8" s="161" t="s">
        <v>20</v>
      </c>
      <c r="C8" s="161" t="s">
        <v>13</v>
      </c>
      <c r="D8" s="162">
        <v>85206</v>
      </c>
      <c r="E8" s="252">
        <v>46029</v>
      </c>
      <c r="F8" s="164">
        <v>3</v>
      </c>
      <c r="G8" s="164">
        <v>6</v>
      </c>
      <c r="H8" s="164" t="s">
        <v>1495</v>
      </c>
    </row>
    <row r="9" ht="16" spans="1:11">
      <c r="A9" s="161" t="s">
        <v>21</v>
      </c>
      <c r="B9" s="161" t="s">
        <v>22</v>
      </c>
      <c r="C9" s="161" t="s">
        <v>7</v>
      </c>
      <c r="D9" s="162">
        <v>30924</v>
      </c>
      <c r="E9" s="252">
        <v>46030</v>
      </c>
      <c r="F9" s="164">
        <v>8</v>
      </c>
      <c r="G9" s="164">
        <v>7</v>
      </c>
      <c r="H9" s="164" t="s">
        <v>1497</v>
      </c>
    </row>
    <row r="10" ht="16" spans="1:11">
      <c r="A10" s="161" t="s">
        <v>23</v>
      </c>
      <c r="B10" s="161" t="s">
        <v>24</v>
      </c>
      <c r="C10" s="161" t="s">
        <v>10</v>
      </c>
      <c r="D10" s="162">
        <v>57737</v>
      </c>
      <c r="E10" s="252">
        <v>46031</v>
      </c>
      <c r="F10" s="164">
        <v>2</v>
      </c>
      <c r="G10" s="164">
        <v>8</v>
      </c>
      <c r="H10" s="164" t="s">
        <v>1498</v>
      </c>
    </row>
    <row r="11" ht="16" spans="1:11">
      <c r="A11" s="161" t="s">
        <v>25</v>
      </c>
      <c r="B11" s="161" t="s">
        <v>26</v>
      </c>
      <c r="C11" s="161" t="s">
        <v>13</v>
      </c>
      <c r="D11" s="162">
        <v>36000</v>
      </c>
      <c r="E11" s="252">
        <v>46032</v>
      </c>
      <c r="F11" s="164">
        <v>9</v>
      </c>
      <c r="G11" s="164">
        <v>9</v>
      </c>
      <c r="H11" s="164" t="s">
        <v>1499</v>
      </c>
    </row>
    <row r="12" ht="16" spans="1:11">
      <c r="A12" s="161" t="s">
        <v>27</v>
      </c>
      <c r="B12" s="161" t="s">
        <v>28</v>
      </c>
      <c r="C12" s="161" t="s">
        <v>13</v>
      </c>
      <c r="D12" s="162">
        <v>96371</v>
      </c>
      <c r="E12" s="252">
        <v>46033</v>
      </c>
      <c r="F12" s="164">
        <v>5</v>
      </c>
      <c r="G12" s="164">
        <v>4</v>
      </c>
      <c r="H12" s="164" t="s">
        <v>1500</v>
      </c>
    </row>
    <row r="13" ht="16" spans="1:11">
      <c r="A13" s="161" t="s">
        <v>29</v>
      </c>
      <c r="B13" s="161" t="s">
        <v>30</v>
      </c>
      <c r="C13" s="161" t="s">
        <v>10</v>
      </c>
      <c r="D13" s="162">
        <v>85028</v>
      </c>
      <c r="E13" s="252">
        <v>46034</v>
      </c>
      <c r="F13" s="164">
        <v>3</v>
      </c>
      <c r="G13" s="164">
        <v>3</v>
      </c>
      <c r="H13" s="164" t="s">
        <v>1501</v>
      </c>
    </row>
    <row r="14" ht="16" spans="1:11">
      <c r="A14" s="161" t="s">
        <v>31</v>
      </c>
      <c r="B14" s="161" t="s">
        <v>32</v>
      </c>
      <c r="C14" s="161" t="s">
        <v>33</v>
      </c>
      <c r="D14" s="162">
        <v>51378</v>
      </c>
      <c r="E14" s="252">
        <v>46035</v>
      </c>
      <c r="F14" s="164">
        <v>5</v>
      </c>
      <c r="G14" s="164">
        <v>8</v>
      </c>
      <c r="H14" s="164" t="s">
        <v>1495</v>
      </c>
    </row>
    <row r="15" ht="16" spans="1:11">
      <c r="A15" s="161" t="s">
        <v>34</v>
      </c>
      <c r="B15" s="161" t="s">
        <v>35</v>
      </c>
      <c r="C15" s="161" t="s">
        <v>7</v>
      </c>
      <c r="D15" s="162">
        <v>49898</v>
      </c>
      <c r="E15" s="252">
        <v>46036</v>
      </c>
      <c r="F15" s="164">
        <v>7</v>
      </c>
      <c r="G15" s="164">
        <v>2</v>
      </c>
      <c r="H15" s="164" t="s">
        <v>1497</v>
      </c>
    </row>
    <row r="16" ht="16" spans="1:11">
      <c r="A16" s="161" t="s">
        <v>36</v>
      </c>
      <c r="B16" s="161" t="s">
        <v>37</v>
      </c>
      <c r="C16" s="161" t="s">
        <v>13</v>
      </c>
      <c r="D16" s="162">
        <v>71737</v>
      </c>
      <c r="E16" s="252">
        <v>46037</v>
      </c>
      <c r="F16" s="164">
        <v>5</v>
      </c>
      <c r="G16" s="164">
        <v>9</v>
      </c>
      <c r="H16" s="164" t="s">
        <v>1498</v>
      </c>
    </row>
    <row r="17" ht="16" spans="1:8">
      <c r="A17" s="161" t="s">
        <v>38</v>
      </c>
      <c r="B17" s="161" t="s">
        <v>39</v>
      </c>
      <c r="C17" s="161" t="s">
        <v>13</v>
      </c>
      <c r="D17" s="162">
        <v>89576</v>
      </c>
      <c r="E17" s="252">
        <v>46038</v>
      </c>
      <c r="F17" s="164">
        <v>6</v>
      </c>
      <c r="G17" s="164">
        <v>5</v>
      </c>
      <c r="H17" s="164" t="s">
        <v>1499</v>
      </c>
    </row>
    <row r="18" ht="16" spans="1:8">
      <c r="A18" s="161" t="s">
        <v>40</v>
      </c>
      <c r="B18" s="161" t="s">
        <v>41</v>
      </c>
      <c r="C18" s="161" t="s">
        <v>13</v>
      </c>
      <c r="D18" s="162">
        <v>45503</v>
      </c>
      <c r="E18" s="252">
        <v>46039</v>
      </c>
      <c r="F18" s="164">
        <v>7</v>
      </c>
      <c r="G18" s="164">
        <v>3</v>
      </c>
      <c r="H18" s="164" t="s">
        <v>1500</v>
      </c>
    </row>
    <row r="19" ht="16" spans="1:8">
      <c r="A19" s="161" t="s">
        <v>42</v>
      </c>
      <c r="B19" s="161" t="s">
        <v>43</v>
      </c>
      <c r="C19" s="161" t="s">
        <v>44</v>
      </c>
      <c r="D19" s="162" t="s">
        <v>45</v>
      </c>
      <c r="E19" s="252">
        <v>46040</v>
      </c>
      <c r="F19" s="164">
        <v>8</v>
      </c>
      <c r="G19" s="164">
        <v>5</v>
      </c>
      <c r="H19" s="164" t="s">
        <v>1501</v>
      </c>
    </row>
    <row r="20" ht="16" spans="1:8">
      <c r="A20" s="161" t="s">
        <v>46</v>
      </c>
      <c r="B20" s="161" t="s">
        <v>47</v>
      </c>
      <c r="C20" s="161" t="s">
        <v>33</v>
      </c>
      <c r="D20" s="162" t="s">
        <v>48</v>
      </c>
      <c r="E20" s="252">
        <v>46041</v>
      </c>
      <c r="F20" s="164">
        <v>9</v>
      </c>
      <c r="G20" s="164">
        <v>7</v>
      </c>
      <c r="H20" s="164" t="s">
        <v>1495</v>
      </c>
    </row>
    <row r="21" ht="16" spans="1:8">
      <c r="A21" s="161" t="s">
        <v>49</v>
      </c>
      <c r="B21" s="161" t="s">
        <v>50</v>
      </c>
      <c r="C21" s="161" t="s">
        <v>13</v>
      </c>
      <c r="D21" s="162" t="s">
        <v>51</v>
      </c>
      <c r="E21" s="252">
        <v>46042</v>
      </c>
      <c r="F21" s="164">
        <v>4</v>
      </c>
      <c r="G21" s="164">
        <v>5</v>
      </c>
      <c r="H21" s="164" t="s">
        <v>1497</v>
      </c>
    </row>
    <row r="22" ht="16" spans="1:8">
      <c r="A22" s="161" t="s">
        <v>52</v>
      </c>
      <c r="B22" s="161" t="s">
        <v>53</v>
      </c>
      <c r="C22" s="161" t="s">
        <v>44</v>
      </c>
      <c r="D22" s="162" t="s">
        <v>54</v>
      </c>
      <c r="E22" s="252">
        <v>46043</v>
      </c>
      <c r="F22" s="164">
        <v>3</v>
      </c>
      <c r="G22" s="164">
        <v>6</v>
      </c>
      <c r="H22" s="164" t="s">
        <v>1498</v>
      </c>
    </row>
    <row r="23" ht="16" spans="1:8">
      <c r="A23" s="161" t="s">
        <v>55</v>
      </c>
      <c r="B23" s="161" t="s">
        <v>56</v>
      </c>
      <c r="C23" s="161" t="s">
        <v>44</v>
      </c>
      <c r="D23" s="162" t="s">
        <v>57</v>
      </c>
      <c r="E23" s="252">
        <v>46044</v>
      </c>
      <c r="F23" s="164">
        <v>8</v>
      </c>
      <c r="G23" s="164">
        <v>7</v>
      </c>
      <c r="H23" s="164" t="s">
        <v>1499</v>
      </c>
    </row>
    <row r="24" ht="16" spans="1:8">
      <c r="A24" s="161" t="s">
        <v>58</v>
      </c>
      <c r="B24" s="161" t="s">
        <v>59</v>
      </c>
      <c r="C24" s="161" t="s">
        <v>13</v>
      </c>
      <c r="D24" s="162" t="s">
        <v>60</v>
      </c>
      <c r="E24" s="252">
        <v>46045</v>
      </c>
      <c r="F24" s="164">
        <v>2</v>
      </c>
      <c r="G24" s="164">
        <v>8</v>
      </c>
      <c r="H24" s="164" t="s">
        <v>1500</v>
      </c>
    </row>
    <row r="25" ht="16" spans="1:8">
      <c r="A25" s="161" t="s">
        <v>61</v>
      </c>
      <c r="B25" s="161" t="s">
        <v>62</v>
      </c>
      <c r="C25" s="161" t="s">
        <v>10</v>
      </c>
      <c r="D25" s="162" t="s">
        <v>63</v>
      </c>
      <c r="E25" s="252">
        <v>46046</v>
      </c>
      <c r="F25" s="164">
        <v>9</v>
      </c>
      <c r="G25" s="164">
        <v>9</v>
      </c>
      <c r="H25" s="164" t="s">
        <v>1501</v>
      </c>
    </row>
    <row r="26" ht="16" spans="1:8">
      <c r="A26" s="161" t="s">
        <v>64</v>
      </c>
      <c r="B26" s="161" t="s">
        <v>65</v>
      </c>
      <c r="C26" s="161" t="s">
        <v>44</v>
      </c>
      <c r="D26" s="162" t="s">
        <v>66</v>
      </c>
      <c r="E26" s="252">
        <v>46047</v>
      </c>
      <c r="F26" s="164">
        <v>5</v>
      </c>
      <c r="G26" s="164">
        <v>4</v>
      </c>
      <c r="H26" s="164" t="s">
        <v>1495</v>
      </c>
    </row>
    <row r="27" ht="16" spans="1:8">
      <c r="A27" s="161" t="s">
        <v>67</v>
      </c>
      <c r="B27" s="161" t="s">
        <v>68</v>
      </c>
      <c r="C27" s="161" t="s">
        <v>33</v>
      </c>
      <c r="D27" s="162" t="s">
        <v>69</v>
      </c>
      <c r="E27" s="252">
        <v>46048</v>
      </c>
      <c r="F27" s="164">
        <v>3</v>
      </c>
      <c r="G27" s="164">
        <v>3</v>
      </c>
      <c r="H27" s="164" t="s">
        <v>1497</v>
      </c>
    </row>
    <row r="28" ht="16" spans="1:8">
      <c r="A28" s="161" t="s">
        <v>70</v>
      </c>
      <c r="B28" s="161" t="s">
        <v>71</v>
      </c>
      <c r="C28" s="161" t="s">
        <v>10</v>
      </c>
      <c r="D28" s="162" t="s">
        <v>72</v>
      </c>
      <c r="E28" s="252">
        <v>46049</v>
      </c>
      <c r="F28" s="164">
        <v>5</v>
      </c>
      <c r="G28" s="164">
        <v>8</v>
      </c>
      <c r="H28" s="164" t="s">
        <v>1498</v>
      </c>
    </row>
    <row r="29" ht="16" spans="1:8">
      <c r="A29" s="161" t="s">
        <v>73</v>
      </c>
      <c r="B29" s="161" t="s">
        <v>74</v>
      </c>
      <c r="C29" s="161" t="s">
        <v>7</v>
      </c>
      <c r="D29" s="162" t="s">
        <v>75</v>
      </c>
      <c r="E29" s="252">
        <v>46050</v>
      </c>
      <c r="F29" s="164">
        <v>7</v>
      </c>
      <c r="G29" s="164">
        <v>2</v>
      </c>
      <c r="H29" s="164" t="s">
        <v>1499</v>
      </c>
    </row>
    <row r="30" ht="16" spans="1:8">
      <c r="A30" s="161" t="s">
        <v>76</v>
      </c>
      <c r="B30" s="161" t="s">
        <v>77</v>
      </c>
      <c r="C30" s="161" t="s">
        <v>13</v>
      </c>
      <c r="D30" s="162" t="s">
        <v>78</v>
      </c>
      <c r="E30" s="252">
        <v>46051</v>
      </c>
      <c r="F30" s="164">
        <v>5</v>
      </c>
      <c r="G30" s="164">
        <v>9</v>
      </c>
      <c r="H30" s="164" t="s">
        <v>1500</v>
      </c>
    </row>
    <row r="31" ht="16" spans="1:8">
      <c r="A31" s="161" t="s">
        <v>79</v>
      </c>
      <c r="B31" s="161" t="s">
        <v>80</v>
      </c>
      <c r="C31" s="161" t="s">
        <v>7</v>
      </c>
      <c r="D31" s="162" t="s">
        <v>81</v>
      </c>
      <c r="E31" s="252">
        <v>46052</v>
      </c>
      <c r="F31" s="164">
        <v>6</v>
      </c>
      <c r="G31" s="164">
        <v>5</v>
      </c>
      <c r="H31" s="164" t="s">
        <v>1501</v>
      </c>
    </row>
    <row r="32" ht="16" spans="1:8">
      <c r="A32" s="161" t="s">
        <v>82</v>
      </c>
      <c r="B32" s="161" t="s">
        <v>83</v>
      </c>
      <c r="C32" s="161" t="s">
        <v>13</v>
      </c>
      <c r="D32" s="162" t="s">
        <v>84</v>
      </c>
      <c r="E32" s="252">
        <v>46053</v>
      </c>
      <c r="F32" s="164">
        <v>7</v>
      </c>
      <c r="G32" s="164">
        <v>3</v>
      </c>
      <c r="H32" s="164" t="s">
        <v>1495</v>
      </c>
    </row>
    <row r="33" ht="16" spans="1:8">
      <c r="A33" s="161" t="s">
        <v>85</v>
      </c>
      <c r="B33" s="161" t="s">
        <v>86</v>
      </c>
      <c r="C33" s="161" t="s">
        <v>7</v>
      </c>
      <c r="D33" s="162" t="s">
        <v>87</v>
      </c>
      <c r="E33" s="252">
        <v>46054</v>
      </c>
      <c r="F33" s="164">
        <v>8</v>
      </c>
      <c r="G33" s="164">
        <v>5</v>
      </c>
      <c r="H33" s="164" t="s">
        <v>1497</v>
      </c>
    </row>
    <row r="34" ht="16" spans="1:8">
      <c r="A34" s="161" t="s">
        <v>88</v>
      </c>
      <c r="B34" s="161" t="s">
        <v>89</v>
      </c>
      <c r="C34" s="161" t="s">
        <v>44</v>
      </c>
      <c r="D34" s="162" t="s">
        <v>90</v>
      </c>
      <c r="E34" s="252">
        <v>46055</v>
      </c>
      <c r="F34" s="164">
        <v>9</v>
      </c>
      <c r="G34" s="164">
        <v>7</v>
      </c>
      <c r="H34" s="164" t="s">
        <v>1498</v>
      </c>
    </row>
    <row r="35" ht="16" spans="1:8">
      <c r="A35" s="161" t="s">
        <v>91</v>
      </c>
      <c r="B35" s="161" t="s">
        <v>92</v>
      </c>
      <c r="C35" s="161" t="s">
        <v>33</v>
      </c>
      <c r="D35" s="162" t="s">
        <v>93</v>
      </c>
      <c r="E35" s="252">
        <v>46056</v>
      </c>
      <c r="F35" s="164">
        <v>4</v>
      </c>
      <c r="G35" s="164">
        <v>5</v>
      </c>
      <c r="H35" s="164" t="s">
        <v>1499</v>
      </c>
    </row>
    <row r="36" ht="16" spans="1:8">
      <c r="A36" s="161" t="s">
        <v>94</v>
      </c>
      <c r="B36" s="161" t="s">
        <v>95</v>
      </c>
      <c r="C36" s="161" t="s">
        <v>44</v>
      </c>
      <c r="D36" s="162" t="s">
        <v>96</v>
      </c>
      <c r="E36" s="252">
        <v>46057</v>
      </c>
      <c r="F36" s="164">
        <v>3</v>
      </c>
      <c r="G36" s="164">
        <v>6</v>
      </c>
      <c r="H36" s="164" t="s">
        <v>1500</v>
      </c>
    </row>
    <row r="37" ht="16" spans="1:8">
      <c r="A37" s="161" t="s">
        <v>97</v>
      </c>
      <c r="B37" s="161" t="s">
        <v>98</v>
      </c>
      <c r="C37" s="161" t="s">
        <v>33</v>
      </c>
      <c r="D37" s="162" t="s">
        <v>99</v>
      </c>
      <c r="E37" s="252">
        <v>46058</v>
      </c>
      <c r="F37" s="164">
        <v>8</v>
      </c>
      <c r="G37" s="164">
        <v>7</v>
      </c>
      <c r="H37" s="164" t="s">
        <v>1501</v>
      </c>
    </row>
    <row r="38" ht="16" spans="1:8">
      <c r="A38" s="161" t="s">
        <v>100</v>
      </c>
      <c r="B38" s="161" t="s">
        <v>101</v>
      </c>
      <c r="C38" s="161" t="s">
        <v>13</v>
      </c>
      <c r="D38" s="162" t="s">
        <v>102</v>
      </c>
      <c r="E38" s="252">
        <v>46059</v>
      </c>
      <c r="F38" s="164">
        <v>2</v>
      </c>
      <c r="G38" s="164">
        <v>8</v>
      </c>
      <c r="H38" s="164" t="s">
        <v>1495</v>
      </c>
    </row>
    <row r="39" ht="16" spans="1:8">
      <c r="A39" s="161" t="s">
        <v>103</v>
      </c>
      <c r="B39" s="161" t="s">
        <v>104</v>
      </c>
      <c r="C39" s="161" t="s">
        <v>7</v>
      </c>
      <c r="D39" s="162" t="s">
        <v>105</v>
      </c>
      <c r="E39" s="252">
        <v>46060</v>
      </c>
      <c r="F39" s="164">
        <v>9</v>
      </c>
      <c r="G39" s="164">
        <v>9</v>
      </c>
      <c r="H39" s="164" t="s">
        <v>1497</v>
      </c>
    </row>
    <row r="40" ht="16" spans="1:8">
      <c r="A40" s="161" t="s">
        <v>106</v>
      </c>
      <c r="B40" s="161" t="s">
        <v>107</v>
      </c>
      <c r="C40" s="161" t="s">
        <v>7</v>
      </c>
      <c r="D40" s="162" t="s">
        <v>108</v>
      </c>
      <c r="E40" s="252">
        <v>46061</v>
      </c>
      <c r="F40" s="164">
        <v>5</v>
      </c>
      <c r="G40" s="164">
        <v>4</v>
      </c>
      <c r="H40" s="164" t="s">
        <v>1498</v>
      </c>
    </row>
    <row r="41" ht="16" spans="1:8">
      <c r="A41" s="161" t="s">
        <v>109</v>
      </c>
      <c r="B41" s="161" t="s">
        <v>110</v>
      </c>
      <c r="C41" s="161" t="s">
        <v>13</v>
      </c>
      <c r="D41" s="162" t="s">
        <v>111</v>
      </c>
      <c r="E41" s="252">
        <v>46062</v>
      </c>
      <c r="F41" s="164">
        <v>3</v>
      </c>
      <c r="G41" s="164">
        <v>3</v>
      </c>
      <c r="H41" s="164" t="s">
        <v>1499</v>
      </c>
    </row>
    <row r="42" ht="16" spans="1:8">
      <c r="A42" s="161" t="s">
        <v>112</v>
      </c>
      <c r="B42" s="161" t="s">
        <v>113</v>
      </c>
      <c r="C42" s="161" t="s">
        <v>7</v>
      </c>
      <c r="D42" s="162" t="s">
        <v>114</v>
      </c>
      <c r="E42" s="252">
        <v>46063</v>
      </c>
      <c r="F42" s="164">
        <v>5</v>
      </c>
      <c r="G42" s="164">
        <v>8</v>
      </c>
      <c r="H42" s="164" t="s">
        <v>1500</v>
      </c>
    </row>
    <row r="43" ht="16" spans="1:8">
      <c r="A43" s="161" t="s">
        <v>115</v>
      </c>
      <c r="B43" s="161" t="s">
        <v>116</v>
      </c>
      <c r="C43" s="161" t="s">
        <v>44</v>
      </c>
      <c r="D43" s="162" t="s">
        <v>117</v>
      </c>
      <c r="E43" s="252">
        <v>46064</v>
      </c>
      <c r="F43" s="164">
        <v>7</v>
      </c>
      <c r="G43" s="164">
        <v>2</v>
      </c>
      <c r="H43" s="164" t="s">
        <v>1501</v>
      </c>
    </row>
    <row r="44" ht="16" spans="1:8">
      <c r="A44" s="161" t="s">
        <v>118</v>
      </c>
      <c r="B44" s="161" t="s">
        <v>119</v>
      </c>
      <c r="C44" s="161" t="s">
        <v>13</v>
      </c>
      <c r="D44" s="162" t="s">
        <v>120</v>
      </c>
      <c r="E44" s="252">
        <v>46065</v>
      </c>
      <c r="F44" s="164">
        <v>5</v>
      </c>
      <c r="G44" s="164">
        <v>9</v>
      </c>
      <c r="H44" s="164" t="s">
        <v>1495</v>
      </c>
    </row>
    <row r="45" ht="16" spans="1:8">
      <c r="A45" s="161" t="s">
        <v>121</v>
      </c>
      <c r="B45" s="161" t="s">
        <v>122</v>
      </c>
      <c r="C45" s="161" t="s">
        <v>10</v>
      </c>
      <c r="D45" s="162" t="s">
        <v>123</v>
      </c>
      <c r="E45" s="252">
        <v>46066</v>
      </c>
      <c r="F45" s="164">
        <v>6</v>
      </c>
      <c r="G45" s="164">
        <v>5</v>
      </c>
      <c r="H45" s="164" t="s">
        <v>1497</v>
      </c>
    </row>
    <row r="46" ht="16" spans="1:8">
      <c r="A46" s="161" t="s">
        <v>124</v>
      </c>
      <c r="B46" s="161" t="s">
        <v>125</v>
      </c>
      <c r="C46" s="161" t="s">
        <v>44</v>
      </c>
      <c r="D46" s="162" t="s">
        <v>126</v>
      </c>
      <c r="E46" s="252">
        <v>46067</v>
      </c>
      <c r="F46" s="164">
        <v>7</v>
      </c>
      <c r="G46" s="164">
        <v>3</v>
      </c>
      <c r="H46" s="164" t="s">
        <v>1498</v>
      </c>
    </row>
    <row r="47" ht="16" spans="1:8">
      <c r="A47" s="161" t="s">
        <v>127</v>
      </c>
      <c r="B47" s="161" t="s">
        <v>128</v>
      </c>
      <c r="C47" s="161" t="s">
        <v>13</v>
      </c>
      <c r="D47" s="162" t="s">
        <v>129</v>
      </c>
      <c r="E47" s="252">
        <v>46068</v>
      </c>
      <c r="F47" s="164">
        <v>8</v>
      </c>
      <c r="G47" s="164">
        <v>5</v>
      </c>
      <c r="H47" s="164" t="s">
        <v>1499</v>
      </c>
    </row>
    <row r="48" ht="16" spans="1:8">
      <c r="A48" s="161" t="s">
        <v>130</v>
      </c>
      <c r="B48" s="161" t="s">
        <v>131</v>
      </c>
      <c r="C48" s="161" t="s">
        <v>44</v>
      </c>
      <c r="D48" s="162" t="s">
        <v>132</v>
      </c>
      <c r="E48" s="252">
        <v>46069</v>
      </c>
      <c r="F48" s="164">
        <v>9</v>
      </c>
      <c r="G48" s="164">
        <v>7</v>
      </c>
      <c r="H48" s="164" t="s">
        <v>1500</v>
      </c>
    </row>
    <row r="49" ht="16" spans="1:8">
      <c r="A49" s="161" t="s">
        <v>133</v>
      </c>
      <c r="B49" s="161" t="s">
        <v>134</v>
      </c>
      <c r="C49" s="161" t="s">
        <v>44</v>
      </c>
      <c r="D49" s="162" t="s">
        <v>135</v>
      </c>
      <c r="E49" s="252">
        <v>46070</v>
      </c>
      <c r="F49" s="164">
        <v>4</v>
      </c>
      <c r="G49" s="164">
        <v>5</v>
      </c>
      <c r="H49" s="164" t="s">
        <v>1501</v>
      </c>
    </row>
    <row r="50" ht="16" spans="1:8">
      <c r="A50" s="161" t="s">
        <v>136</v>
      </c>
      <c r="B50" s="161" t="s">
        <v>137</v>
      </c>
      <c r="C50" s="161" t="s">
        <v>33</v>
      </c>
      <c r="D50" s="162" t="s">
        <v>138</v>
      </c>
      <c r="E50" s="252">
        <v>46071</v>
      </c>
      <c r="F50" s="164">
        <v>3</v>
      </c>
      <c r="G50" s="164">
        <v>6</v>
      </c>
      <c r="H50" s="164" t="s">
        <v>1495</v>
      </c>
    </row>
    <row r="51" ht="16" spans="1:8">
      <c r="A51" s="161" t="s">
        <v>139</v>
      </c>
      <c r="B51" s="161" t="s">
        <v>140</v>
      </c>
      <c r="C51" s="161" t="s">
        <v>10</v>
      </c>
      <c r="D51" s="162" t="s">
        <v>141</v>
      </c>
      <c r="E51" s="252">
        <v>46072</v>
      </c>
      <c r="F51" s="164">
        <v>8</v>
      </c>
      <c r="G51" s="164">
        <v>7</v>
      </c>
      <c r="H51" s="164" t="s">
        <v>1497</v>
      </c>
    </row>
    <row r="52" ht="16" spans="1:8">
      <c r="A52" s="161" t="s">
        <v>142</v>
      </c>
      <c r="B52" s="161" t="s">
        <v>143</v>
      </c>
      <c r="C52" s="161" t="s">
        <v>44</v>
      </c>
      <c r="D52" s="162" t="s">
        <v>144</v>
      </c>
      <c r="E52" s="252">
        <v>46073</v>
      </c>
      <c r="F52" s="164">
        <v>2</v>
      </c>
      <c r="G52" s="164">
        <v>8</v>
      </c>
      <c r="H52" s="164" t="s">
        <v>1498</v>
      </c>
    </row>
    <row r="53" ht="16" spans="1:8">
      <c r="A53" s="161" t="s">
        <v>145</v>
      </c>
      <c r="B53" s="161" t="s">
        <v>146</v>
      </c>
      <c r="C53" s="161" t="s">
        <v>33</v>
      </c>
      <c r="D53" s="162" t="s">
        <v>147</v>
      </c>
      <c r="E53" s="252">
        <v>46074</v>
      </c>
      <c r="F53" s="164">
        <v>9</v>
      </c>
      <c r="G53" s="164">
        <v>9</v>
      </c>
      <c r="H53" s="164" t="s">
        <v>1499</v>
      </c>
    </row>
    <row r="54" ht="16" spans="1:8">
      <c r="A54" s="161" t="s">
        <v>148</v>
      </c>
      <c r="B54" s="161" t="s">
        <v>149</v>
      </c>
      <c r="C54" s="161" t="s">
        <v>33</v>
      </c>
      <c r="D54" s="162" t="s">
        <v>150</v>
      </c>
      <c r="E54" s="252">
        <v>46075</v>
      </c>
      <c r="F54" s="164">
        <v>5</v>
      </c>
      <c r="G54" s="164">
        <v>4</v>
      </c>
      <c r="H54" s="164" t="s">
        <v>1500</v>
      </c>
    </row>
    <row r="55" ht="16" spans="1:8">
      <c r="A55" s="161" t="s">
        <v>151</v>
      </c>
      <c r="B55" s="161" t="s">
        <v>152</v>
      </c>
      <c r="C55" s="161" t="s">
        <v>13</v>
      </c>
      <c r="D55" s="162" t="s">
        <v>153</v>
      </c>
      <c r="E55" s="252">
        <v>46076</v>
      </c>
      <c r="F55" s="164">
        <v>3</v>
      </c>
      <c r="G55" s="164">
        <v>3</v>
      </c>
      <c r="H55" s="164" t="s">
        <v>1501</v>
      </c>
    </row>
    <row r="56" ht="16" spans="1:8">
      <c r="A56" s="161" t="s">
        <v>154</v>
      </c>
      <c r="B56" s="161" t="s">
        <v>155</v>
      </c>
      <c r="C56" s="161" t="s">
        <v>10</v>
      </c>
      <c r="D56" s="162" t="s">
        <v>156</v>
      </c>
      <c r="E56" s="252">
        <v>46077</v>
      </c>
      <c r="F56" s="164">
        <v>5</v>
      </c>
      <c r="G56" s="164">
        <v>8</v>
      </c>
      <c r="H56" s="164" t="s">
        <v>1495</v>
      </c>
    </row>
    <row r="57" ht="16" spans="1:8">
      <c r="A57" s="161" t="s">
        <v>157</v>
      </c>
      <c r="B57" s="161" t="s">
        <v>158</v>
      </c>
      <c r="C57" s="161" t="s">
        <v>44</v>
      </c>
      <c r="D57" s="162" t="s">
        <v>159</v>
      </c>
      <c r="E57" s="252">
        <v>46078</v>
      </c>
      <c r="F57" s="164">
        <v>7</v>
      </c>
      <c r="G57" s="164">
        <v>2</v>
      </c>
      <c r="H57" s="164" t="s">
        <v>1497</v>
      </c>
    </row>
    <row r="58" ht="16" spans="1:8">
      <c r="A58" s="161" t="s">
        <v>160</v>
      </c>
      <c r="B58" s="161" t="s">
        <v>161</v>
      </c>
      <c r="C58" s="161" t="s">
        <v>13</v>
      </c>
      <c r="D58" s="162" t="s">
        <v>162</v>
      </c>
      <c r="E58" s="252">
        <v>46079</v>
      </c>
      <c r="F58" s="164">
        <v>5</v>
      </c>
      <c r="G58" s="164">
        <v>9</v>
      </c>
      <c r="H58" s="164" t="s">
        <v>1498</v>
      </c>
    </row>
    <row r="59" ht="16" spans="1:8">
      <c r="A59" s="161" t="s">
        <v>163</v>
      </c>
      <c r="B59" s="161" t="s">
        <v>164</v>
      </c>
      <c r="C59" s="161" t="s">
        <v>13</v>
      </c>
      <c r="D59" s="162" t="s">
        <v>165</v>
      </c>
      <c r="E59" s="252">
        <v>46080</v>
      </c>
      <c r="F59" s="164">
        <v>6</v>
      </c>
      <c r="G59" s="164">
        <v>5</v>
      </c>
      <c r="H59" s="164" t="s">
        <v>1499</v>
      </c>
    </row>
    <row r="60" ht="16" spans="1:8">
      <c r="A60" s="161" t="s">
        <v>166</v>
      </c>
      <c r="B60" s="161" t="s">
        <v>167</v>
      </c>
      <c r="C60" s="161" t="s">
        <v>10</v>
      </c>
      <c r="D60" s="162" t="s">
        <v>168</v>
      </c>
      <c r="E60" s="252">
        <v>46081</v>
      </c>
      <c r="F60" s="164">
        <v>7</v>
      </c>
      <c r="G60" s="164">
        <v>3</v>
      </c>
      <c r="H60" s="164" t="s">
        <v>1500</v>
      </c>
    </row>
    <row r="61" ht="16" spans="1:8">
      <c r="A61" s="161" t="s">
        <v>169</v>
      </c>
      <c r="B61" s="161" t="s">
        <v>170</v>
      </c>
      <c r="C61" s="161" t="s">
        <v>33</v>
      </c>
      <c r="D61" s="162" t="s">
        <v>171</v>
      </c>
      <c r="E61" s="252">
        <v>46082</v>
      </c>
      <c r="F61" s="164">
        <v>8</v>
      </c>
      <c r="G61" s="164">
        <v>5</v>
      </c>
      <c r="H61" s="164" t="s">
        <v>1501</v>
      </c>
    </row>
    <row r="62" ht="16" spans="1:8">
      <c r="A62" s="161" t="s">
        <v>172</v>
      </c>
      <c r="B62" s="161" t="s">
        <v>173</v>
      </c>
      <c r="C62" s="161" t="s">
        <v>13</v>
      </c>
      <c r="D62" s="162" t="s">
        <v>174</v>
      </c>
      <c r="E62" s="252">
        <v>46083</v>
      </c>
      <c r="F62" s="164">
        <v>9</v>
      </c>
      <c r="G62" s="164">
        <v>7</v>
      </c>
      <c r="H62" s="164" t="s">
        <v>1495</v>
      </c>
    </row>
    <row r="63" ht="16" spans="1:8">
      <c r="A63" s="161" t="s">
        <v>175</v>
      </c>
      <c r="B63" s="161" t="s">
        <v>176</v>
      </c>
      <c r="C63" s="161" t="s">
        <v>10</v>
      </c>
      <c r="D63" s="162" t="s">
        <v>177</v>
      </c>
      <c r="E63" s="252">
        <v>46084</v>
      </c>
      <c r="F63" s="164">
        <v>4</v>
      </c>
      <c r="G63" s="164">
        <v>5</v>
      </c>
      <c r="H63" s="164" t="s">
        <v>1497</v>
      </c>
    </row>
    <row r="64" ht="16" spans="1:8">
      <c r="A64" s="161" t="s">
        <v>178</v>
      </c>
      <c r="B64" s="161" t="s">
        <v>179</v>
      </c>
      <c r="C64" s="161" t="s">
        <v>7</v>
      </c>
      <c r="D64" s="162" t="s">
        <v>180</v>
      </c>
      <c r="E64" s="252">
        <v>46085</v>
      </c>
      <c r="F64" s="164">
        <v>3</v>
      </c>
      <c r="G64" s="164">
        <v>6</v>
      </c>
      <c r="H64" s="164" t="s">
        <v>1498</v>
      </c>
    </row>
    <row r="65" ht="16" spans="1:8">
      <c r="A65" s="161" t="s">
        <v>181</v>
      </c>
      <c r="B65" s="161" t="s">
        <v>182</v>
      </c>
      <c r="C65" s="161" t="s">
        <v>33</v>
      </c>
      <c r="D65" s="162" t="s">
        <v>183</v>
      </c>
      <c r="E65" s="252">
        <v>46086</v>
      </c>
      <c r="F65" s="164">
        <v>8</v>
      </c>
      <c r="G65" s="164">
        <v>7</v>
      </c>
      <c r="H65" s="164" t="s">
        <v>1499</v>
      </c>
    </row>
    <row r="66" ht="16" spans="1:8">
      <c r="A66" s="161" t="s">
        <v>184</v>
      </c>
      <c r="B66" s="161" t="s">
        <v>185</v>
      </c>
      <c r="C66" s="161" t="s">
        <v>7</v>
      </c>
      <c r="D66" s="162" t="s">
        <v>186</v>
      </c>
      <c r="E66" s="252">
        <v>46087</v>
      </c>
      <c r="F66" s="164">
        <v>2</v>
      </c>
      <c r="G66" s="164">
        <v>8</v>
      </c>
      <c r="H66" s="164" t="s">
        <v>1500</v>
      </c>
    </row>
    <row r="67" ht="16" spans="1:8">
      <c r="A67" s="161" t="s">
        <v>187</v>
      </c>
      <c r="B67" s="161" t="s">
        <v>188</v>
      </c>
      <c r="C67" s="161" t="s">
        <v>44</v>
      </c>
      <c r="D67" s="162" t="s">
        <v>189</v>
      </c>
      <c r="E67" s="252">
        <v>46088</v>
      </c>
      <c r="F67" s="164">
        <v>9</v>
      </c>
      <c r="G67" s="164">
        <v>9</v>
      </c>
      <c r="H67" s="164" t="s">
        <v>1501</v>
      </c>
    </row>
    <row r="68" ht="16" spans="1:8">
      <c r="A68" s="161" t="s">
        <v>190</v>
      </c>
      <c r="B68" s="161" t="s">
        <v>191</v>
      </c>
      <c r="C68" s="161" t="s">
        <v>13</v>
      </c>
      <c r="D68" s="162" t="s">
        <v>192</v>
      </c>
      <c r="E68" s="252">
        <v>46089</v>
      </c>
      <c r="F68" s="164">
        <v>5</v>
      </c>
      <c r="G68" s="164">
        <v>4</v>
      </c>
      <c r="H68" s="164" t="s">
        <v>1495</v>
      </c>
    </row>
    <row r="69" ht="16" spans="1:8">
      <c r="A69" s="161" t="s">
        <v>193</v>
      </c>
      <c r="B69" s="161" t="s">
        <v>194</v>
      </c>
      <c r="C69" s="161" t="s">
        <v>10</v>
      </c>
      <c r="D69" s="162" t="s">
        <v>195</v>
      </c>
      <c r="E69" s="252">
        <v>46090</v>
      </c>
      <c r="F69" s="164">
        <v>3</v>
      </c>
      <c r="G69" s="164">
        <v>3</v>
      </c>
      <c r="H69" s="164" t="s">
        <v>1497</v>
      </c>
    </row>
    <row r="70" ht="16" spans="1:8">
      <c r="A70" s="161" t="s">
        <v>196</v>
      </c>
      <c r="B70" s="161" t="s">
        <v>197</v>
      </c>
      <c r="C70" s="161" t="s">
        <v>44</v>
      </c>
      <c r="D70" s="162" t="s">
        <v>198</v>
      </c>
      <c r="E70" s="252">
        <v>46091</v>
      </c>
      <c r="F70" s="164">
        <v>5</v>
      </c>
      <c r="G70" s="164">
        <v>8</v>
      </c>
      <c r="H70" s="164" t="s">
        <v>1498</v>
      </c>
    </row>
    <row r="71" ht="16" spans="1:8">
      <c r="A71" s="161" t="s">
        <v>199</v>
      </c>
      <c r="B71" s="161" t="s">
        <v>200</v>
      </c>
      <c r="C71" s="161" t="s">
        <v>33</v>
      </c>
      <c r="D71" s="162" t="s">
        <v>201</v>
      </c>
      <c r="E71" s="252">
        <v>46092</v>
      </c>
      <c r="F71" s="164">
        <v>7</v>
      </c>
      <c r="G71" s="164">
        <v>2</v>
      </c>
      <c r="H71" s="164" t="s">
        <v>1499</v>
      </c>
    </row>
    <row r="72" ht="16" spans="1:8">
      <c r="A72" s="161" t="s">
        <v>202</v>
      </c>
      <c r="B72" s="161" t="s">
        <v>203</v>
      </c>
      <c r="C72" s="161" t="s">
        <v>44</v>
      </c>
      <c r="D72" s="162" t="s">
        <v>204</v>
      </c>
      <c r="E72" s="252">
        <v>46093</v>
      </c>
      <c r="F72" s="164">
        <v>5</v>
      </c>
      <c r="G72" s="164">
        <v>9</v>
      </c>
      <c r="H72" s="164" t="s">
        <v>1500</v>
      </c>
    </row>
    <row r="73" ht="16" spans="1:8">
      <c r="A73" s="161" t="s">
        <v>205</v>
      </c>
      <c r="B73" s="161" t="s">
        <v>206</v>
      </c>
      <c r="C73" s="161" t="s">
        <v>13</v>
      </c>
      <c r="D73" s="162" t="s">
        <v>207</v>
      </c>
      <c r="E73" s="252">
        <v>46094</v>
      </c>
      <c r="F73" s="164">
        <v>6</v>
      </c>
      <c r="G73" s="164">
        <v>5</v>
      </c>
      <c r="H73" s="164" t="s">
        <v>1501</v>
      </c>
    </row>
    <row r="74" ht="16" spans="1:8">
      <c r="A74" s="161" t="s">
        <v>208</v>
      </c>
      <c r="B74" s="161" t="s">
        <v>209</v>
      </c>
      <c r="C74" s="161" t="s">
        <v>33</v>
      </c>
      <c r="D74" s="162" t="s">
        <v>210</v>
      </c>
      <c r="E74" s="252">
        <v>46095</v>
      </c>
      <c r="F74" s="164">
        <v>7</v>
      </c>
      <c r="G74" s="164">
        <v>3</v>
      </c>
      <c r="H74" s="164" t="s">
        <v>1495</v>
      </c>
    </row>
    <row r="75" ht="16" spans="1:8">
      <c r="A75" s="161" t="s">
        <v>211</v>
      </c>
      <c r="B75" s="161" t="s">
        <v>212</v>
      </c>
      <c r="C75" s="161" t="s">
        <v>10</v>
      </c>
      <c r="D75" s="162" t="s">
        <v>213</v>
      </c>
      <c r="E75" s="252">
        <v>46096</v>
      </c>
      <c r="F75" s="164">
        <v>8</v>
      </c>
      <c r="G75" s="164">
        <v>5</v>
      </c>
      <c r="H75" s="164" t="s">
        <v>1497</v>
      </c>
    </row>
    <row r="76" ht="16" spans="1:8">
      <c r="A76" s="161" t="s">
        <v>214</v>
      </c>
      <c r="B76" s="161" t="s">
        <v>215</v>
      </c>
      <c r="C76" s="161" t="s">
        <v>44</v>
      </c>
      <c r="D76" s="162" t="s">
        <v>216</v>
      </c>
      <c r="E76" s="252">
        <v>46097</v>
      </c>
      <c r="F76" s="164">
        <v>9</v>
      </c>
      <c r="G76" s="164">
        <v>7</v>
      </c>
      <c r="H76" s="164" t="s">
        <v>1498</v>
      </c>
    </row>
    <row r="77" ht="16" spans="1:8">
      <c r="A77" s="161" t="s">
        <v>217</v>
      </c>
      <c r="B77" s="161" t="s">
        <v>218</v>
      </c>
      <c r="C77" s="161" t="s">
        <v>33</v>
      </c>
      <c r="D77" s="162" t="s">
        <v>219</v>
      </c>
      <c r="E77" s="252">
        <v>46098</v>
      </c>
      <c r="F77" s="164">
        <v>4</v>
      </c>
      <c r="G77" s="164">
        <v>5</v>
      </c>
      <c r="H77" s="164" t="s">
        <v>1499</v>
      </c>
    </row>
    <row r="78" ht="16" spans="1:8">
      <c r="A78" s="161" t="s">
        <v>220</v>
      </c>
      <c r="B78" s="161" t="s">
        <v>221</v>
      </c>
      <c r="C78" s="161" t="s">
        <v>13</v>
      </c>
      <c r="D78" s="162" t="s">
        <v>222</v>
      </c>
      <c r="E78" s="252">
        <v>46099</v>
      </c>
      <c r="F78" s="164">
        <v>3</v>
      </c>
      <c r="G78" s="164">
        <v>6</v>
      </c>
      <c r="H78" s="164" t="s">
        <v>1500</v>
      </c>
    </row>
    <row r="79" ht="16" spans="1:8">
      <c r="A79" s="161" t="s">
        <v>223</v>
      </c>
      <c r="B79" s="161" t="s">
        <v>224</v>
      </c>
      <c r="C79" s="161" t="s">
        <v>33</v>
      </c>
      <c r="D79" s="162" t="s">
        <v>225</v>
      </c>
      <c r="E79" s="252">
        <v>46100</v>
      </c>
      <c r="F79" s="164">
        <v>8</v>
      </c>
      <c r="G79" s="164">
        <v>7</v>
      </c>
      <c r="H79" s="164" t="s">
        <v>1501</v>
      </c>
    </row>
    <row r="80" ht="16" spans="1:8">
      <c r="A80" s="161" t="s">
        <v>226</v>
      </c>
      <c r="B80" s="161" t="s">
        <v>227</v>
      </c>
      <c r="C80" s="161" t="s">
        <v>13</v>
      </c>
      <c r="D80" s="162" t="s">
        <v>228</v>
      </c>
      <c r="E80" s="252">
        <v>46101</v>
      </c>
      <c r="F80" s="164">
        <v>2</v>
      </c>
      <c r="G80" s="164">
        <v>8</v>
      </c>
      <c r="H80" s="164" t="s">
        <v>1495</v>
      </c>
    </row>
    <row r="81" ht="16" spans="1:8">
      <c r="A81" s="161" t="s">
        <v>229</v>
      </c>
      <c r="B81" s="161" t="s">
        <v>230</v>
      </c>
      <c r="C81" s="161" t="s">
        <v>7</v>
      </c>
      <c r="D81" s="162" t="s">
        <v>231</v>
      </c>
      <c r="E81" s="252">
        <v>46102</v>
      </c>
      <c r="F81" s="164">
        <v>9</v>
      </c>
      <c r="G81" s="164">
        <v>9</v>
      </c>
      <c r="H81" s="164" t="s">
        <v>1497</v>
      </c>
    </row>
    <row r="82" ht="16" spans="1:8">
      <c r="A82" s="161" t="s">
        <v>232</v>
      </c>
      <c r="B82" s="161" t="s">
        <v>233</v>
      </c>
      <c r="C82" s="161" t="s">
        <v>10</v>
      </c>
      <c r="D82" s="162" t="s">
        <v>234</v>
      </c>
      <c r="E82" s="252">
        <v>46103</v>
      </c>
      <c r="F82" s="164">
        <v>5</v>
      </c>
      <c r="G82" s="164">
        <v>4</v>
      </c>
      <c r="H82" s="164" t="s">
        <v>1498</v>
      </c>
    </row>
    <row r="83" ht="16" spans="1:8">
      <c r="A83" s="161" t="s">
        <v>235</v>
      </c>
      <c r="B83" s="161" t="s">
        <v>236</v>
      </c>
      <c r="C83" s="161" t="s">
        <v>7</v>
      </c>
      <c r="D83" s="162" t="s">
        <v>237</v>
      </c>
      <c r="E83" s="252">
        <v>46104</v>
      </c>
      <c r="F83" s="164">
        <v>3</v>
      </c>
      <c r="G83" s="164">
        <v>3</v>
      </c>
      <c r="H83" s="164" t="s">
        <v>1499</v>
      </c>
    </row>
    <row r="84" ht="16" spans="1:8">
      <c r="A84" s="161" t="s">
        <v>238</v>
      </c>
      <c r="B84" s="161" t="s">
        <v>239</v>
      </c>
      <c r="C84" s="161" t="s">
        <v>44</v>
      </c>
      <c r="D84" s="162" t="s">
        <v>240</v>
      </c>
      <c r="E84" s="252">
        <v>46105</v>
      </c>
      <c r="F84" s="164">
        <v>5</v>
      </c>
      <c r="G84" s="164">
        <v>8</v>
      </c>
      <c r="H84" s="164" t="s">
        <v>1500</v>
      </c>
    </row>
    <row r="85" ht="16" spans="1:8">
      <c r="A85" s="161" t="s">
        <v>241</v>
      </c>
      <c r="B85" s="161" t="s">
        <v>242</v>
      </c>
      <c r="C85" s="161" t="s">
        <v>7</v>
      </c>
      <c r="D85" s="162" t="s">
        <v>243</v>
      </c>
      <c r="E85" s="252">
        <v>46106</v>
      </c>
      <c r="F85" s="164">
        <v>7</v>
      </c>
      <c r="G85" s="164">
        <v>2</v>
      </c>
      <c r="H85" s="164" t="s">
        <v>1501</v>
      </c>
    </row>
    <row r="86" ht="16" spans="1:8">
      <c r="A86" s="161" t="s">
        <v>244</v>
      </c>
      <c r="B86" s="161" t="s">
        <v>245</v>
      </c>
      <c r="C86" s="161" t="s">
        <v>10</v>
      </c>
      <c r="D86" s="162" t="s">
        <v>246</v>
      </c>
      <c r="E86" s="252">
        <v>46107</v>
      </c>
      <c r="F86" s="164">
        <v>5</v>
      </c>
      <c r="G86" s="164">
        <v>9</v>
      </c>
      <c r="H86" s="164" t="s">
        <v>1495</v>
      </c>
    </row>
    <row r="87" ht="16" spans="1:8">
      <c r="A87" s="161" t="s">
        <v>247</v>
      </c>
      <c r="B87" s="161" t="s">
        <v>248</v>
      </c>
      <c r="C87" s="161" t="s">
        <v>44</v>
      </c>
      <c r="D87" s="162" t="s">
        <v>249</v>
      </c>
      <c r="E87" s="252">
        <v>46108</v>
      </c>
      <c r="F87" s="164">
        <v>6</v>
      </c>
      <c r="G87" s="164">
        <v>5</v>
      </c>
      <c r="H87" s="164" t="s">
        <v>1497</v>
      </c>
    </row>
    <row r="88" ht="16" spans="1:8">
      <c r="A88" s="161" t="s">
        <v>250</v>
      </c>
      <c r="B88" s="161" t="s">
        <v>251</v>
      </c>
      <c r="C88" s="161" t="s">
        <v>7</v>
      </c>
      <c r="D88" s="162" t="s">
        <v>252</v>
      </c>
      <c r="E88" s="252">
        <v>46109</v>
      </c>
      <c r="F88" s="164">
        <v>7</v>
      </c>
      <c r="G88" s="164">
        <v>3</v>
      </c>
      <c r="H88" s="164" t="s">
        <v>1498</v>
      </c>
    </row>
    <row r="89" ht="16" spans="1:8">
      <c r="A89" s="161" t="s">
        <v>253</v>
      </c>
      <c r="B89" s="161" t="s">
        <v>254</v>
      </c>
      <c r="C89" s="161" t="s">
        <v>7</v>
      </c>
      <c r="D89" s="162" t="s">
        <v>255</v>
      </c>
      <c r="E89" s="252">
        <v>46110</v>
      </c>
      <c r="F89" s="164">
        <v>8</v>
      </c>
      <c r="G89" s="164">
        <v>5</v>
      </c>
      <c r="H89" s="164" t="s">
        <v>1499</v>
      </c>
    </row>
    <row r="90" ht="16" spans="1:8">
      <c r="A90" s="161" t="s">
        <v>256</v>
      </c>
      <c r="B90" s="161" t="s">
        <v>257</v>
      </c>
      <c r="C90" s="161" t="s">
        <v>33</v>
      </c>
      <c r="D90" s="162" t="s">
        <v>258</v>
      </c>
      <c r="E90" s="252">
        <v>46111</v>
      </c>
      <c r="F90" s="164">
        <v>9</v>
      </c>
      <c r="G90" s="164">
        <v>7</v>
      </c>
      <c r="H90" s="164" t="s">
        <v>1500</v>
      </c>
    </row>
    <row r="91" ht="16" spans="1:8">
      <c r="A91" s="161" t="s">
        <v>259</v>
      </c>
      <c r="B91" s="161" t="s">
        <v>260</v>
      </c>
      <c r="C91" s="161" t="s">
        <v>7</v>
      </c>
      <c r="D91" s="162" t="s">
        <v>261</v>
      </c>
      <c r="E91" s="252">
        <v>46112</v>
      </c>
      <c r="F91" s="164">
        <v>4</v>
      </c>
      <c r="G91" s="164">
        <v>5</v>
      </c>
      <c r="H91" s="164" t="s">
        <v>1501</v>
      </c>
    </row>
    <row r="92" ht="16" spans="1:8">
      <c r="A92" s="161" t="s">
        <v>262</v>
      </c>
      <c r="B92" s="161" t="s">
        <v>263</v>
      </c>
      <c r="C92" s="161" t="s">
        <v>7</v>
      </c>
      <c r="D92" s="162" t="s">
        <v>264</v>
      </c>
      <c r="E92" s="252">
        <v>46113</v>
      </c>
      <c r="F92" s="164">
        <v>3</v>
      </c>
      <c r="G92" s="164">
        <v>6</v>
      </c>
      <c r="H92" s="164" t="s">
        <v>1495</v>
      </c>
    </row>
    <row r="93" ht="16" spans="1:8">
      <c r="A93" s="161" t="s">
        <v>265</v>
      </c>
      <c r="B93" s="161" t="s">
        <v>266</v>
      </c>
      <c r="C93" s="161" t="s">
        <v>44</v>
      </c>
      <c r="D93" s="162" t="s">
        <v>267</v>
      </c>
      <c r="E93" s="252">
        <v>46114</v>
      </c>
      <c r="F93" s="164">
        <v>8</v>
      </c>
      <c r="G93" s="164">
        <v>7</v>
      </c>
      <c r="H93" s="164" t="s">
        <v>1497</v>
      </c>
    </row>
    <row r="94" ht="16" spans="1:8">
      <c r="A94" s="161" t="s">
        <v>268</v>
      </c>
      <c r="B94" s="161" t="s">
        <v>269</v>
      </c>
      <c r="C94" s="161" t="s">
        <v>13</v>
      </c>
      <c r="D94" s="162" t="s">
        <v>270</v>
      </c>
      <c r="E94" s="252">
        <v>46115</v>
      </c>
      <c r="F94" s="164">
        <v>2</v>
      </c>
      <c r="G94" s="164">
        <v>8</v>
      </c>
      <c r="H94" s="164" t="s">
        <v>1498</v>
      </c>
    </row>
    <row r="95" ht="16" spans="1:8">
      <c r="A95" s="161" t="s">
        <v>271</v>
      </c>
      <c r="B95" s="161" t="s">
        <v>272</v>
      </c>
      <c r="C95" s="161" t="s">
        <v>13</v>
      </c>
      <c r="D95" s="162" t="s">
        <v>273</v>
      </c>
      <c r="E95" s="252">
        <v>46116</v>
      </c>
      <c r="F95" s="164">
        <v>9</v>
      </c>
      <c r="G95" s="164">
        <v>9</v>
      </c>
      <c r="H95" s="164" t="s">
        <v>1499</v>
      </c>
    </row>
    <row r="96" ht="16" spans="1:8">
      <c r="A96" s="161" t="s">
        <v>274</v>
      </c>
      <c r="B96" s="161" t="s">
        <v>275</v>
      </c>
      <c r="C96" s="161" t="s">
        <v>33</v>
      </c>
      <c r="D96" s="162" t="s">
        <v>276</v>
      </c>
      <c r="E96" s="252">
        <v>46117</v>
      </c>
      <c r="F96" s="164">
        <v>5</v>
      </c>
      <c r="G96" s="164">
        <v>4</v>
      </c>
      <c r="H96" s="164" t="s">
        <v>1500</v>
      </c>
    </row>
    <row r="97" ht="16" spans="1:8">
      <c r="A97" s="161" t="s">
        <v>277</v>
      </c>
      <c r="B97" s="161" t="s">
        <v>278</v>
      </c>
      <c r="C97" s="161" t="s">
        <v>33</v>
      </c>
      <c r="D97" s="162" t="s">
        <v>279</v>
      </c>
      <c r="E97" s="252">
        <v>46118</v>
      </c>
      <c r="F97" s="164">
        <v>3</v>
      </c>
      <c r="G97" s="164">
        <v>3</v>
      </c>
      <c r="H97" s="164" t="s">
        <v>1501</v>
      </c>
    </row>
    <row r="98" ht="16" spans="1:8">
      <c r="A98" s="161" t="s">
        <v>280</v>
      </c>
      <c r="B98" s="161" t="s">
        <v>281</v>
      </c>
      <c r="C98" s="161" t="s">
        <v>44</v>
      </c>
      <c r="D98" s="162" t="s">
        <v>282</v>
      </c>
      <c r="E98" s="252">
        <v>46119</v>
      </c>
      <c r="F98" s="164">
        <v>5</v>
      </c>
      <c r="G98" s="164">
        <v>8</v>
      </c>
      <c r="H98" s="164" t="s">
        <v>1495</v>
      </c>
    </row>
    <row r="99" ht="16" spans="1:8">
      <c r="A99" s="161" t="s">
        <v>283</v>
      </c>
      <c r="B99" s="161" t="s">
        <v>284</v>
      </c>
      <c r="C99" s="161" t="s">
        <v>33</v>
      </c>
      <c r="D99" s="162" t="s">
        <v>285</v>
      </c>
      <c r="E99" s="252">
        <v>46120</v>
      </c>
      <c r="F99" s="164">
        <v>7</v>
      </c>
      <c r="G99" s="164">
        <v>2</v>
      </c>
      <c r="H99" s="164" t="s">
        <v>1497</v>
      </c>
    </row>
    <row r="100" ht="16" spans="1:8">
      <c r="A100" s="161" t="s">
        <v>286</v>
      </c>
      <c r="B100" s="161" t="s">
        <v>287</v>
      </c>
      <c r="C100" s="161" t="s">
        <v>44</v>
      </c>
      <c r="D100" s="162" t="s">
        <v>288</v>
      </c>
      <c r="E100" s="252">
        <v>46121</v>
      </c>
      <c r="F100" s="164">
        <v>5</v>
      </c>
      <c r="G100" s="164">
        <v>9</v>
      </c>
      <c r="H100" s="164" t="s">
        <v>1498</v>
      </c>
    </row>
    <row r="101" ht="16" spans="1:8">
      <c r="A101" s="161" t="s">
        <v>289</v>
      </c>
      <c r="B101" s="161" t="s">
        <v>290</v>
      </c>
      <c r="C101" s="161" t="s">
        <v>44</v>
      </c>
      <c r="D101" s="162" t="s">
        <v>291</v>
      </c>
      <c r="E101" s="252">
        <v>46122</v>
      </c>
      <c r="F101" s="164">
        <v>6</v>
      </c>
      <c r="G101" s="164">
        <v>5</v>
      </c>
      <c r="H101" s="164" t="s">
        <v>1499</v>
      </c>
    </row>
    <row r="102" ht="16" spans="1:8">
      <c r="A102" s="161" t="s">
        <v>292</v>
      </c>
      <c r="B102" s="161" t="s">
        <v>293</v>
      </c>
      <c r="C102" s="161" t="s">
        <v>13</v>
      </c>
      <c r="D102" s="162" t="s">
        <v>294</v>
      </c>
      <c r="E102" s="252">
        <v>46123</v>
      </c>
      <c r="F102" s="164">
        <v>7</v>
      </c>
      <c r="G102" s="164">
        <v>3</v>
      </c>
      <c r="H102" s="164" t="s">
        <v>1500</v>
      </c>
    </row>
    <row r="103" ht="16" spans="1:8">
      <c r="A103" s="161" t="s">
        <v>295</v>
      </c>
      <c r="B103" s="161" t="s">
        <v>296</v>
      </c>
      <c r="C103" s="161" t="s">
        <v>44</v>
      </c>
      <c r="D103" s="162" t="s">
        <v>297</v>
      </c>
      <c r="E103" s="252">
        <v>46124</v>
      </c>
      <c r="F103" s="164">
        <v>8</v>
      </c>
      <c r="G103" s="164">
        <v>5</v>
      </c>
      <c r="H103" s="164" t="s">
        <v>1501</v>
      </c>
    </row>
    <row r="104" ht="16" spans="1:8">
      <c r="A104" s="161" t="s">
        <v>298</v>
      </c>
      <c r="B104" s="161" t="s">
        <v>299</v>
      </c>
      <c r="C104" s="161" t="s">
        <v>13</v>
      </c>
      <c r="D104" s="162" t="s">
        <v>300</v>
      </c>
      <c r="E104" s="252">
        <v>46125</v>
      </c>
      <c r="F104" s="164">
        <v>9</v>
      </c>
      <c r="G104" s="164">
        <v>7</v>
      </c>
      <c r="H104" s="164" t="s">
        <v>1495</v>
      </c>
    </row>
    <row r="105" ht="16" spans="1:8">
      <c r="A105" s="161" t="s">
        <v>301</v>
      </c>
      <c r="B105" s="161" t="s">
        <v>302</v>
      </c>
      <c r="C105" s="161" t="s">
        <v>7</v>
      </c>
      <c r="D105" s="162" t="s">
        <v>303</v>
      </c>
      <c r="E105" s="252">
        <v>46126</v>
      </c>
      <c r="F105" s="164">
        <v>4</v>
      </c>
      <c r="G105" s="164">
        <v>5</v>
      </c>
      <c r="H105" s="164" t="s">
        <v>1497</v>
      </c>
    </row>
    <row r="106" ht="16" spans="1:8">
      <c r="A106" s="161" t="s">
        <v>304</v>
      </c>
      <c r="B106" s="161" t="s">
        <v>305</v>
      </c>
      <c r="C106" s="161" t="s">
        <v>13</v>
      </c>
      <c r="D106" s="162" t="s">
        <v>306</v>
      </c>
      <c r="E106" s="252">
        <v>46127</v>
      </c>
      <c r="F106" s="164">
        <v>3</v>
      </c>
      <c r="G106" s="164">
        <v>6</v>
      </c>
      <c r="H106" s="164" t="s">
        <v>1498</v>
      </c>
    </row>
    <row r="107" ht="16" spans="1:8">
      <c r="A107" s="161" t="s">
        <v>307</v>
      </c>
      <c r="B107" s="161" t="s">
        <v>308</v>
      </c>
      <c r="C107" s="161" t="s">
        <v>44</v>
      </c>
      <c r="D107" s="162" t="s">
        <v>309</v>
      </c>
      <c r="E107" s="252">
        <v>46128</v>
      </c>
      <c r="F107" s="164">
        <v>8</v>
      </c>
      <c r="G107" s="164">
        <v>7</v>
      </c>
      <c r="H107" s="164" t="s">
        <v>1499</v>
      </c>
    </row>
    <row r="108" ht="16" spans="1:8">
      <c r="A108" s="161" t="s">
        <v>310</v>
      </c>
      <c r="B108" s="161" t="s">
        <v>311</v>
      </c>
      <c r="C108" s="161" t="s">
        <v>13</v>
      </c>
      <c r="D108" s="162" t="s">
        <v>312</v>
      </c>
      <c r="E108" s="252">
        <v>46129</v>
      </c>
      <c r="F108" s="164">
        <v>2</v>
      </c>
      <c r="G108" s="164">
        <v>8</v>
      </c>
      <c r="H108" s="164" t="s">
        <v>1500</v>
      </c>
    </row>
    <row r="109" ht="16" spans="1:8">
      <c r="A109" s="161" t="s">
        <v>313</v>
      </c>
      <c r="B109" s="161" t="s">
        <v>314</v>
      </c>
      <c r="C109" s="161" t="s">
        <v>7</v>
      </c>
      <c r="D109" s="162" t="s">
        <v>315</v>
      </c>
      <c r="E109" s="252">
        <v>46130</v>
      </c>
      <c r="F109" s="164">
        <v>9</v>
      </c>
      <c r="G109" s="164">
        <v>9</v>
      </c>
      <c r="H109" s="164" t="s">
        <v>1501</v>
      </c>
    </row>
    <row r="110" ht="16" spans="1:8">
      <c r="A110" s="161" t="s">
        <v>316</v>
      </c>
      <c r="B110" s="161" t="s">
        <v>317</v>
      </c>
      <c r="C110" s="161" t="s">
        <v>7</v>
      </c>
      <c r="D110" s="162" t="s">
        <v>318</v>
      </c>
      <c r="E110" s="252">
        <v>46131</v>
      </c>
      <c r="F110" s="164">
        <v>5</v>
      </c>
      <c r="G110" s="164">
        <v>4</v>
      </c>
      <c r="H110" s="164" t="s">
        <v>1495</v>
      </c>
    </row>
    <row r="111" ht="16" spans="1:8">
      <c r="A111" s="161" t="s">
        <v>319</v>
      </c>
      <c r="B111" s="161" t="s">
        <v>320</v>
      </c>
      <c r="C111" s="161" t="s">
        <v>33</v>
      </c>
      <c r="D111" s="162" t="s">
        <v>321</v>
      </c>
      <c r="E111" s="252">
        <v>46132</v>
      </c>
      <c r="F111" s="164">
        <v>3</v>
      </c>
      <c r="G111" s="164">
        <v>3</v>
      </c>
      <c r="H111" s="164" t="s">
        <v>1497</v>
      </c>
    </row>
    <row r="112" ht="16" spans="1:8">
      <c r="A112" s="161" t="s">
        <v>322</v>
      </c>
      <c r="B112" s="161" t="s">
        <v>323</v>
      </c>
      <c r="C112" s="161" t="s">
        <v>44</v>
      </c>
      <c r="D112" s="162" t="s">
        <v>324</v>
      </c>
      <c r="E112" s="252">
        <v>46133</v>
      </c>
      <c r="F112" s="164">
        <v>5</v>
      </c>
      <c r="G112" s="164">
        <v>8</v>
      </c>
      <c r="H112" s="164" t="s">
        <v>1498</v>
      </c>
    </row>
    <row r="113" ht="16" spans="1:8">
      <c r="A113" s="161" t="s">
        <v>325</v>
      </c>
      <c r="B113" s="161" t="s">
        <v>326</v>
      </c>
      <c r="C113" s="161" t="s">
        <v>13</v>
      </c>
      <c r="D113" s="162" t="s">
        <v>327</v>
      </c>
      <c r="E113" s="252">
        <v>46134</v>
      </c>
      <c r="F113" s="164">
        <v>7</v>
      </c>
      <c r="G113" s="164">
        <v>2</v>
      </c>
      <c r="H113" s="164" t="s">
        <v>1499</v>
      </c>
    </row>
    <row r="114" ht="16" spans="1:8">
      <c r="A114" s="161" t="s">
        <v>328</v>
      </c>
      <c r="B114" s="161" t="s">
        <v>329</v>
      </c>
      <c r="C114" s="161" t="s">
        <v>44</v>
      </c>
      <c r="D114" s="162" t="s">
        <v>330</v>
      </c>
      <c r="E114" s="252">
        <v>46135</v>
      </c>
      <c r="F114" s="164">
        <v>5</v>
      </c>
      <c r="G114" s="164">
        <v>9</v>
      </c>
      <c r="H114" s="164" t="s">
        <v>1500</v>
      </c>
    </row>
    <row r="115" ht="16" spans="1:8">
      <c r="A115" s="161" t="s">
        <v>331</v>
      </c>
      <c r="B115" s="161" t="s">
        <v>332</v>
      </c>
      <c r="C115" s="161" t="s">
        <v>7</v>
      </c>
      <c r="D115" s="162" t="s">
        <v>333</v>
      </c>
      <c r="E115" s="252">
        <v>46136</v>
      </c>
      <c r="F115" s="164">
        <v>6</v>
      </c>
      <c r="G115" s="164">
        <v>5</v>
      </c>
      <c r="H115" s="164" t="s">
        <v>1501</v>
      </c>
    </row>
    <row r="116" ht="16" spans="1:8">
      <c r="A116" s="161" t="s">
        <v>334</v>
      </c>
      <c r="B116" s="161" t="s">
        <v>335</v>
      </c>
      <c r="C116" s="161" t="s">
        <v>7</v>
      </c>
      <c r="D116" s="162" t="s">
        <v>336</v>
      </c>
      <c r="E116" s="252">
        <v>46137</v>
      </c>
      <c r="F116" s="164">
        <v>7</v>
      </c>
      <c r="G116" s="164">
        <v>3</v>
      </c>
      <c r="H116" s="164" t="s">
        <v>1495</v>
      </c>
    </row>
    <row r="117" ht="16" spans="1:8">
      <c r="A117" s="161" t="s">
        <v>337</v>
      </c>
      <c r="B117" s="161" t="s">
        <v>338</v>
      </c>
      <c r="C117" s="161" t="s">
        <v>44</v>
      </c>
      <c r="D117" s="162" t="s">
        <v>339</v>
      </c>
      <c r="E117" s="252">
        <v>46138</v>
      </c>
      <c r="F117" s="164">
        <v>8</v>
      </c>
      <c r="G117" s="164">
        <v>5</v>
      </c>
      <c r="H117" s="164" t="s">
        <v>1497</v>
      </c>
    </row>
    <row r="118" ht="16" spans="1:8">
      <c r="A118" s="161" t="s">
        <v>340</v>
      </c>
      <c r="B118" s="161" t="s">
        <v>341</v>
      </c>
      <c r="C118" s="161" t="s">
        <v>13</v>
      </c>
      <c r="D118" s="162" t="s">
        <v>342</v>
      </c>
      <c r="E118" s="252">
        <v>46139</v>
      </c>
      <c r="F118" s="164">
        <v>9</v>
      </c>
      <c r="G118" s="164">
        <v>7</v>
      </c>
      <c r="H118" s="164" t="s">
        <v>1498</v>
      </c>
    </row>
    <row r="119" ht="16" spans="1:8">
      <c r="A119" s="161" t="s">
        <v>343</v>
      </c>
      <c r="B119" s="161" t="s">
        <v>344</v>
      </c>
      <c r="C119" s="161" t="s">
        <v>44</v>
      </c>
      <c r="D119" s="162" t="s">
        <v>345</v>
      </c>
      <c r="E119" s="252">
        <v>46140</v>
      </c>
      <c r="F119" s="164">
        <v>4</v>
      </c>
      <c r="G119" s="164">
        <v>5</v>
      </c>
      <c r="H119" s="164" t="s">
        <v>1499</v>
      </c>
    </row>
    <row r="120" ht="16" spans="1:8">
      <c r="A120" s="161" t="s">
        <v>346</v>
      </c>
      <c r="B120" s="161" t="s">
        <v>347</v>
      </c>
      <c r="C120" s="161" t="s">
        <v>33</v>
      </c>
      <c r="D120" s="162" t="s">
        <v>348</v>
      </c>
      <c r="E120" s="252">
        <v>46141</v>
      </c>
      <c r="F120" s="164">
        <v>3</v>
      </c>
      <c r="G120" s="164">
        <v>6</v>
      </c>
      <c r="H120" s="164" t="s">
        <v>1500</v>
      </c>
    </row>
    <row r="121" ht="16" spans="1:8">
      <c r="A121" s="161" t="s">
        <v>349</v>
      </c>
      <c r="B121" s="161" t="s">
        <v>350</v>
      </c>
      <c r="C121" s="161" t="s">
        <v>33</v>
      </c>
      <c r="D121" s="162" t="s">
        <v>351</v>
      </c>
      <c r="E121" s="252">
        <v>46142</v>
      </c>
      <c r="F121" s="164">
        <v>8</v>
      </c>
      <c r="G121" s="164">
        <v>7</v>
      </c>
      <c r="H121" s="164" t="s">
        <v>1501</v>
      </c>
    </row>
    <row r="122" ht="16" spans="1:8">
      <c r="A122" s="161" t="s">
        <v>352</v>
      </c>
      <c r="B122" s="161" t="s">
        <v>353</v>
      </c>
      <c r="C122" s="161" t="s">
        <v>44</v>
      </c>
      <c r="D122" s="162" t="s">
        <v>354</v>
      </c>
      <c r="E122" s="252">
        <v>46143</v>
      </c>
      <c r="F122" s="164">
        <v>2</v>
      </c>
      <c r="G122" s="164">
        <v>8</v>
      </c>
      <c r="H122" s="164" t="s">
        <v>1495</v>
      </c>
    </row>
    <row r="123" ht="16" spans="1:8">
      <c r="A123" s="161" t="s">
        <v>355</v>
      </c>
      <c r="B123" s="161" t="s">
        <v>356</v>
      </c>
      <c r="C123" s="161" t="s">
        <v>33</v>
      </c>
      <c r="D123" s="162" t="s">
        <v>357</v>
      </c>
      <c r="E123" s="252">
        <v>46144</v>
      </c>
      <c r="F123" s="164">
        <v>9</v>
      </c>
      <c r="G123" s="164">
        <v>9</v>
      </c>
      <c r="H123" s="164" t="s">
        <v>1497</v>
      </c>
    </row>
    <row r="124" ht="16" spans="1:8">
      <c r="A124" s="161" t="s">
        <v>358</v>
      </c>
      <c r="B124" s="161" t="s">
        <v>359</v>
      </c>
      <c r="C124" s="161" t="s">
        <v>13</v>
      </c>
      <c r="D124" s="162" t="s">
        <v>360</v>
      </c>
      <c r="E124" s="252">
        <v>46145</v>
      </c>
      <c r="F124" s="164">
        <v>5</v>
      </c>
      <c r="G124" s="164">
        <v>4</v>
      </c>
      <c r="H124" s="164" t="s">
        <v>1498</v>
      </c>
    </row>
    <row r="125" ht="16" spans="1:8">
      <c r="A125" s="161" t="s">
        <v>361</v>
      </c>
      <c r="B125" s="161" t="s">
        <v>362</v>
      </c>
      <c r="C125" s="161" t="s">
        <v>7</v>
      </c>
      <c r="D125" s="162" t="s">
        <v>363</v>
      </c>
      <c r="E125" s="252">
        <v>46146</v>
      </c>
      <c r="F125" s="164">
        <v>3</v>
      </c>
      <c r="G125" s="164">
        <v>3</v>
      </c>
      <c r="H125" s="164" t="s">
        <v>1499</v>
      </c>
    </row>
    <row r="126" ht="16" spans="1:8">
      <c r="A126" s="161" t="s">
        <v>364</v>
      </c>
      <c r="B126" s="161" t="s">
        <v>365</v>
      </c>
      <c r="C126" s="161" t="s">
        <v>44</v>
      </c>
      <c r="D126" s="162" t="s">
        <v>366</v>
      </c>
      <c r="E126" s="252">
        <v>46147</v>
      </c>
      <c r="F126" s="164">
        <v>5</v>
      </c>
      <c r="G126" s="164">
        <v>8</v>
      </c>
      <c r="H126" s="164" t="s">
        <v>1500</v>
      </c>
    </row>
    <row r="127" ht="16" spans="1:8">
      <c r="A127" s="161" t="s">
        <v>367</v>
      </c>
      <c r="B127" s="161" t="s">
        <v>368</v>
      </c>
      <c r="C127" s="161" t="s">
        <v>33</v>
      </c>
      <c r="D127" s="162" t="s">
        <v>369</v>
      </c>
      <c r="E127" s="252">
        <v>46148</v>
      </c>
      <c r="F127" s="164">
        <v>7</v>
      </c>
      <c r="G127" s="164">
        <v>2</v>
      </c>
      <c r="H127" s="164" t="s">
        <v>1501</v>
      </c>
    </row>
    <row r="128" ht="16" spans="1:8">
      <c r="A128" s="161" t="s">
        <v>370</v>
      </c>
      <c r="B128" s="161" t="s">
        <v>371</v>
      </c>
      <c r="C128" s="161" t="s">
        <v>7</v>
      </c>
      <c r="D128" s="162" t="s">
        <v>372</v>
      </c>
      <c r="E128" s="252">
        <v>46149</v>
      </c>
      <c r="F128" s="164">
        <v>5</v>
      </c>
      <c r="G128" s="164">
        <v>9</v>
      </c>
      <c r="H128" s="164" t="s">
        <v>1495</v>
      </c>
    </row>
    <row r="129" ht="16" spans="1:8">
      <c r="A129" s="161" t="s">
        <v>373</v>
      </c>
      <c r="B129" s="161" t="s">
        <v>374</v>
      </c>
      <c r="C129" s="161" t="s">
        <v>10</v>
      </c>
      <c r="D129" s="162" t="s">
        <v>375</v>
      </c>
      <c r="E129" s="252">
        <v>46150</v>
      </c>
      <c r="F129" s="164">
        <v>6</v>
      </c>
      <c r="G129" s="164">
        <v>5</v>
      </c>
      <c r="H129" s="164" t="s">
        <v>1497</v>
      </c>
    </row>
    <row r="130" ht="16" spans="1:8">
      <c r="A130" s="161" t="s">
        <v>376</v>
      </c>
      <c r="B130" s="161" t="s">
        <v>377</v>
      </c>
      <c r="C130" s="161" t="s">
        <v>44</v>
      </c>
      <c r="D130" s="162" t="s">
        <v>378</v>
      </c>
      <c r="E130" s="252">
        <v>46151</v>
      </c>
      <c r="F130" s="164">
        <v>7</v>
      </c>
      <c r="G130" s="164">
        <v>3</v>
      </c>
      <c r="H130" s="164" t="s">
        <v>1498</v>
      </c>
    </row>
    <row r="131" ht="16" spans="1:8">
      <c r="A131" s="161" t="s">
        <v>379</v>
      </c>
      <c r="B131" s="161" t="s">
        <v>380</v>
      </c>
      <c r="C131" s="161" t="s">
        <v>10</v>
      </c>
      <c r="D131" s="162" t="s">
        <v>381</v>
      </c>
      <c r="E131" s="252">
        <v>46152</v>
      </c>
      <c r="F131" s="164">
        <v>8</v>
      </c>
      <c r="G131" s="164">
        <v>5</v>
      </c>
      <c r="H131" s="164" t="s">
        <v>1499</v>
      </c>
    </row>
    <row r="132" ht="16" spans="1:8">
      <c r="A132" s="161" t="s">
        <v>382</v>
      </c>
      <c r="B132" s="161" t="s">
        <v>383</v>
      </c>
      <c r="C132" s="161" t="s">
        <v>33</v>
      </c>
      <c r="D132" s="162" t="s">
        <v>384</v>
      </c>
      <c r="E132" s="252">
        <v>46153</v>
      </c>
      <c r="F132" s="164">
        <v>9</v>
      </c>
      <c r="G132" s="164">
        <v>7</v>
      </c>
      <c r="H132" s="164" t="s">
        <v>1500</v>
      </c>
    </row>
    <row r="133" ht="16" spans="1:8">
      <c r="A133" s="161" t="s">
        <v>385</v>
      </c>
      <c r="B133" s="161" t="s">
        <v>386</v>
      </c>
      <c r="C133" s="161" t="s">
        <v>44</v>
      </c>
      <c r="D133" s="162" t="s">
        <v>387</v>
      </c>
      <c r="E133" s="252">
        <v>46154</v>
      </c>
      <c r="F133" s="164">
        <v>4</v>
      </c>
      <c r="G133" s="164">
        <v>5</v>
      </c>
      <c r="H133" s="164" t="s">
        <v>1501</v>
      </c>
    </row>
    <row r="134" ht="16" spans="1:8">
      <c r="A134" s="161" t="s">
        <v>388</v>
      </c>
      <c r="B134" s="161" t="s">
        <v>389</v>
      </c>
      <c r="C134" s="161" t="s">
        <v>44</v>
      </c>
      <c r="D134" s="162" t="s">
        <v>390</v>
      </c>
      <c r="E134" s="252">
        <v>46155</v>
      </c>
      <c r="F134" s="164">
        <v>3</v>
      </c>
      <c r="G134" s="164">
        <v>6</v>
      </c>
      <c r="H134" s="164" t="s">
        <v>1495</v>
      </c>
    </row>
    <row r="135" ht="16" spans="1:8">
      <c r="A135" s="161" t="s">
        <v>391</v>
      </c>
      <c r="B135" s="161" t="s">
        <v>392</v>
      </c>
      <c r="C135" s="161" t="s">
        <v>7</v>
      </c>
      <c r="D135" s="162" t="s">
        <v>393</v>
      </c>
      <c r="E135" s="252">
        <v>46156</v>
      </c>
      <c r="F135" s="164">
        <v>8</v>
      </c>
      <c r="G135" s="164">
        <v>7</v>
      </c>
      <c r="H135" s="164" t="s">
        <v>1497</v>
      </c>
    </row>
    <row r="136" ht="16" spans="1:8">
      <c r="A136" s="161" t="s">
        <v>394</v>
      </c>
      <c r="B136" s="161" t="s">
        <v>395</v>
      </c>
      <c r="C136" s="161" t="s">
        <v>44</v>
      </c>
      <c r="D136" s="162" t="s">
        <v>396</v>
      </c>
      <c r="E136" s="252">
        <v>46157</v>
      </c>
      <c r="F136" s="164">
        <v>2</v>
      </c>
      <c r="G136" s="164">
        <v>8</v>
      </c>
      <c r="H136" s="164" t="s">
        <v>1498</v>
      </c>
    </row>
    <row r="137" ht="16" spans="1:8">
      <c r="A137" s="161" t="s">
        <v>397</v>
      </c>
      <c r="B137" s="161" t="s">
        <v>398</v>
      </c>
      <c r="C137" s="161" t="s">
        <v>44</v>
      </c>
      <c r="D137" s="162" t="s">
        <v>399</v>
      </c>
      <c r="E137" s="252">
        <v>46158</v>
      </c>
      <c r="F137" s="164">
        <v>9</v>
      </c>
      <c r="G137" s="164">
        <v>9</v>
      </c>
      <c r="H137" s="164" t="s">
        <v>1499</v>
      </c>
    </row>
    <row r="138" ht="16" spans="1:8">
      <c r="A138" s="161" t="s">
        <v>400</v>
      </c>
      <c r="B138" s="161" t="s">
        <v>401</v>
      </c>
      <c r="C138" s="161" t="s">
        <v>13</v>
      </c>
      <c r="D138" s="162" t="s">
        <v>402</v>
      </c>
      <c r="E138" s="252">
        <v>46159</v>
      </c>
      <c r="F138" s="164">
        <v>5</v>
      </c>
      <c r="G138" s="164">
        <v>4</v>
      </c>
      <c r="H138" s="164" t="s">
        <v>1500</v>
      </c>
    </row>
    <row r="139" ht="16" spans="1:8">
      <c r="A139" s="161" t="s">
        <v>403</v>
      </c>
      <c r="B139" s="161" t="s">
        <v>404</v>
      </c>
      <c r="C139" s="161" t="s">
        <v>13</v>
      </c>
      <c r="D139" s="162" t="s">
        <v>405</v>
      </c>
      <c r="E139" s="252">
        <v>46160</v>
      </c>
      <c r="F139" s="164">
        <v>3</v>
      </c>
      <c r="G139" s="164">
        <v>3</v>
      </c>
      <c r="H139" s="164" t="s">
        <v>1501</v>
      </c>
    </row>
    <row r="140" ht="16" spans="1:8">
      <c r="A140" s="161" t="s">
        <v>406</v>
      </c>
      <c r="B140" s="161" t="s">
        <v>407</v>
      </c>
      <c r="C140" s="161" t="s">
        <v>10</v>
      </c>
      <c r="D140" s="162" t="s">
        <v>408</v>
      </c>
      <c r="E140" s="252">
        <v>46161</v>
      </c>
      <c r="F140" s="164">
        <v>5</v>
      </c>
      <c r="G140" s="164">
        <v>8</v>
      </c>
      <c r="H140" s="164" t="s">
        <v>1495</v>
      </c>
    </row>
    <row r="141" ht="16" spans="1:8">
      <c r="A141" s="161" t="s">
        <v>409</v>
      </c>
      <c r="B141" s="161" t="s">
        <v>410</v>
      </c>
      <c r="C141" s="161" t="s">
        <v>10</v>
      </c>
      <c r="D141" s="162" t="s">
        <v>411</v>
      </c>
      <c r="E141" s="252">
        <v>46162</v>
      </c>
      <c r="F141" s="164">
        <v>7</v>
      </c>
      <c r="G141" s="164">
        <v>2</v>
      </c>
      <c r="H141" s="164" t="s">
        <v>1497</v>
      </c>
    </row>
    <row r="142" ht="16" spans="1:8">
      <c r="A142" s="161" t="s">
        <v>412</v>
      </c>
      <c r="B142" s="161" t="s">
        <v>413</v>
      </c>
      <c r="C142" s="161" t="s">
        <v>13</v>
      </c>
      <c r="D142" s="162" t="s">
        <v>414</v>
      </c>
      <c r="E142" s="252">
        <v>46163</v>
      </c>
      <c r="F142" s="164">
        <v>5</v>
      </c>
      <c r="G142" s="164">
        <v>9</v>
      </c>
      <c r="H142" s="164" t="s">
        <v>1498</v>
      </c>
    </row>
    <row r="143" ht="16" spans="1:8">
      <c r="A143" s="161" t="s">
        <v>415</v>
      </c>
      <c r="B143" s="161" t="s">
        <v>416</v>
      </c>
      <c r="C143" s="161" t="s">
        <v>13</v>
      </c>
      <c r="D143" s="162" t="s">
        <v>417</v>
      </c>
      <c r="E143" s="252">
        <v>46164</v>
      </c>
      <c r="F143" s="164">
        <v>6</v>
      </c>
      <c r="G143" s="164">
        <v>5</v>
      </c>
      <c r="H143" s="164" t="s">
        <v>1499</v>
      </c>
    </row>
    <row r="144" ht="16" spans="1:8">
      <c r="A144" s="161" t="s">
        <v>418</v>
      </c>
      <c r="B144" s="161" t="s">
        <v>419</v>
      </c>
      <c r="C144" s="161" t="s">
        <v>44</v>
      </c>
      <c r="D144" s="162" t="s">
        <v>420</v>
      </c>
      <c r="E144" s="252">
        <v>46165</v>
      </c>
      <c r="F144" s="164">
        <v>7</v>
      </c>
      <c r="G144" s="164">
        <v>3</v>
      </c>
      <c r="H144" s="164" t="s">
        <v>1500</v>
      </c>
    </row>
    <row r="145" ht="16" spans="1:8">
      <c r="A145" s="161" t="s">
        <v>421</v>
      </c>
      <c r="B145" s="161" t="s">
        <v>422</v>
      </c>
      <c r="C145" s="161" t="s">
        <v>7</v>
      </c>
      <c r="D145" s="162" t="s">
        <v>423</v>
      </c>
      <c r="E145" s="252">
        <v>46166</v>
      </c>
      <c r="F145" s="164">
        <v>8</v>
      </c>
      <c r="G145" s="164">
        <v>5</v>
      </c>
      <c r="H145" s="164" t="s">
        <v>1501</v>
      </c>
    </row>
    <row r="146" ht="16" spans="1:8">
      <c r="A146" s="161" t="s">
        <v>424</v>
      </c>
      <c r="B146" s="161" t="s">
        <v>425</v>
      </c>
      <c r="C146" s="161" t="s">
        <v>33</v>
      </c>
      <c r="D146" s="162" t="s">
        <v>426</v>
      </c>
      <c r="E146" s="252">
        <v>46167</v>
      </c>
      <c r="F146" s="164">
        <v>9</v>
      </c>
      <c r="G146" s="164">
        <v>7</v>
      </c>
      <c r="H146" s="164" t="s">
        <v>1495</v>
      </c>
    </row>
    <row r="147" ht="16" spans="1:8">
      <c r="A147" s="161" t="s">
        <v>427</v>
      </c>
      <c r="B147" s="161" t="s">
        <v>428</v>
      </c>
      <c r="C147" s="161" t="s">
        <v>44</v>
      </c>
      <c r="D147" s="162" t="s">
        <v>429</v>
      </c>
      <c r="E147" s="252">
        <v>46168</v>
      </c>
      <c r="F147" s="164">
        <v>4</v>
      </c>
      <c r="G147" s="164">
        <v>5</v>
      </c>
      <c r="H147" s="164" t="s">
        <v>1497</v>
      </c>
    </row>
    <row r="148" ht="16" spans="1:8">
      <c r="A148" s="161" t="s">
        <v>430</v>
      </c>
      <c r="B148" s="161" t="s">
        <v>431</v>
      </c>
      <c r="C148" s="161" t="s">
        <v>13</v>
      </c>
      <c r="D148" s="162" t="s">
        <v>432</v>
      </c>
      <c r="E148" s="252">
        <v>46169</v>
      </c>
      <c r="F148" s="164">
        <v>3</v>
      </c>
      <c r="G148" s="164">
        <v>6</v>
      </c>
      <c r="H148" s="164" t="s">
        <v>1498</v>
      </c>
    </row>
    <row r="149" ht="16" spans="1:8">
      <c r="A149" s="161" t="s">
        <v>433</v>
      </c>
      <c r="B149" s="161" t="s">
        <v>434</v>
      </c>
      <c r="C149" s="161" t="s">
        <v>13</v>
      </c>
      <c r="D149" s="162" t="s">
        <v>435</v>
      </c>
      <c r="E149" s="252">
        <v>46170</v>
      </c>
      <c r="F149" s="164">
        <v>8</v>
      </c>
      <c r="G149" s="164">
        <v>7</v>
      </c>
      <c r="H149" s="164" t="s">
        <v>1499</v>
      </c>
    </row>
    <row r="150" ht="16" spans="1:8">
      <c r="A150" s="161" t="s">
        <v>436</v>
      </c>
      <c r="B150" s="161" t="s">
        <v>437</v>
      </c>
      <c r="C150" s="161" t="s">
        <v>7</v>
      </c>
      <c r="D150" s="162" t="s">
        <v>438</v>
      </c>
      <c r="E150" s="252">
        <v>46171</v>
      </c>
      <c r="F150" s="164">
        <v>2</v>
      </c>
      <c r="G150" s="164">
        <v>8</v>
      </c>
      <c r="H150" s="164" t="s">
        <v>1500</v>
      </c>
    </row>
    <row r="151" ht="16" spans="1:8">
      <c r="A151" s="161" t="s">
        <v>439</v>
      </c>
      <c r="B151" s="161" t="s">
        <v>440</v>
      </c>
      <c r="C151" s="161" t="s">
        <v>44</v>
      </c>
      <c r="D151" s="162" t="s">
        <v>441</v>
      </c>
      <c r="E151" s="252">
        <v>46172</v>
      </c>
      <c r="F151" s="164">
        <v>9</v>
      </c>
      <c r="G151" s="164">
        <v>9</v>
      </c>
      <c r="H151" s="164" t="s">
        <v>1501</v>
      </c>
    </row>
    <row r="152" ht="16" spans="1:8">
      <c r="A152" s="161" t="s">
        <v>442</v>
      </c>
      <c r="B152" s="161" t="s">
        <v>443</v>
      </c>
      <c r="C152" s="161" t="s">
        <v>10</v>
      </c>
      <c r="D152" s="162" t="s">
        <v>444</v>
      </c>
      <c r="E152" s="252">
        <v>46173</v>
      </c>
      <c r="F152" s="164">
        <v>5</v>
      </c>
      <c r="G152" s="164">
        <v>4</v>
      </c>
      <c r="H152" s="164" t="s">
        <v>1495</v>
      </c>
    </row>
    <row r="153" ht="16" spans="1:8">
      <c r="A153" s="161" t="s">
        <v>445</v>
      </c>
      <c r="B153" s="161" t="s">
        <v>446</v>
      </c>
      <c r="C153" s="161" t="s">
        <v>13</v>
      </c>
      <c r="D153" s="162" t="s">
        <v>447</v>
      </c>
      <c r="E153" s="252">
        <v>46174</v>
      </c>
      <c r="F153" s="164">
        <v>3</v>
      </c>
      <c r="G153" s="164">
        <v>3</v>
      </c>
      <c r="H153" s="164" t="s">
        <v>1497</v>
      </c>
    </row>
    <row r="154" ht="16" spans="1:8">
      <c r="A154" s="161" t="s">
        <v>448</v>
      </c>
      <c r="B154" s="161" t="s">
        <v>449</v>
      </c>
      <c r="C154" s="161" t="s">
        <v>13</v>
      </c>
      <c r="D154" s="162" t="s">
        <v>450</v>
      </c>
      <c r="E154" s="252">
        <v>46175</v>
      </c>
      <c r="F154" s="164">
        <v>5</v>
      </c>
      <c r="G154" s="164">
        <v>8</v>
      </c>
      <c r="H154" s="164" t="s">
        <v>1498</v>
      </c>
    </row>
    <row r="155" ht="16" spans="1:8">
      <c r="A155" s="161" t="s">
        <v>451</v>
      </c>
      <c r="B155" s="161" t="s">
        <v>452</v>
      </c>
      <c r="C155" s="161" t="s">
        <v>33</v>
      </c>
      <c r="D155" s="162" t="s">
        <v>453</v>
      </c>
      <c r="E155" s="252">
        <v>46176</v>
      </c>
      <c r="F155" s="164">
        <v>7</v>
      </c>
      <c r="G155" s="164">
        <v>2</v>
      </c>
      <c r="H155" s="164" t="s">
        <v>1499</v>
      </c>
    </row>
    <row r="156" ht="16" spans="1:8">
      <c r="A156" s="161" t="s">
        <v>454</v>
      </c>
      <c r="B156" s="161" t="s">
        <v>455</v>
      </c>
      <c r="C156" s="161" t="s">
        <v>7</v>
      </c>
      <c r="D156" s="162" t="s">
        <v>456</v>
      </c>
      <c r="E156" s="252">
        <v>46177</v>
      </c>
      <c r="F156" s="164">
        <v>5</v>
      </c>
      <c r="G156" s="164">
        <v>9</v>
      </c>
      <c r="H156" s="164" t="s">
        <v>1500</v>
      </c>
    </row>
    <row r="157" ht="16" spans="1:8">
      <c r="A157" s="161" t="s">
        <v>457</v>
      </c>
      <c r="B157" s="161" t="s">
        <v>458</v>
      </c>
      <c r="C157" s="161" t="s">
        <v>10</v>
      </c>
      <c r="D157" s="162" t="s">
        <v>459</v>
      </c>
      <c r="E157" s="252">
        <v>46178</v>
      </c>
      <c r="F157" s="164">
        <v>6</v>
      </c>
      <c r="G157" s="164">
        <v>5</v>
      </c>
      <c r="H157" s="164" t="s">
        <v>1501</v>
      </c>
    </row>
    <row r="158" ht="16" spans="1:8">
      <c r="A158" s="161" t="s">
        <v>460</v>
      </c>
      <c r="B158" s="161" t="s">
        <v>461</v>
      </c>
      <c r="C158" s="161" t="s">
        <v>44</v>
      </c>
      <c r="D158" s="162" t="s">
        <v>462</v>
      </c>
      <c r="E158" s="252">
        <v>46179</v>
      </c>
      <c r="F158" s="164">
        <v>7</v>
      </c>
      <c r="G158" s="164">
        <v>3</v>
      </c>
      <c r="H158" s="164" t="s">
        <v>1495</v>
      </c>
    </row>
    <row r="159" ht="16" spans="1:8">
      <c r="A159" s="161" t="s">
        <v>463</v>
      </c>
      <c r="B159" s="161" t="s">
        <v>464</v>
      </c>
      <c r="C159" s="161" t="s">
        <v>44</v>
      </c>
      <c r="D159" s="162" t="s">
        <v>465</v>
      </c>
      <c r="E159" s="252">
        <v>46180</v>
      </c>
      <c r="F159" s="164">
        <v>8</v>
      </c>
      <c r="G159" s="164">
        <v>5</v>
      </c>
      <c r="H159" s="164" t="s">
        <v>1497</v>
      </c>
    </row>
    <row r="160" ht="16" spans="1:8">
      <c r="A160" s="161" t="s">
        <v>466</v>
      </c>
      <c r="B160" s="161" t="s">
        <v>467</v>
      </c>
      <c r="C160" s="161" t="s">
        <v>10</v>
      </c>
      <c r="D160" s="162" t="s">
        <v>468</v>
      </c>
      <c r="E160" s="252">
        <v>46181</v>
      </c>
      <c r="F160" s="164">
        <v>9</v>
      </c>
      <c r="G160" s="164">
        <v>7</v>
      </c>
      <c r="H160" s="164" t="s">
        <v>1498</v>
      </c>
    </row>
    <row r="161" ht="16" spans="1:8">
      <c r="A161" s="161" t="s">
        <v>469</v>
      </c>
      <c r="B161" s="161" t="s">
        <v>470</v>
      </c>
      <c r="C161" s="161" t="s">
        <v>13</v>
      </c>
      <c r="D161" s="162" t="s">
        <v>471</v>
      </c>
      <c r="E161" s="252">
        <v>46182</v>
      </c>
      <c r="F161" s="164">
        <v>4</v>
      </c>
      <c r="G161" s="164">
        <v>5</v>
      </c>
      <c r="H161" s="164" t="s">
        <v>1499</v>
      </c>
    </row>
    <row r="162" ht="16" spans="1:8">
      <c r="A162" s="161" t="s">
        <v>472</v>
      </c>
      <c r="B162" s="161" t="s">
        <v>473</v>
      </c>
      <c r="C162" s="161" t="s">
        <v>44</v>
      </c>
      <c r="D162" s="162" t="s">
        <v>474</v>
      </c>
      <c r="E162" s="252">
        <v>46183</v>
      </c>
      <c r="F162" s="164">
        <v>3</v>
      </c>
      <c r="G162" s="164">
        <v>6</v>
      </c>
      <c r="H162" s="164" t="s">
        <v>1500</v>
      </c>
    </row>
    <row r="163" ht="16" spans="1:8">
      <c r="A163" s="161" t="s">
        <v>475</v>
      </c>
      <c r="B163" s="161" t="s">
        <v>476</v>
      </c>
      <c r="C163" s="161" t="s">
        <v>7</v>
      </c>
      <c r="D163" s="162" t="s">
        <v>477</v>
      </c>
      <c r="E163" s="252">
        <v>46184</v>
      </c>
      <c r="F163" s="164">
        <v>8</v>
      </c>
      <c r="G163" s="164">
        <v>7</v>
      </c>
      <c r="H163" s="164" t="s">
        <v>1501</v>
      </c>
    </row>
    <row r="164" ht="16" spans="1:8">
      <c r="A164" s="161" t="s">
        <v>478</v>
      </c>
      <c r="B164" s="161" t="s">
        <v>479</v>
      </c>
      <c r="C164" s="161" t="s">
        <v>7</v>
      </c>
      <c r="D164" s="162" t="s">
        <v>480</v>
      </c>
      <c r="E164" s="252">
        <v>46185</v>
      </c>
      <c r="F164" s="164">
        <v>2</v>
      </c>
      <c r="G164" s="164">
        <v>8</v>
      </c>
      <c r="H164" s="164" t="s">
        <v>1495</v>
      </c>
    </row>
    <row r="165" ht="16" spans="1:8">
      <c r="A165" s="161" t="s">
        <v>481</v>
      </c>
      <c r="B165" s="161" t="s">
        <v>482</v>
      </c>
      <c r="C165" s="161" t="s">
        <v>13</v>
      </c>
      <c r="D165" s="162" t="s">
        <v>483</v>
      </c>
      <c r="E165" s="252">
        <v>46186</v>
      </c>
      <c r="F165" s="164">
        <v>9</v>
      </c>
      <c r="G165" s="164">
        <v>9</v>
      </c>
      <c r="H165" s="164" t="s">
        <v>1497</v>
      </c>
    </row>
    <row r="166" ht="16" spans="1:8">
      <c r="A166" s="161" t="s">
        <v>484</v>
      </c>
      <c r="B166" s="161" t="s">
        <v>485</v>
      </c>
      <c r="C166" s="161" t="s">
        <v>10</v>
      </c>
      <c r="D166" s="162" t="s">
        <v>486</v>
      </c>
      <c r="E166" s="252">
        <v>46187</v>
      </c>
      <c r="F166" s="164">
        <v>5</v>
      </c>
      <c r="G166" s="164">
        <v>4</v>
      </c>
      <c r="H166" s="164" t="s">
        <v>1498</v>
      </c>
    </row>
    <row r="167" ht="16" spans="1:8">
      <c r="A167" s="161" t="s">
        <v>487</v>
      </c>
      <c r="B167" s="161" t="s">
        <v>488</v>
      </c>
      <c r="C167" s="161" t="s">
        <v>13</v>
      </c>
      <c r="D167" s="162" t="s">
        <v>489</v>
      </c>
      <c r="E167" s="252">
        <v>46188</v>
      </c>
      <c r="F167" s="164">
        <v>3</v>
      </c>
      <c r="G167" s="164">
        <v>3</v>
      </c>
      <c r="H167" s="164" t="s">
        <v>1499</v>
      </c>
    </row>
    <row r="168" ht="16" spans="1:8">
      <c r="A168" s="161" t="s">
        <v>490</v>
      </c>
      <c r="B168" s="161" t="s">
        <v>491</v>
      </c>
      <c r="C168" s="161" t="s">
        <v>44</v>
      </c>
      <c r="D168" s="162" t="s">
        <v>492</v>
      </c>
      <c r="E168" s="252">
        <v>46189</v>
      </c>
      <c r="F168" s="164">
        <v>5</v>
      </c>
      <c r="G168" s="164">
        <v>8</v>
      </c>
      <c r="H168" s="164" t="s">
        <v>1500</v>
      </c>
    </row>
    <row r="169" ht="16" spans="1:8">
      <c r="A169" s="161" t="s">
        <v>493</v>
      </c>
      <c r="B169" s="161" t="s">
        <v>494</v>
      </c>
      <c r="C169" s="161" t="s">
        <v>10</v>
      </c>
      <c r="D169" s="162" t="s">
        <v>495</v>
      </c>
      <c r="E169" s="252">
        <v>46190</v>
      </c>
      <c r="F169" s="164">
        <v>7</v>
      </c>
      <c r="G169" s="164">
        <v>2</v>
      </c>
      <c r="H169" s="164" t="s">
        <v>1501</v>
      </c>
    </row>
    <row r="170" ht="16" spans="1:8">
      <c r="A170" s="161" t="s">
        <v>496</v>
      </c>
      <c r="B170" s="161" t="s">
        <v>497</v>
      </c>
      <c r="C170" s="161" t="s">
        <v>13</v>
      </c>
      <c r="D170" s="162" t="s">
        <v>498</v>
      </c>
      <c r="E170" s="252">
        <v>46191</v>
      </c>
      <c r="F170" s="164">
        <v>5</v>
      </c>
      <c r="G170" s="164">
        <v>9</v>
      </c>
      <c r="H170" s="164" t="s">
        <v>1495</v>
      </c>
    </row>
    <row r="171" ht="16" spans="1:8">
      <c r="A171" s="161" t="s">
        <v>499</v>
      </c>
      <c r="B171" s="161" t="s">
        <v>500</v>
      </c>
      <c r="C171" s="161" t="s">
        <v>44</v>
      </c>
      <c r="D171" s="162" t="s">
        <v>501</v>
      </c>
      <c r="E171" s="252">
        <v>46192</v>
      </c>
      <c r="F171" s="164">
        <v>6</v>
      </c>
      <c r="G171" s="164">
        <v>5</v>
      </c>
      <c r="H171" s="164" t="s">
        <v>1497</v>
      </c>
    </row>
    <row r="172" ht="16" spans="1:8">
      <c r="A172" s="161" t="s">
        <v>502</v>
      </c>
      <c r="B172" s="161" t="s">
        <v>503</v>
      </c>
      <c r="C172" s="161" t="s">
        <v>44</v>
      </c>
      <c r="D172" s="162" t="s">
        <v>504</v>
      </c>
      <c r="E172" s="252">
        <v>46193</v>
      </c>
      <c r="F172" s="164">
        <v>7</v>
      </c>
      <c r="G172" s="164">
        <v>3</v>
      </c>
      <c r="H172" s="164" t="s">
        <v>1498</v>
      </c>
    </row>
    <row r="173" ht="16" spans="1:8">
      <c r="A173" s="161" t="s">
        <v>505</v>
      </c>
      <c r="B173" s="161" t="s">
        <v>506</v>
      </c>
      <c r="C173" s="161" t="s">
        <v>7</v>
      </c>
      <c r="D173" s="162" t="s">
        <v>507</v>
      </c>
      <c r="E173" s="252">
        <v>46194</v>
      </c>
      <c r="F173" s="164">
        <v>8</v>
      </c>
      <c r="G173" s="164">
        <v>5</v>
      </c>
      <c r="H173" s="164" t="s">
        <v>1499</v>
      </c>
    </row>
    <row r="174" ht="16" spans="1:8">
      <c r="A174" s="161" t="s">
        <v>508</v>
      </c>
      <c r="B174" s="161" t="s">
        <v>509</v>
      </c>
      <c r="C174" s="161" t="s">
        <v>7</v>
      </c>
      <c r="D174" s="162" t="s">
        <v>510</v>
      </c>
      <c r="E174" s="252">
        <v>46195</v>
      </c>
      <c r="F174" s="164">
        <v>9</v>
      </c>
      <c r="G174" s="164">
        <v>7</v>
      </c>
      <c r="H174" s="164" t="s">
        <v>1500</v>
      </c>
    </row>
    <row r="175" ht="16" spans="1:8">
      <c r="A175" s="161" t="s">
        <v>511</v>
      </c>
      <c r="B175" s="161" t="s">
        <v>512</v>
      </c>
      <c r="C175" s="161" t="s">
        <v>44</v>
      </c>
      <c r="D175" s="162" t="s">
        <v>513</v>
      </c>
      <c r="E175" s="252">
        <v>46196</v>
      </c>
      <c r="F175" s="164">
        <v>4</v>
      </c>
      <c r="G175" s="164">
        <v>5</v>
      </c>
      <c r="H175" s="164" t="s">
        <v>1501</v>
      </c>
    </row>
    <row r="176" ht="16" spans="1:8">
      <c r="A176" s="161" t="s">
        <v>514</v>
      </c>
      <c r="B176" s="161" t="s">
        <v>515</v>
      </c>
      <c r="C176" s="161" t="s">
        <v>10</v>
      </c>
      <c r="D176" s="162" t="s">
        <v>516</v>
      </c>
      <c r="E176" s="252">
        <v>46197</v>
      </c>
      <c r="F176" s="164">
        <v>3</v>
      </c>
      <c r="G176" s="164">
        <v>6</v>
      </c>
      <c r="H176" s="164" t="s">
        <v>1495</v>
      </c>
    </row>
    <row r="177" ht="16" spans="1:8">
      <c r="A177" s="161" t="s">
        <v>517</v>
      </c>
      <c r="B177" s="161" t="s">
        <v>518</v>
      </c>
      <c r="C177" s="161" t="s">
        <v>33</v>
      </c>
      <c r="D177" s="162" t="s">
        <v>519</v>
      </c>
      <c r="E177" s="252">
        <v>46198</v>
      </c>
      <c r="F177" s="164">
        <v>8</v>
      </c>
      <c r="G177" s="164">
        <v>7</v>
      </c>
      <c r="H177" s="164" t="s">
        <v>1497</v>
      </c>
    </row>
    <row r="178" ht="16" spans="1:8">
      <c r="A178" s="161" t="s">
        <v>520</v>
      </c>
      <c r="B178" s="161" t="s">
        <v>521</v>
      </c>
      <c r="C178" s="161" t="s">
        <v>44</v>
      </c>
      <c r="D178" s="162" t="s">
        <v>522</v>
      </c>
      <c r="E178" s="252">
        <v>46199</v>
      </c>
      <c r="F178" s="164">
        <v>2</v>
      </c>
      <c r="G178" s="164">
        <v>8</v>
      </c>
      <c r="H178" s="164" t="s">
        <v>1498</v>
      </c>
    </row>
    <row r="179" ht="16" spans="1:8">
      <c r="A179" s="161" t="s">
        <v>523</v>
      </c>
      <c r="B179" s="161" t="s">
        <v>524</v>
      </c>
      <c r="C179" s="161" t="s">
        <v>7</v>
      </c>
      <c r="D179" s="162" t="s">
        <v>525</v>
      </c>
      <c r="E179" s="252">
        <v>46200</v>
      </c>
      <c r="F179" s="164">
        <v>9</v>
      </c>
      <c r="G179" s="164">
        <v>9</v>
      </c>
      <c r="H179" s="164" t="s">
        <v>1499</v>
      </c>
    </row>
    <row r="180" ht="16" spans="1:8">
      <c r="A180" s="161" t="s">
        <v>526</v>
      </c>
      <c r="B180" s="161" t="s">
        <v>527</v>
      </c>
      <c r="C180" s="161" t="s">
        <v>33</v>
      </c>
      <c r="D180" s="162" t="s">
        <v>528</v>
      </c>
      <c r="E180" s="252">
        <v>46201</v>
      </c>
      <c r="F180" s="164">
        <v>5</v>
      </c>
      <c r="G180" s="164">
        <v>4</v>
      </c>
      <c r="H180" s="164" t="s">
        <v>1500</v>
      </c>
    </row>
    <row r="181" ht="16" spans="1:8">
      <c r="A181" s="161" t="s">
        <v>529</v>
      </c>
      <c r="B181" s="161" t="s">
        <v>530</v>
      </c>
      <c r="C181" s="161" t="s">
        <v>44</v>
      </c>
      <c r="D181" s="162" t="s">
        <v>531</v>
      </c>
      <c r="E181" s="252">
        <v>46202</v>
      </c>
      <c r="F181" s="164">
        <v>3</v>
      </c>
      <c r="G181" s="164">
        <v>3</v>
      </c>
      <c r="H181" s="164" t="s">
        <v>1501</v>
      </c>
    </row>
    <row r="182" ht="16" spans="1:8">
      <c r="A182" s="161" t="s">
        <v>532</v>
      </c>
      <c r="B182" s="161" t="s">
        <v>533</v>
      </c>
      <c r="C182" s="161" t="s">
        <v>44</v>
      </c>
      <c r="D182" s="162" t="s">
        <v>534</v>
      </c>
      <c r="E182" s="252">
        <v>46203</v>
      </c>
      <c r="F182" s="164">
        <v>5</v>
      </c>
      <c r="G182" s="164">
        <v>8</v>
      </c>
      <c r="H182" s="164" t="s">
        <v>1495</v>
      </c>
    </row>
    <row r="183" ht="16" spans="1:8">
      <c r="A183" s="161" t="s">
        <v>535</v>
      </c>
      <c r="B183" s="161" t="s">
        <v>536</v>
      </c>
      <c r="C183" s="161" t="s">
        <v>7</v>
      </c>
      <c r="D183" s="162" t="s">
        <v>537</v>
      </c>
      <c r="E183" s="252">
        <v>46204</v>
      </c>
      <c r="F183" s="164">
        <v>7</v>
      </c>
      <c r="G183" s="164">
        <v>2</v>
      </c>
      <c r="H183" s="164" t="s">
        <v>1497</v>
      </c>
    </row>
    <row r="184" ht="16" spans="1:8">
      <c r="A184" s="161" t="s">
        <v>538</v>
      </c>
      <c r="B184" s="161" t="s">
        <v>539</v>
      </c>
      <c r="C184" s="161" t="s">
        <v>13</v>
      </c>
      <c r="D184" s="162" t="s">
        <v>540</v>
      </c>
      <c r="E184" s="252">
        <v>46205</v>
      </c>
      <c r="F184" s="164">
        <v>5</v>
      </c>
      <c r="G184" s="164">
        <v>9</v>
      </c>
      <c r="H184" s="164" t="s">
        <v>1498</v>
      </c>
    </row>
    <row r="185" ht="16" spans="1:8">
      <c r="A185" s="161" t="s">
        <v>541</v>
      </c>
      <c r="B185" s="161" t="s">
        <v>542</v>
      </c>
      <c r="C185" s="161" t="s">
        <v>44</v>
      </c>
      <c r="D185" s="162" t="s">
        <v>543</v>
      </c>
      <c r="E185" s="252">
        <v>46206</v>
      </c>
      <c r="F185" s="164">
        <v>6</v>
      </c>
      <c r="G185" s="164">
        <v>5</v>
      </c>
      <c r="H185" s="164" t="s">
        <v>1499</v>
      </c>
    </row>
    <row r="186" ht="16" spans="1:8">
      <c r="A186" s="161" t="s">
        <v>544</v>
      </c>
      <c r="B186" s="161" t="s">
        <v>545</v>
      </c>
      <c r="C186" s="161" t="s">
        <v>44</v>
      </c>
      <c r="D186" s="162" t="s">
        <v>546</v>
      </c>
      <c r="E186" s="252">
        <v>46207</v>
      </c>
      <c r="F186" s="164">
        <v>7</v>
      </c>
      <c r="G186" s="164">
        <v>3</v>
      </c>
      <c r="H186" s="164" t="s">
        <v>1500</v>
      </c>
    </row>
    <row r="187" ht="16" spans="1:8">
      <c r="A187" s="161" t="s">
        <v>547</v>
      </c>
      <c r="B187" s="161" t="s">
        <v>548</v>
      </c>
      <c r="C187" s="161" t="s">
        <v>33</v>
      </c>
      <c r="D187" s="162" t="s">
        <v>549</v>
      </c>
      <c r="E187" s="252">
        <v>46208</v>
      </c>
      <c r="F187" s="164">
        <v>8</v>
      </c>
      <c r="G187" s="164">
        <v>5</v>
      </c>
      <c r="H187" s="164" t="s">
        <v>1501</v>
      </c>
    </row>
    <row r="188" ht="16" spans="1:8">
      <c r="A188" s="161" t="s">
        <v>550</v>
      </c>
      <c r="B188" s="161" t="s">
        <v>551</v>
      </c>
      <c r="C188" s="161" t="s">
        <v>44</v>
      </c>
      <c r="D188" s="162" t="s">
        <v>552</v>
      </c>
      <c r="E188" s="252">
        <v>46209</v>
      </c>
      <c r="F188" s="164">
        <v>9</v>
      </c>
      <c r="G188" s="164">
        <v>7</v>
      </c>
      <c r="H188" s="164" t="s">
        <v>1495</v>
      </c>
    </row>
    <row r="189" ht="16" spans="1:8">
      <c r="A189" s="161" t="s">
        <v>553</v>
      </c>
      <c r="B189" s="161" t="s">
        <v>554</v>
      </c>
      <c r="C189" s="161" t="s">
        <v>13</v>
      </c>
      <c r="D189" s="162" t="s">
        <v>555</v>
      </c>
      <c r="E189" s="252">
        <v>46210</v>
      </c>
      <c r="F189" s="164">
        <v>4</v>
      </c>
      <c r="G189" s="164">
        <v>5</v>
      </c>
      <c r="H189" s="164" t="s">
        <v>1497</v>
      </c>
    </row>
    <row r="190" ht="16" spans="1:8">
      <c r="A190" s="161" t="s">
        <v>556</v>
      </c>
      <c r="B190" s="161" t="s">
        <v>557</v>
      </c>
      <c r="C190" s="161" t="s">
        <v>33</v>
      </c>
      <c r="D190" s="162" t="s">
        <v>558</v>
      </c>
      <c r="E190" s="252">
        <v>46211</v>
      </c>
      <c r="F190" s="164">
        <v>3</v>
      </c>
      <c r="G190" s="164">
        <v>6</v>
      </c>
      <c r="H190" s="164" t="s">
        <v>1498</v>
      </c>
    </row>
    <row r="191" ht="16" spans="1:8">
      <c r="A191" s="161" t="s">
        <v>559</v>
      </c>
      <c r="B191" s="161" t="s">
        <v>560</v>
      </c>
      <c r="C191" s="161" t="s">
        <v>7</v>
      </c>
      <c r="D191" s="162" t="s">
        <v>561</v>
      </c>
      <c r="E191" s="252">
        <v>46212</v>
      </c>
      <c r="F191" s="164">
        <v>8</v>
      </c>
      <c r="G191" s="164">
        <v>7</v>
      </c>
      <c r="H191" s="164" t="s">
        <v>1499</v>
      </c>
    </row>
    <row r="192" ht="16" spans="1:8">
      <c r="A192" s="161" t="s">
        <v>562</v>
      </c>
      <c r="B192" s="161" t="s">
        <v>563</v>
      </c>
      <c r="C192" s="161" t="s">
        <v>13</v>
      </c>
      <c r="D192" s="162" t="s">
        <v>564</v>
      </c>
      <c r="E192" s="252">
        <v>46213</v>
      </c>
      <c r="F192" s="164">
        <v>2</v>
      </c>
      <c r="G192" s="164">
        <v>8</v>
      </c>
      <c r="H192" s="164" t="s">
        <v>1500</v>
      </c>
    </row>
    <row r="193" ht="16" spans="1:8">
      <c r="A193" s="161" t="s">
        <v>565</v>
      </c>
      <c r="B193" s="161" t="s">
        <v>566</v>
      </c>
      <c r="C193" s="161" t="s">
        <v>33</v>
      </c>
      <c r="D193" s="162" t="s">
        <v>567</v>
      </c>
      <c r="E193" s="252">
        <v>46214</v>
      </c>
      <c r="F193" s="164">
        <v>9</v>
      </c>
      <c r="G193" s="164">
        <v>9</v>
      </c>
      <c r="H193" s="164" t="s">
        <v>1501</v>
      </c>
    </row>
    <row r="194" ht="16" spans="1:8">
      <c r="A194" s="161" t="s">
        <v>568</v>
      </c>
      <c r="B194" s="161" t="s">
        <v>569</v>
      </c>
      <c r="C194" s="161" t="s">
        <v>33</v>
      </c>
      <c r="D194" s="162" t="s">
        <v>570</v>
      </c>
      <c r="E194" s="252">
        <v>46215</v>
      </c>
      <c r="F194" s="164">
        <v>5</v>
      </c>
      <c r="G194" s="164">
        <v>4</v>
      </c>
      <c r="H194" s="164" t="s">
        <v>1495</v>
      </c>
    </row>
    <row r="195" ht="16" spans="1:8">
      <c r="A195" s="161" t="s">
        <v>571</v>
      </c>
      <c r="B195" s="161" t="s">
        <v>572</v>
      </c>
      <c r="C195" s="161" t="s">
        <v>33</v>
      </c>
      <c r="D195" s="162" t="s">
        <v>573</v>
      </c>
      <c r="E195" s="252">
        <v>46216</v>
      </c>
      <c r="F195" s="164">
        <v>3</v>
      </c>
      <c r="G195" s="164">
        <v>3</v>
      </c>
      <c r="H195" s="164" t="s">
        <v>1497</v>
      </c>
    </row>
    <row r="196" ht="16" spans="1:8">
      <c r="A196" s="161" t="s">
        <v>574</v>
      </c>
      <c r="B196" s="161" t="s">
        <v>575</v>
      </c>
      <c r="C196" s="161" t="s">
        <v>7</v>
      </c>
      <c r="D196" s="162" t="s">
        <v>576</v>
      </c>
      <c r="E196" s="252">
        <v>46217</v>
      </c>
      <c r="F196" s="164">
        <v>5</v>
      </c>
      <c r="G196" s="164">
        <v>8</v>
      </c>
      <c r="H196" s="164" t="s">
        <v>1498</v>
      </c>
    </row>
    <row r="197" ht="16" spans="1:8">
      <c r="A197" s="161" t="s">
        <v>577</v>
      </c>
      <c r="B197" s="161" t="s">
        <v>578</v>
      </c>
      <c r="C197" s="161" t="s">
        <v>7</v>
      </c>
      <c r="D197" s="162" t="s">
        <v>579</v>
      </c>
      <c r="E197" s="252">
        <v>46218</v>
      </c>
      <c r="F197" s="164">
        <v>7</v>
      </c>
      <c r="G197" s="164">
        <v>2</v>
      </c>
      <c r="H197" s="164" t="s">
        <v>1499</v>
      </c>
    </row>
    <row r="198" ht="16" spans="1:8">
      <c r="A198" s="161" t="s">
        <v>580</v>
      </c>
      <c r="B198" s="161" t="s">
        <v>581</v>
      </c>
      <c r="C198" s="161" t="s">
        <v>33</v>
      </c>
      <c r="D198" s="162" t="s">
        <v>582</v>
      </c>
      <c r="E198" s="252">
        <v>46219</v>
      </c>
      <c r="F198" s="164">
        <v>5</v>
      </c>
      <c r="G198" s="164">
        <v>9</v>
      </c>
      <c r="H198" s="164" t="s">
        <v>1500</v>
      </c>
    </row>
    <row r="199" ht="16" spans="1:8">
      <c r="A199" s="161" t="s">
        <v>583</v>
      </c>
      <c r="B199" s="161" t="s">
        <v>584</v>
      </c>
      <c r="C199" s="161" t="s">
        <v>33</v>
      </c>
      <c r="D199" s="162" t="s">
        <v>585</v>
      </c>
      <c r="E199" s="252">
        <v>46220</v>
      </c>
      <c r="F199" s="164">
        <v>6</v>
      </c>
      <c r="G199" s="164">
        <v>5</v>
      </c>
      <c r="H199" s="164" t="s">
        <v>1501</v>
      </c>
    </row>
    <row r="200" ht="16" spans="1:8">
      <c r="A200" s="161" t="s">
        <v>586</v>
      </c>
      <c r="B200" s="161" t="s">
        <v>587</v>
      </c>
      <c r="C200" s="161" t="s">
        <v>10</v>
      </c>
      <c r="D200" s="162" t="s">
        <v>588</v>
      </c>
      <c r="E200" s="252">
        <v>46221</v>
      </c>
      <c r="F200" s="164">
        <v>7</v>
      </c>
      <c r="G200" s="164">
        <v>3</v>
      </c>
      <c r="H200" s="164" t="s">
        <v>1495</v>
      </c>
    </row>
    <row r="201" ht="16" spans="1:8">
      <c r="A201" s="161" t="s">
        <v>589</v>
      </c>
      <c r="B201" s="161" t="s">
        <v>590</v>
      </c>
      <c r="C201" s="161" t="s">
        <v>10</v>
      </c>
      <c r="D201" s="162" t="s">
        <v>591</v>
      </c>
      <c r="E201" s="252">
        <v>46222</v>
      </c>
      <c r="F201" s="164">
        <v>8</v>
      </c>
      <c r="G201" s="164">
        <v>5</v>
      </c>
      <c r="H201" s="164" t="s">
        <v>1497</v>
      </c>
    </row>
    <row r="202" ht="16" spans="1:8">
      <c r="A202" s="161" t="s">
        <v>592</v>
      </c>
      <c r="B202" s="161" t="s">
        <v>593</v>
      </c>
      <c r="C202" s="161" t="s">
        <v>33</v>
      </c>
      <c r="D202" s="162" t="s">
        <v>594</v>
      </c>
      <c r="E202" s="252">
        <v>46223</v>
      </c>
      <c r="F202" s="164">
        <v>9</v>
      </c>
      <c r="G202" s="164">
        <v>7</v>
      </c>
      <c r="H202" s="164" t="s">
        <v>1498</v>
      </c>
    </row>
    <row r="203" ht="16" spans="1:8">
      <c r="A203" s="161" t="s">
        <v>595</v>
      </c>
      <c r="B203" s="161" t="s">
        <v>596</v>
      </c>
      <c r="C203" s="161" t="s">
        <v>13</v>
      </c>
      <c r="D203" s="162" t="s">
        <v>597</v>
      </c>
      <c r="E203" s="252">
        <v>46224</v>
      </c>
      <c r="F203" s="164">
        <v>4</v>
      </c>
      <c r="G203" s="164">
        <v>5</v>
      </c>
      <c r="H203" s="164" t="s">
        <v>1499</v>
      </c>
    </row>
    <row r="204" ht="16" spans="1:8">
      <c r="A204" s="161" t="s">
        <v>598</v>
      </c>
      <c r="B204" s="161" t="s">
        <v>599</v>
      </c>
      <c r="C204" s="161" t="s">
        <v>33</v>
      </c>
      <c r="D204" s="162" t="s">
        <v>600</v>
      </c>
      <c r="E204" s="252">
        <v>46225</v>
      </c>
      <c r="F204" s="164">
        <v>3</v>
      </c>
      <c r="G204" s="164">
        <v>6</v>
      </c>
      <c r="H204" s="164" t="s">
        <v>1500</v>
      </c>
    </row>
    <row r="205" ht="16" spans="1:8">
      <c r="A205" s="161" t="s">
        <v>601</v>
      </c>
      <c r="B205" s="161" t="s">
        <v>602</v>
      </c>
      <c r="C205" s="161" t="s">
        <v>33</v>
      </c>
      <c r="D205" s="162" t="s">
        <v>603</v>
      </c>
      <c r="E205" s="252">
        <v>46226</v>
      </c>
      <c r="F205" s="164">
        <v>8</v>
      </c>
      <c r="G205" s="164">
        <v>7</v>
      </c>
      <c r="H205" s="164" t="s">
        <v>1501</v>
      </c>
    </row>
    <row r="206" ht="16" spans="1:8">
      <c r="A206" s="161" t="s">
        <v>604</v>
      </c>
      <c r="B206" s="161" t="s">
        <v>605</v>
      </c>
      <c r="C206" s="161" t="s">
        <v>10</v>
      </c>
      <c r="D206" s="162" t="s">
        <v>606</v>
      </c>
      <c r="E206" s="252">
        <v>46227</v>
      </c>
      <c r="F206" s="164">
        <v>2</v>
      </c>
      <c r="G206" s="164">
        <v>8</v>
      </c>
      <c r="H206" s="164" t="s">
        <v>1495</v>
      </c>
    </row>
    <row r="207" ht="16" spans="1:8">
      <c r="A207" s="161" t="s">
        <v>607</v>
      </c>
      <c r="B207" s="161" t="s">
        <v>608</v>
      </c>
      <c r="C207" s="161" t="s">
        <v>13</v>
      </c>
      <c r="D207" s="162" t="s">
        <v>609</v>
      </c>
      <c r="E207" s="252">
        <v>46228</v>
      </c>
      <c r="F207" s="164">
        <v>9</v>
      </c>
      <c r="G207" s="164">
        <v>9</v>
      </c>
      <c r="H207" s="164" t="s">
        <v>1497</v>
      </c>
    </row>
    <row r="208" ht="16" spans="1:8">
      <c r="A208" s="161" t="s">
        <v>610</v>
      </c>
      <c r="B208" s="161" t="s">
        <v>611</v>
      </c>
      <c r="C208" s="161" t="s">
        <v>10</v>
      </c>
      <c r="D208" s="162" t="s">
        <v>612</v>
      </c>
      <c r="E208" s="252">
        <v>46229</v>
      </c>
      <c r="F208" s="164">
        <v>5</v>
      </c>
      <c r="G208" s="164">
        <v>4</v>
      </c>
      <c r="H208" s="164" t="s">
        <v>1498</v>
      </c>
    </row>
    <row r="209" ht="16" spans="1:8">
      <c r="A209" s="161" t="s">
        <v>613</v>
      </c>
      <c r="B209" s="161" t="s">
        <v>614</v>
      </c>
      <c r="C209" s="161" t="s">
        <v>7</v>
      </c>
      <c r="D209" s="162" t="s">
        <v>615</v>
      </c>
      <c r="E209" s="252">
        <v>46230</v>
      </c>
      <c r="F209" s="164">
        <v>3</v>
      </c>
      <c r="G209" s="164">
        <v>3</v>
      </c>
      <c r="H209" s="164" t="s">
        <v>1499</v>
      </c>
    </row>
    <row r="210" ht="16" spans="1:8">
      <c r="A210" s="161" t="s">
        <v>616</v>
      </c>
      <c r="B210" s="161" t="s">
        <v>617</v>
      </c>
      <c r="C210" s="161" t="s">
        <v>33</v>
      </c>
      <c r="D210" s="162" t="s">
        <v>618</v>
      </c>
      <c r="E210" s="252">
        <v>46231</v>
      </c>
      <c r="F210" s="164">
        <v>5</v>
      </c>
      <c r="G210" s="164">
        <v>8</v>
      </c>
      <c r="H210" s="164" t="s">
        <v>1500</v>
      </c>
    </row>
    <row r="211" ht="16" spans="1:8">
      <c r="A211" s="161" t="s">
        <v>619</v>
      </c>
      <c r="B211" s="161" t="s">
        <v>620</v>
      </c>
      <c r="C211" s="161" t="s">
        <v>7</v>
      </c>
      <c r="D211" s="162" t="s">
        <v>621</v>
      </c>
      <c r="E211" s="252">
        <v>46232</v>
      </c>
      <c r="F211" s="164">
        <v>7</v>
      </c>
      <c r="G211" s="164">
        <v>2</v>
      </c>
      <c r="H211" s="164" t="s">
        <v>1501</v>
      </c>
    </row>
    <row r="212" ht="16" spans="1:8">
      <c r="A212" s="161" t="s">
        <v>622</v>
      </c>
      <c r="B212" s="161" t="s">
        <v>623</v>
      </c>
      <c r="C212" s="161" t="s">
        <v>44</v>
      </c>
      <c r="D212" s="162" t="s">
        <v>624</v>
      </c>
      <c r="E212" s="252">
        <v>46233</v>
      </c>
      <c r="F212" s="164">
        <v>5</v>
      </c>
      <c r="G212" s="164">
        <v>9</v>
      </c>
      <c r="H212" s="164" t="s">
        <v>1495</v>
      </c>
    </row>
    <row r="213" ht="16" spans="1:8">
      <c r="A213" s="161" t="s">
        <v>625</v>
      </c>
      <c r="B213" s="161" t="s">
        <v>626</v>
      </c>
      <c r="C213" s="161" t="s">
        <v>44</v>
      </c>
      <c r="D213" s="162" t="s">
        <v>627</v>
      </c>
      <c r="E213" s="252">
        <v>46234</v>
      </c>
      <c r="F213" s="164">
        <v>6</v>
      </c>
      <c r="G213" s="164">
        <v>5</v>
      </c>
      <c r="H213" s="164" t="s">
        <v>1497</v>
      </c>
    </row>
    <row r="214" ht="16" spans="1:8">
      <c r="A214" s="161" t="s">
        <v>628</v>
      </c>
      <c r="B214" s="161" t="s">
        <v>629</v>
      </c>
      <c r="C214" s="161" t="s">
        <v>44</v>
      </c>
      <c r="D214" s="162" t="s">
        <v>630</v>
      </c>
      <c r="E214" s="252">
        <v>46235</v>
      </c>
      <c r="F214" s="164">
        <v>7</v>
      </c>
      <c r="G214" s="164">
        <v>3</v>
      </c>
      <c r="H214" s="164" t="s">
        <v>1498</v>
      </c>
    </row>
    <row r="215" ht="16" spans="1:8">
      <c r="A215" s="161" t="s">
        <v>631</v>
      </c>
      <c r="B215" s="161" t="s">
        <v>632</v>
      </c>
      <c r="C215" s="161" t="s">
        <v>10</v>
      </c>
      <c r="D215" s="162" t="s">
        <v>633</v>
      </c>
      <c r="E215" s="252">
        <v>46236</v>
      </c>
      <c r="F215" s="164">
        <v>8</v>
      </c>
      <c r="G215" s="164">
        <v>5</v>
      </c>
      <c r="H215" s="164" t="s">
        <v>1499</v>
      </c>
    </row>
    <row r="216" ht="16" spans="1:8">
      <c r="A216" s="161" t="s">
        <v>634</v>
      </c>
      <c r="B216" s="161" t="s">
        <v>635</v>
      </c>
      <c r="C216" s="161" t="s">
        <v>33</v>
      </c>
      <c r="D216" s="162" t="s">
        <v>636</v>
      </c>
      <c r="E216" s="252">
        <v>46237</v>
      </c>
      <c r="F216" s="164">
        <v>9</v>
      </c>
      <c r="G216" s="164">
        <v>7</v>
      </c>
      <c r="H216" s="164" t="s">
        <v>1500</v>
      </c>
    </row>
    <row r="217" ht="16" spans="1:8">
      <c r="A217" s="161" t="s">
        <v>637</v>
      </c>
      <c r="B217" s="161" t="s">
        <v>638</v>
      </c>
      <c r="C217" s="161" t="s">
        <v>44</v>
      </c>
      <c r="D217" s="162" t="s">
        <v>639</v>
      </c>
      <c r="E217" s="252">
        <v>46238</v>
      </c>
      <c r="F217" s="164">
        <v>4</v>
      </c>
      <c r="G217" s="164">
        <v>5</v>
      </c>
      <c r="H217" s="164" t="s">
        <v>1501</v>
      </c>
    </row>
    <row r="218" ht="16" spans="1:8">
      <c r="A218" s="161" t="s">
        <v>640</v>
      </c>
      <c r="B218" s="161" t="s">
        <v>641</v>
      </c>
      <c r="C218" s="161" t="s">
        <v>44</v>
      </c>
      <c r="D218" s="162" t="s">
        <v>642</v>
      </c>
      <c r="E218" s="252">
        <v>46239</v>
      </c>
      <c r="F218" s="164">
        <v>3</v>
      </c>
      <c r="G218" s="164">
        <v>6</v>
      </c>
      <c r="H218" s="164" t="s">
        <v>1495</v>
      </c>
    </row>
    <row r="219" ht="16" spans="1:8">
      <c r="A219" s="161" t="s">
        <v>643</v>
      </c>
      <c r="B219" s="161" t="s">
        <v>644</v>
      </c>
      <c r="C219" s="161" t="s">
        <v>10</v>
      </c>
      <c r="D219" s="162" t="s">
        <v>645</v>
      </c>
      <c r="E219" s="252">
        <v>46240</v>
      </c>
      <c r="F219" s="164">
        <v>8</v>
      </c>
      <c r="G219" s="164">
        <v>7</v>
      </c>
      <c r="H219" s="164" t="s">
        <v>1497</v>
      </c>
    </row>
    <row r="220" ht="16" spans="1:8">
      <c r="A220" s="161" t="s">
        <v>646</v>
      </c>
      <c r="B220" s="161" t="s">
        <v>647</v>
      </c>
      <c r="C220" s="161" t="s">
        <v>33</v>
      </c>
      <c r="D220" s="162" t="s">
        <v>648</v>
      </c>
      <c r="E220" s="252">
        <v>46241</v>
      </c>
      <c r="F220" s="164">
        <v>2</v>
      </c>
      <c r="G220" s="164">
        <v>8</v>
      </c>
      <c r="H220" s="164" t="s">
        <v>1498</v>
      </c>
    </row>
    <row r="221" ht="16" spans="1:8">
      <c r="A221" s="161" t="s">
        <v>649</v>
      </c>
      <c r="B221" s="161" t="s">
        <v>650</v>
      </c>
      <c r="C221" s="161" t="s">
        <v>33</v>
      </c>
      <c r="D221" s="162" t="s">
        <v>651</v>
      </c>
      <c r="E221" s="252">
        <v>46242</v>
      </c>
      <c r="F221" s="164">
        <v>9</v>
      </c>
      <c r="G221" s="164">
        <v>9</v>
      </c>
      <c r="H221" s="164" t="s">
        <v>1499</v>
      </c>
    </row>
    <row r="222" ht="16" spans="1:8">
      <c r="A222" s="161" t="s">
        <v>652</v>
      </c>
      <c r="B222" s="161" t="s">
        <v>653</v>
      </c>
      <c r="C222" s="161" t="s">
        <v>44</v>
      </c>
      <c r="D222" s="162" t="s">
        <v>654</v>
      </c>
      <c r="E222" s="252">
        <v>46243</v>
      </c>
      <c r="F222" s="164">
        <v>5</v>
      </c>
      <c r="G222" s="164">
        <v>4</v>
      </c>
      <c r="H222" s="164" t="s">
        <v>1500</v>
      </c>
    </row>
    <row r="223" ht="16" spans="1:8">
      <c r="A223" s="161" t="s">
        <v>655</v>
      </c>
      <c r="B223" s="161" t="s">
        <v>656</v>
      </c>
      <c r="C223" s="161" t="s">
        <v>10</v>
      </c>
      <c r="D223" s="162" t="s">
        <v>657</v>
      </c>
      <c r="E223" s="252">
        <v>46244</v>
      </c>
      <c r="F223" s="164">
        <v>3</v>
      </c>
      <c r="G223" s="164">
        <v>3</v>
      </c>
      <c r="H223" s="164" t="s">
        <v>1501</v>
      </c>
    </row>
    <row r="224" ht="16" spans="1:8">
      <c r="A224" s="161" t="s">
        <v>658</v>
      </c>
      <c r="B224" s="161" t="s">
        <v>659</v>
      </c>
      <c r="C224" s="161" t="s">
        <v>44</v>
      </c>
      <c r="D224" s="162" t="s">
        <v>660</v>
      </c>
      <c r="E224" s="252">
        <v>46245</v>
      </c>
      <c r="F224" s="164">
        <v>5</v>
      </c>
      <c r="G224" s="164">
        <v>8</v>
      </c>
      <c r="H224" s="164" t="s">
        <v>1495</v>
      </c>
    </row>
    <row r="225" ht="16" spans="1:8">
      <c r="A225" s="161" t="s">
        <v>661</v>
      </c>
      <c r="B225" s="161" t="s">
        <v>662</v>
      </c>
      <c r="C225" s="161" t="s">
        <v>7</v>
      </c>
      <c r="D225" s="162" t="s">
        <v>663</v>
      </c>
      <c r="E225" s="252">
        <v>46246</v>
      </c>
      <c r="F225" s="164">
        <v>7</v>
      </c>
      <c r="G225" s="164">
        <v>2</v>
      </c>
      <c r="H225" s="164" t="s">
        <v>1497</v>
      </c>
    </row>
    <row r="226" ht="16" spans="1:8">
      <c r="A226" s="161" t="s">
        <v>664</v>
      </c>
      <c r="B226" s="161" t="s">
        <v>665</v>
      </c>
      <c r="C226" s="161" t="s">
        <v>13</v>
      </c>
      <c r="D226" s="162" t="s">
        <v>666</v>
      </c>
      <c r="E226" s="252">
        <v>46247</v>
      </c>
      <c r="F226" s="164">
        <v>5</v>
      </c>
      <c r="G226" s="164">
        <v>9</v>
      </c>
      <c r="H226" s="164" t="s">
        <v>1498</v>
      </c>
    </row>
    <row r="227" ht="16" spans="1:8">
      <c r="A227" s="161" t="s">
        <v>667</v>
      </c>
      <c r="B227" s="161" t="s">
        <v>668</v>
      </c>
      <c r="C227" s="161" t="s">
        <v>33</v>
      </c>
      <c r="D227" s="162" t="s">
        <v>669</v>
      </c>
      <c r="E227" s="252">
        <v>46248</v>
      </c>
      <c r="F227" s="164">
        <v>6</v>
      </c>
      <c r="G227" s="164">
        <v>5</v>
      </c>
      <c r="H227" s="164" t="s">
        <v>1499</v>
      </c>
    </row>
    <row r="228" ht="16" spans="1:8">
      <c r="A228" s="161" t="s">
        <v>670</v>
      </c>
      <c r="B228" s="161" t="s">
        <v>671</v>
      </c>
      <c r="C228" s="161" t="s">
        <v>33</v>
      </c>
      <c r="D228" s="162" t="s">
        <v>672</v>
      </c>
      <c r="E228" s="252">
        <v>46249</v>
      </c>
      <c r="F228" s="164">
        <v>7</v>
      </c>
      <c r="G228" s="164">
        <v>3</v>
      </c>
      <c r="H228" s="164" t="s">
        <v>1500</v>
      </c>
    </row>
    <row r="229" ht="16" spans="1:8">
      <c r="A229" s="161" t="s">
        <v>673</v>
      </c>
      <c r="B229" s="161" t="s">
        <v>674</v>
      </c>
      <c r="C229" s="161" t="s">
        <v>44</v>
      </c>
      <c r="D229" s="162" t="s">
        <v>675</v>
      </c>
      <c r="E229" s="252">
        <v>46250</v>
      </c>
      <c r="F229" s="164">
        <v>8</v>
      </c>
      <c r="G229" s="164">
        <v>5</v>
      </c>
      <c r="H229" s="164" t="s">
        <v>1501</v>
      </c>
    </row>
    <row r="230" ht="16" spans="1:8">
      <c r="A230" s="161" t="s">
        <v>676</v>
      </c>
      <c r="B230" s="161" t="s">
        <v>677</v>
      </c>
      <c r="C230" s="161" t="s">
        <v>10</v>
      </c>
      <c r="D230" s="162" t="s">
        <v>678</v>
      </c>
      <c r="E230" s="252">
        <v>46251</v>
      </c>
      <c r="F230" s="164">
        <v>9</v>
      </c>
      <c r="G230" s="164">
        <v>7</v>
      </c>
      <c r="H230" s="164" t="s">
        <v>1495</v>
      </c>
    </row>
    <row r="231" ht="16" spans="1:8">
      <c r="A231" s="161" t="s">
        <v>679</v>
      </c>
      <c r="B231" s="161" t="s">
        <v>680</v>
      </c>
      <c r="C231" s="161" t="s">
        <v>10</v>
      </c>
      <c r="D231" s="162" t="s">
        <v>681</v>
      </c>
      <c r="E231" s="252">
        <v>46252</v>
      </c>
      <c r="F231" s="164">
        <v>4</v>
      </c>
      <c r="G231" s="164">
        <v>5</v>
      </c>
      <c r="H231" s="164" t="s">
        <v>1497</v>
      </c>
    </row>
    <row r="232" ht="16" spans="1:8">
      <c r="A232" s="161" t="s">
        <v>682</v>
      </c>
      <c r="B232" s="161" t="s">
        <v>683</v>
      </c>
      <c r="C232" s="161" t="s">
        <v>13</v>
      </c>
      <c r="D232" s="162" t="s">
        <v>684</v>
      </c>
      <c r="E232" s="252">
        <v>46253</v>
      </c>
      <c r="F232" s="164">
        <v>3</v>
      </c>
      <c r="G232" s="164">
        <v>6</v>
      </c>
      <c r="H232" s="164" t="s">
        <v>1498</v>
      </c>
    </row>
    <row r="233" ht="16" spans="1:8">
      <c r="A233" s="161" t="s">
        <v>685</v>
      </c>
      <c r="B233" s="161" t="s">
        <v>686</v>
      </c>
      <c r="C233" s="161" t="s">
        <v>10</v>
      </c>
      <c r="D233" s="162" t="s">
        <v>687</v>
      </c>
      <c r="E233" s="252">
        <v>46254</v>
      </c>
      <c r="F233" s="164">
        <v>8</v>
      </c>
      <c r="G233" s="164">
        <v>7</v>
      </c>
      <c r="H233" s="164" t="s">
        <v>1499</v>
      </c>
    </row>
    <row r="234" ht="16" spans="1:8">
      <c r="A234" s="161" t="s">
        <v>688</v>
      </c>
      <c r="B234" s="161" t="s">
        <v>689</v>
      </c>
      <c r="C234" s="161" t="s">
        <v>33</v>
      </c>
      <c r="D234" s="162" t="s">
        <v>690</v>
      </c>
      <c r="E234" s="252">
        <v>46255</v>
      </c>
      <c r="F234" s="164">
        <v>2</v>
      </c>
      <c r="G234" s="164">
        <v>8</v>
      </c>
      <c r="H234" s="164" t="s">
        <v>1500</v>
      </c>
    </row>
    <row r="235" ht="16" spans="1:8">
      <c r="A235" s="161" t="s">
        <v>691</v>
      </c>
      <c r="B235" s="161" t="s">
        <v>692</v>
      </c>
      <c r="C235" s="161" t="s">
        <v>13</v>
      </c>
      <c r="D235" s="162" t="s">
        <v>693</v>
      </c>
      <c r="E235" s="252">
        <v>46256</v>
      </c>
      <c r="F235" s="164">
        <v>9</v>
      </c>
      <c r="G235" s="164">
        <v>9</v>
      </c>
      <c r="H235" s="164" t="s">
        <v>1501</v>
      </c>
    </row>
    <row r="236" ht="16" spans="1:8">
      <c r="A236" s="161" t="s">
        <v>694</v>
      </c>
      <c r="B236" s="161" t="s">
        <v>695</v>
      </c>
      <c r="C236" s="161" t="s">
        <v>10</v>
      </c>
      <c r="D236" s="162" t="s">
        <v>696</v>
      </c>
      <c r="E236" s="252">
        <v>46257</v>
      </c>
      <c r="F236" s="164">
        <v>5</v>
      </c>
      <c r="G236" s="164">
        <v>4</v>
      </c>
      <c r="H236" s="164" t="s">
        <v>1495</v>
      </c>
    </row>
    <row r="237" ht="16" spans="1:8">
      <c r="A237" s="161" t="s">
        <v>697</v>
      </c>
      <c r="B237" s="161" t="s">
        <v>698</v>
      </c>
      <c r="C237" s="161" t="s">
        <v>10</v>
      </c>
      <c r="D237" s="162" t="s">
        <v>699</v>
      </c>
      <c r="E237" s="252">
        <v>46258</v>
      </c>
      <c r="F237" s="164">
        <v>3</v>
      </c>
      <c r="G237" s="164">
        <v>3</v>
      </c>
      <c r="H237" s="164" t="s">
        <v>1497</v>
      </c>
    </row>
    <row r="238" ht="16" spans="1:8">
      <c r="A238" s="161" t="s">
        <v>700</v>
      </c>
      <c r="B238" s="161" t="s">
        <v>701</v>
      </c>
      <c r="C238" s="161" t="s">
        <v>7</v>
      </c>
      <c r="D238" s="162" t="s">
        <v>702</v>
      </c>
      <c r="E238" s="252">
        <v>46259</v>
      </c>
      <c r="F238" s="164">
        <v>5</v>
      </c>
      <c r="G238" s="164">
        <v>8</v>
      </c>
      <c r="H238" s="164" t="s">
        <v>1498</v>
      </c>
    </row>
    <row r="239" ht="16" spans="1:8">
      <c r="A239" s="161" t="s">
        <v>703</v>
      </c>
      <c r="B239" s="161" t="s">
        <v>704</v>
      </c>
      <c r="C239" s="161" t="s">
        <v>10</v>
      </c>
      <c r="D239" s="162" t="s">
        <v>705</v>
      </c>
      <c r="E239" s="252">
        <v>46260</v>
      </c>
      <c r="F239" s="164">
        <v>7</v>
      </c>
      <c r="G239" s="164">
        <v>2</v>
      </c>
      <c r="H239" s="164" t="s">
        <v>1499</v>
      </c>
    </row>
    <row r="240" ht="16" spans="1:8">
      <c r="A240" s="161" t="s">
        <v>706</v>
      </c>
      <c r="B240" s="161" t="s">
        <v>707</v>
      </c>
      <c r="C240" s="161" t="s">
        <v>7</v>
      </c>
      <c r="D240" s="162" t="s">
        <v>708</v>
      </c>
      <c r="E240" s="252">
        <v>46261</v>
      </c>
      <c r="F240" s="164">
        <v>5</v>
      </c>
      <c r="G240" s="164">
        <v>9</v>
      </c>
      <c r="H240" s="164" t="s">
        <v>1500</v>
      </c>
    </row>
    <row r="241" ht="16" spans="1:8">
      <c r="A241" s="161" t="s">
        <v>709</v>
      </c>
      <c r="B241" s="161" t="s">
        <v>710</v>
      </c>
      <c r="C241" s="161" t="s">
        <v>13</v>
      </c>
      <c r="D241" s="162" t="s">
        <v>711</v>
      </c>
      <c r="E241" s="252">
        <v>46262</v>
      </c>
      <c r="F241" s="164">
        <v>6</v>
      </c>
      <c r="G241" s="164">
        <v>5</v>
      </c>
      <c r="H241" s="164" t="s">
        <v>1501</v>
      </c>
    </row>
    <row r="242" ht="16" spans="1:8">
      <c r="A242" s="161" t="s">
        <v>712</v>
      </c>
      <c r="B242" s="161" t="s">
        <v>713</v>
      </c>
      <c r="C242" s="161" t="s">
        <v>44</v>
      </c>
      <c r="D242" s="162" t="s">
        <v>714</v>
      </c>
      <c r="E242" s="252">
        <v>46263</v>
      </c>
      <c r="F242" s="164">
        <v>7</v>
      </c>
      <c r="G242" s="164">
        <v>3</v>
      </c>
      <c r="H242" s="164" t="s">
        <v>1495</v>
      </c>
    </row>
    <row r="243" ht="16" spans="1:8">
      <c r="A243" s="161" t="s">
        <v>715</v>
      </c>
      <c r="B243" s="161" t="s">
        <v>716</v>
      </c>
      <c r="C243" s="161" t="s">
        <v>44</v>
      </c>
      <c r="D243" s="162" t="s">
        <v>717</v>
      </c>
      <c r="E243" s="252">
        <v>46264</v>
      </c>
      <c r="F243" s="164">
        <v>8</v>
      </c>
      <c r="G243" s="164">
        <v>5</v>
      </c>
      <c r="H243" s="164" t="s">
        <v>1497</v>
      </c>
    </row>
    <row r="244" ht="16" spans="1:8">
      <c r="A244" s="161" t="s">
        <v>718</v>
      </c>
      <c r="B244" s="161" t="s">
        <v>719</v>
      </c>
      <c r="C244" s="161" t="s">
        <v>44</v>
      </c>
      <c r="D244" s="162" t="s">
        <v>720</v>
      </c>
      <c r="E244" s="252">
        <v>46265</v>
      </c>
      <c r="F244" s="164">
        <v>9</v>
      </c>
      <c r="G244" s="164">
        <v>7</v>
      </c>
      <c r="H244" s="164" t="s">
        <v>1498</v>
      </c>
    </row>
    <row r="245" ht="16" spans="1:8">
      <c r="A245" s="161" t="s">
        <v>721</v>
      </c>
      <c r="B245" s="161" t="s">
        <v>722</v>
      </c>
      <c r="C245" s="161" t="s">
        <v>13</v>
      </c>
      <c r="D245" s="162" t="s">
        <v>723</v>
      </c>
      <c r="E245" s="252">
        <v>46266</v>
      </c>
      <c r="F245" s="164">
        <v>4</v>
      </c>
      <c r="G245" s="164">
        <v>5</v>
      </c>
      <c r="H245" s="164" t="s">
        <v>1499</v>
      </c>
    </row>
    <row r="246" ht="16" spans="1:8">
      <c r="A246" s="161" t="s">
        <v>724</v>
      </c>
      <c r="B246" s="161" t="s">
        <v>725</v>
      </c>
      <c r="C246" s="161" t="s">
        <v>7</v>
      </c>
      <c r="D246" s="162" t="s">
        <v>726</v>
      </c>
      <c r="E246" s="252">
        <v>46267</v>
      </c>
      <c r="F246" s="164">
        <v>3</v>
      </c>
      <c r="G246" s="164">
        <v>6</v>
      </c>
      <c r="H246" s="164" t="s">
        <v>1500</v>
      </c>
    </row>
    <row r="247" ht="16" spans="1:8">
      <c r="A247" s="161" t="s">
        <v>727</v>
      </c>
      <c r="B247" s="161" t="s">
        <v>728</v>
      </c>
      <c r="C247" s="161" t="s">
        <v>33</v>
      </c>
      <c r="D247" s="162" t="s">
        <v>729</v>
      </c>
      <c r="E247" s="252">
        <v>46268</v>
      </c>
      <c r="F247" s="164">
        <v>8</v>
      </c>
      <c r="G247" s="164">
        <v>7</v>
      </c>
      <c r="H247" s="164" t="s">
        <v>1501</v>
      </c>
    </row>
    <row r="248" ht="16" spans="1:8">
      <c r="A248" s="161" t="s">
        <v>730</v>
      </c>
      <c r="B248" s="161" t="s">
        <v>731</v>
      </c>
      <c r="C248" s="161" t="s">
        <v>13</v>
      </c>
      <c r="D248" s="162" t="s">
        <v>732</v>
      </c>
      <c r="E248" s="252">
        <v>46269</v>
      </c>
      <c r="F248" s="164">
        <v>2</v>
      </c>
      <c r="G248" s="164">
        <v>8</v>
      </c>
      <c r="H248" s="164" t="s">
        <v>1495</v>
      </c>
    </row>
    <row r="249" ht="16" spans="1:8">
      <c r="A249" s="161" t="s">
        <v>733</v>
      </c>
      <c r="B249" s="161" t="s">
        <v>734</v>
      </c>
      <c r="C249" s="161" t="s">
        <v>33</v>
      </c>
      <c r="D249" s="162" t="s">
        <v>735</v>
      </c>
      <c r="E249" s="252">
        <v>46270</v>
      </c>
      <c r="F249" s="164">
        <v>9</v>
      </c>
      <c r="G249" s="164">
        <v>9</v>
      </c>
      <c r="H249" s="164" t="s">
        <v>1497</v>
      </c>
    </row>
    <row r="250" ht="16" spans="1:8">
      <c r="A250" s="161" t="s">
        <v>736</v>
      </c>
      <c r="B250" s="161" t="s">
        <v>737</v>
      </c>
      <c r="C250" s="161" t="s">
        <v>33</v>
      </c>
      <c r="D250" s="162" t="s">
        <v>738</v>
      </c>
      <c r="E250" s="252">
        <v>46271</v>
      </c>
      <c r="F250" s="164">
        <v>5</v>
      </c>
      <c r="G250" s="164">
        <v>4</v>
      </c>
      <c r="H250" s="164" t="s">
        <v>1498</v>
      </c>
    </row>
    <row r="251" ht="16" spans="1:8">
      <c r="A251" s="161" t="s">
        <v>739</v>
      </c>
      <c r="B251" s="161" t="s">
        <v>740</v>
      </c>
      <c r="C251" s="161" t="s">
        <v>44</v>
      </c>
      <c r="D251" s="162" t="s">
        <v>741</v>
      </c>
      <c r="E251" s="252">
        <v>46272</v>
      </c>
      <c r="F251" s="164">
        <v>3</v>
      </c>
      <c r="G251" s="164">
        <v>3</v>
      </c>
      <c r="H251" s="164" t="s">
        <v>1499</v>
      </c>
    </row>
    <row r="252" ht="16" spans="1:8">
      <c r="A252" s="161" t="s">
        <v>742</v>
      </c>
      <c r="B252" s="161" t="s">
        <v>743</v>
      </c>
      <c r="C252" s="161" t="s">
        <v>7</v>
      </c>
      <c r="D252" s="162" t="s">
        <v>744</v>
      </c>
      <c r="E252" s="252">
        <v>46273</v>
      </c>
      <c r="F252" s="164">
        <v>5</v>
      </c>
      <c r="G252" s="164">
        <v>8</v>
      </c>
      <c r="H252" s="164" t="s">
        <v>1500</v>
      </c>
    </row>
    <row r="253" ht="16" spans="1:8">
      <c r="A253" s="161" t="s">
        <v>745</v>
      </c>
      <c r="B253" s="161" t="s">
        <v>746</v>
      </c>
      <c r="C253" s="161" t="s">
        <v>44</v>
      </c>
      <c r="D253" s="162" t="s">
        <v>747</v>
      </c>
      <c r="E253" s="252">
        <v>46274</v>
      </c>
      <c r="F253" s="164">
        <v>7</v>
      </c>
      <c r="G253" s="164">
        <v>2</v>
      </c>
      <c r="H253" s="164" t="s">
        <v>1501</v>
      </c>
    </row>
    <row r="254" ht="16" spans="1:8">
      <c r="A254" s="161" t="s">
        <v>748</v>
      </c>
      <c r="B254" s="161" t="s">
        <v>749</v>
      </c>
      <c r="C254" s="161" t="s">
        <v>10</v>
      </c>
      <c r="D254" s="162" t="s">
        <v>750</v>
      </c>
      <c r="E254" s="252">
        <v>46275</v>
      </c>
      <c r="F254" s="164">
        <v>5</v>
      </c>
      <c r="G254" s="164">
        <v>9</v>
      </c>
      <c r="H254" s="164" t="s">
        <v>1495</v>
      </c>
    </row>
    <row r="255" ht="16" spans="1:8">
      <c r="A255" s="161" t="s">
        <v>751</v>
      </c>
      <c r="B255" s="161" t="s">
        <v>752</v>
      </c>
      <c r="C255" s="161" t="s">
        <v>44</v>
      </c>
      <c r="D255" s="162" t="s">
        <v>753</v>
      </c>
      <c r="E255" s="252">
        <v>46276</v>
      </c>
      <c r="F255" s="164">
        <v>6</v>
      </c>
      <c r="G255" s="164">
        <v>5</v>
      </c>
      <c r="H255" s="164" t="s">
        <v>1497</v>
      </c>
    </row>
    <row r="256" ht="16" spans="1:8">
      <c r="A256" s="161" t="s">
        <v>754</v>
      </c>
      <c r="B256" s="161" t="s">
        <v>755</v>
      </c>
      <c r="C256" s="161" t="s">
        <v>33</v>
      </c>
      <c r="D256" s="162" t="s">
        <v>756</v>
      </c>
      <c r="E256" s="252">
        <v>46277</v>
      </c>
      <c r="F256" s="164">
        <v>7</v>
      </c>
      <c r="G256" s="164">
        <v>3</v>
      </c>
      <c r="H256" s="164" t="s">
        <v>1498</v>
      </c>
    </row>
    <row r="257" ht="16" spans="1:8">
      <c r="A257" s="161" t="s">
        <v>757</v>
      </c>
      <c r="B257" s="161" t="s">
        <v>758</v>
      </c>
      <c r="C257" s="161" t="s">
        <v>44</v>
      </c>
      <c r="D257" s="162" t="s">
        <v>759</v>
      </c>
      <c r="E257" s="252">
        <v>46278</v>
      </c>
      <c r="F257" s="164">
        <v>8</v>
      </c>
      <c r="G257" s="164">
        <v>5</v>
      </c>
      <c r="H257" s="164" t="s">
        <v>1499</v>
      </c>
    </row>
    <row r="258" ht="16" spans="1:8">
      <c r="A258" s="161" t="s">
        <v>760</v>
      </c>
      <c r="B258" s="161" t="s">
        <v>761</v>
      </c>
      <c r="C258" s="161" t="s">
        <v>44</v>
      </c>
      <c r="D258" s="162" t="s">
        <v>762</v>
      </c>
      <c r="E258" s="252">
        <v>46279</v>
      </c>
      <c r="F258" s="164">
        <v>9</v>
      </c>
      <c r="G258" s="164">
        <v>7</v>
      </c>
      <c r="H258" s="164" t="s">
        <v>1500</v>
      </c>
    </row>
    <row r="259" ht="16" spans="1:8">
      <c r="A259" s="161" t="s">
        <v>763</v>
      </c>
      <c r="B259" s="161" t="s">
        <v>764</v>
      </c>
      <c r="C259" s="161" t="s">
        <v>44</v>
      </c>
      <c r="D259" s="162" t="s">
        <v>765</v>
      </c>
      <c r="E259" s="252">
        <v>46280</v>
      </c>
      <c r="F259" s="164">
        <v>4</v>
      </c>
      <c r="G259" s="164">
        <v>5</v>
      </c>
      <c r="H259" s="164" t="s">
        <v>1501</v>
      </c>
    </row>
    <row r="260" ht="16" spans="1:8">
      <c r="A260" s="161" t="s">
        <v>766</v>
      </c>
      <c r="B260" s="161" t="s">
        <v>767</v>
      </c>
      <c r="C260" s="161" t="s">
        <v>13</v>
      </c>
      <c r="D260" s="162" t="s">
        <v>768</v>
      </c>
      <c r="E260" s="252">
        <v>46281</v>
      </c>
      <c r="F260" s="164">
        <v>3</v>
      </c>
      <c r="G260" s="164">
        <v>6</v>
      </c>
      <c r="H260" s="164" t="s">
        <v>1495</v>
      </c>
    </row>
    <row r="261" ht="16" spans="1:8">
      <c r="A261" s="161" t="s">
        <v>769</v>
      </c>
      <c r="B261" s="161" t="s">
        <v>770</v>
      </c>
      <c r="C261" s="161" t="s">
        <v>10</v>
      </c>
      <c r="D261" s="162" t="s">
        <v>771</v>
      </c>
      <c r="E261" s="252">
        <v>46282</v>
      </c>
      <c r="F261" s="164">
        <v>8</v>
      </c>
      <c r="G261" s="164">
        <v>7</v>
      </c>
      <c r="H261" s="164" t="s">
        <v>1497</v>
      </c>
    </row>
    <row r="262" ht="16" spans="1:8">
      <c r="A262" s="161" t="s">
        <v>772</v>
      </c>
      <c r="B262" s="161" t="s">
        <v>773</v>
      </c>
      <c r="C262" s="161" t="s">
        <v>33</v>
      </c>
      <c r="D262" s="162" t="s">
        <v>774</v>
      </c>
      <c r="E262" s="252">
        <v>46283</v>
      </c>
      <c r="F262" s="164">
        <v>2</v>
      </c>
      <c r="G262" s="164">
        <v>8</v>
      </c>
      <c r="H262" s="164" t="s">
        <v>1498</v>
      </c>
    </row>
    <row r="263" ht="16" spans="1:8">
      <c r="A263" s="161" t="s">
        <v>775</v>
      </c>
      <c r="B263" s="161" t="s">
        <v>776</v>
      </c>
      <c r="C263" s="161" t="s">
        <v>44</v>
      </c>
      <c r="D263" s="162" t="s">
        <v>777</v>
      </c>
      <c r="E263" s="252">
        <v>46284</v>
      </c>
      <c r="F263" s="164">
        <v>9</v>
      </c>
      <c r="G263" s="164">
        <v>9</v>
      </c>
      <c r="H263" s="164" t="s">
        <v>1499</v>
      </c>
    </row>
    <row r="264" ht="16" spans="1:8">
      <c r="A264" s="161" t="s">
        <v>778</v>
      </c>
      <c r="B264" s="161" t="s">
        <v>779</v>
      </c>
      <c r="C264" s="161" t="s">
        <v>44</v>
      </c>
      <c r="D264" s="162" t="s">
        <v>780</v>
      </c>
      <c r="E264" s="252">
        <v>46285</v>
      </c>
      <c r="F264" s="164">
        <v>5</v>
      </c>
      <c r="G264" s="164">
        <v>4</v>
      </c>
      <c r="H264" s="164" t="s">
        <v>1500</v>
      </c>
    </row>
    <row r="265" ht="16" spans="1:8">
      <c r="A265" s="161" t="s">
        <v>781</v>
      </c>
      <c r="B265" s="161" t="s">
        <v>782</v>
      </c>
      <c r="C265" s="161" t="s">
        <v>44</v>
      </c>
      <c r="D265" s="162" t="s">
        <v>783</v>
      </c>
      <c r="E265" s="252">
        <v>46286</v>
      </c>
      <c r="F265" s="164">
        <v>3</v>
      </c>
      <c r="G265" s="164">
        <v>3</v>
      </c>
      <c r="H265" s="164" t="s">
        <v>1501</v>
      </c>
    </row>
    <row r="266" ht="16" spans="1:8">
      <c r="A266" s="161" t="s">
        <v>784</v>
      </c>
      <c r="B266" s="161" t="s">
        <v>785</v>
      </c>
      <c r="C266" s="161" t="s">
        <v>33</v>
      </c>
      <c r="D266" s="162" t="s">
        <v>786</v>
      </c>
      <c r="E266" s="252">
        <v>46287</v>
      </c>
      <c r="F266" s="164">
        <v>5</v>
      </c>
      <c r="G266" s="164">
        <v>8</v>
      </c>
      <c r="H266" s="164" t="s">
        <v>1495</v>
      </c>
    </row>
    <row r="267" ht="16" spans="1:8">
      <c r="A267" s="161" t="s">
        <v>787</v>
      </c>
      <c r="B267" s="161" t="s">
        <v>788</v>
      </c>
      <c r="C267" s="161" t="s">
        <v>10</v>
      </c>
      <c r="D267" s="162" t="s">
        <v>789</v>
      </c>
      <c r="E267" s="252">
        <v>46288</v>
      </c>
      <c r="F267" s="164">
        <v>7</v>
      </c>
      <c r="G267" s="164">
        <v>2</v>
      </c>
      <c r="H267" s="164" t="s">
        <v>1497</v>
      </c>
    </row>
    <row r="268" ht="16" spans="1:8">
      <c r="A268" s="161" t="s">
        <v>790</v>
      </c>
      <c r="B268" s="161" t="s">
        <v>791</v>
      </c>
      <c r="C268" s="161" t="s">
        <v>10</v>
      </c>
      <c r="D268" s="162" t="s">
        <v>792</v>
      </c>
      <c r="E268" s="252">
        <v>46289</v>
      </c>
      <c r="F268" s="164">
        <v>5</v>
      </c>
      <c r="G268" s="164">
        <v>9</v>
      </c>
      <c r="H268" s="164" t="s">
        <v>1498</v>
      </c>
    </row>
    <row r="269" ht="16" spans="1:8">
      <c r="A269" s="161" t="s">
        <v>793</v>
      </c>
      <c r="B269" s="161" t="s">
        <v>794</v>
      </c>
      <c r="C269" s="161" t="s">
        <v>10</v>
      </c>
      <c r="D269" s="162" t="s">
        <v>795</v>
      </c>
      <c r="E269" s="252">
        <v>46290</v>
      </c>
      <c r="F269" s="164">
        <v>6</v>
      </c>
      <c r="G269" s="164">
        <v>5</v>
      </c>
      <c r="H269" s="164" t="s">
        <v>1499</v>
      </c>
    </row>
    <row r="270" ht="16" spans="1:8">
      <c r="A270" s="161" t="s">
        <v>796</v>
      </c>
      <c r="B270" s="161" t="s">
        <v>797</v>
      </c>
      <c r="C270" s="161" t="s">
        <v>44</v>
      </c>
      <c r="D270" s="162" t="s">
        <v>798</v>
      </c>
      <c r="E270" s="252">
        <v>46291</v>
      </c>
      <c r="F270" s="164">
        <v>7</v>
      </c>
      <c r="G270" s="164">
        <v>3</v>
      </c>
      <c r="H270" s="164" t="s">
        <v>1500</v>
      </c>
    </row>
    <row r="271" ht="16" spans="1:8">
      <c r="A271" s="161" t="s">
        <v>799</v>
      </c>
      <c r="B271" s="161" t="s">
        <v>800</v>
      </c>
      <c r="C271" s="161" t="s">
        <v>10</v>
      </c>
      <c r="D271" s="162" t="s">
        <v>801</v>
      </c>
      <c r="E271" s="252">
        <v>46292</v>
      </c>
      <c r="F271" s="164">
        <v>8</v>
      </c>
      <c r="G271" s="164">
        <v>5</v>
      </c>
      <c r="H271" s="164" t="s">
        <v>1501</v>
      </c>
    </row>
    <row r="272" ht="16" spans="1:8">
      <c r="A272" s="161" t="s">
        <v>802</v>
      </c>
      <c r="B272" s="161" t="s">
        <v>803</v>
      </c>
      <c r="C272" s="161" t="s">
        <v>33</v>
      </c>
      <c r="D272" s="162" t="s">
        <v>804</v>
      </c>
      <c r="E272" s="252">
        <v>46293</v>
      </c>
      <c r="F272" s="164">
        <v>9</v>
      </c>
      <c r="G272" s="164">
        <v>7</v>
      </c>
      <c r="H272" s="164" t="s">
        <v>1495</v>
      </c>
    </row>
    <row r="273" ht="16" spans="1:8">
      <c r="A273" s="161" t="s">
        <v>805</v>
      </c>
      <c r="B273" s="161" t="s">
        <v>806</v>
      </c>
      <c r="C273" s="161" t="s">
        <v>7</v>
      </c>
      <c r="D273" s="162" t="s">
        <v>807</v>
      </c>
      <c r="E273" s="252">
        <v>46294</v>
      </c>
      <c r="F273" s="164">
        <v>4</v>
      </c>
      <c r="G273" s="164">
        <v>5</v>
      </c>
      <c r="H273" s="164" t="s">
        <v>1497</v>
      </c>
    </row>
    <row r="274" ht="16" spans="1:8">
      <c r="A274" s="161" t="s">
        <v>808</v>
      </c>
      <c r="B274" s="161" t="s">
        <v>809</v>
      </c>
      <c r="C274" s="161" t="s">
        <v>7</v>
      </c>
      <c r="D274" s="162" t="s">
        <v>810</v>
      </c>
      <c r="E274" s="252">
        <v>46295</v>
      </c>
      <c r="F274" s="164">
        <v>3</v>
      </c>
      <c r="G274" s="164">
        <v>6</v>
      </c>
      <c r="H274" s="164" t="s">
        <v>1498</v>
      </c>
    </row>
    <row r="275" ht="16" spans="1:8">
      <c r="A275" s="161" t="s">
        <v>811</v>
      </c>
      <c r="B275" s="161" t="s">
        <v>812</v>
      </c>
      <c r="C275" s="161" t="s">
        <v>7</v>
      </c>
      <c r="D275" s="162" t="s">
        <v>813</v>
      </c>
      <c r="E275" s="252">
        <v>46296</v>
      </c>
      <c r="F275" s="164">
        <v>8</v>
      </c>
      <c r="G275" s="164">
        <v>7</v>
      </c>
      <c r="H275" s="164" t="s">
        <v>1499</v>
      </c>
    </row>
    <row r="276" ht="16" spans="1:8">
      <c r="A276" s="161" t="s">
        <v>814</v>
      </c>
      <c r="B276" s="161" t="s">
        <v>815</v>
      </c>
      <c r="C276" s="161" t="s">
        <v>10</v>
      </c>
      <c r="D276" s="162" t="s">
        <v>816</v>
      </c>
      <c r="E276" s="252">
        <v>46297</v>
      </c>
      <c r="F276" s="164">
        <v>2</v>
      </c>
      <c r="G276" s="164">
        <v>8</v>
      </c>
      <c r="H276" s="164" t="s">
        <v>1500</v>
      </c>
    </row>
    <row r="277" ht="16" spans="1:8">
      <c r="A277" s="161" t="s">
        <v>817</v>
      </c>
      <c r="B277" s="161" t="s">
        <v>818</v>
      </c>
      <c r="C277" s="161" t="s">
        <v>7</v>
      </c>
      <c r="D277" s="162" t="s">
        <v>819</v>
      </c>
      <c r="E277" s="252">
        <v>46298</v>
      </c>
      <c r="F277" s="164">
        <v>9</v>
      </c>
      <c r="G277" s="164">
        <v>9</v>
      </c>
      <c r="H277" s="164" t="s">
        <v>1501</v>
      </c>
    </row>
    <row r="278" ht="16" spans="1:8">
      <c r="A278" s="161" t="s">
        <v>820</v>
      </c>
      <c r="B278" s="161" t="s">
        <v>821</v>
      </c>
      <c r="C278" s="161" t="s">
        <v>13</v>
      </c>
      <c r="D278" s="162" t="s">
        <v>822</v>
      </c>
      <c r="E278" s="252">
        <v>46299</v>
      </c>
      <c r="F278" s="164">
        <v>5</v>
      </c>
      <c r="G278" s="164">
        <v>4</v>
      </c>
      <c r="H278" s="164" t="s">
        <v>1495</v>
      </c>
    </row>
    <row r="279" ht="16" spans="1:8">
      <c r="A279" s="161" t="s">
        <v>823</v>
      </c>
      <c r="B279" s="161" t="s">
        <v>824</v>
      </c>
      <c r="C279" s="161" t="s">
        <v>10</v>
      </c>
      <c r="D279" s="162" t="s">
        <v>825</v>
      </c>
      <c r="E279" s="252">
        <v>46300</v>
      </c>
      <c r="F279" s="164">
        <v>3</v>
      </c>
      <c r="G279" s="164">
        <v>3</v>
      </c>
      <c r="H279" s="164" t="s">
        <v>1497</v>
      </c>
    </row>
    <row r="280" ht="16" spans="1:8">
      <c r="A280" s="161" t="s">
        <v>826</v>
      </c>
      <c r="B280" s="161" t="s">
        <v>827</v>
      </c>
      <c r="C280" s="161" t="s">
        <v>13</v>
      </c>
      <c r="D280" s="162" t="s">
        <v>828</v>
      </c>
      <c r="E280" s="252">
        <v>46301</v>
      </c>
      <c r="F280" s="164">
        <v>5</v>
      </c>
      <c r="G280" s="164">
        <v>8</v>
      </c>
      <c r="H280" s="164" t="s">
        <v>1498</v>
      </c>
    </row>
    <row r="281" ht="16" spans="1:8">
      <c r="A281" s="161" t="s">
        <v>829</v>
      </c>
      <c r="B281" s="161" t="s">
        <v>830</v>
      </c>
      <c r="C281" s="161" t="s">
        <v>13</v>
      </c>
      <c r="D281" s="162" t="s">
        <v>831</v>
      </c>
      <c r="E281" s="252">
        <v>46302</v>
      </c>
      <c r="F281" s="164">
        <v>7</v>
      </c>
      <c r="G281" s="164">
        <v>2</v>
      </c>
      <c r="H281" s="164" t="s">
        <v>1499</v>
      </c>
    </row>
    <row r="282" ht="16" spans="1:8">
      <c r="A282" s="161" t="s">
        <v>832</v>
      </c>
      <c r="B282" s="161" t="s">
        <v>833</v>
      </c>
      <c r="C282" s="161" t="s">
        <v>7</v>
      </c>
      <c r="D282" s="162" t="s">
        <v>834</v>
      </c>
      <c r="E282" s="252">
        <v>46303</v>
      </c>
      <c r="F282" s="164">
        <v>5</v>
      </c>
      <c r="G282" s="164">
        <v>9</v>
      </c>
      <c r="H282" s="164" t="s">
        <v>1500</v>
      </c>
    </row>
    <row r="283" ht="16" spans="1:8">
      <c r="A283" s="161" t="s">
        <v>835</v>
      </c>
      <c r="B283" s="161" t="s">
        <v>836</v>
      </c>
      <c r="C283" s="161" t="s">
        <v>7</v>
      </c>
      <c r="D283" s="162" t="s">
        <v>837</v>
      </c>
      <c r="E283" s="252">
        <v>46304</v>
      </c>
      <c r="F283" s="164">
        <v>6</v>
      </c>
      <c r="G283" s="164">
        <v>5</v>
      </c>
      <c r="H283" s="164" t="s">
        <v>1501</v>
      </c>
    </row>
    <row r="284" ht="16" spans="1:8">
      <c r="A284" s="161" t="s">
        <v>838</v>
      </c>
      <c r="B284" s="161" t="s">
        <v>839</v>
      </c>
      <c r="C284" s="161" t="s">
        <v>33</v>
      </c>
      <c r="D284" s="162" t="s">
        <v>840</v>
      </c>
      <c r="E284" s="252">
        <v>46305</v>
      </c>
      <c r="F284" s="164">
        <v>7</v>
      </c>
      <c r="G284" s="164">
        <v>3</v>
      </c>
      <c r="H284" s="164" t="s">
        <v>1495</v>
      </c>
    </row>
    <row r="285" ht="16" spans="1:8">
      <c r="A285" s="161" t="s">
        <v>841</v>
      </c>
      <c r="B285" s="161" t="s">
        <v>842</v>
      </c>
      <c r="C285" s="161" t="s">
        <v>10</v>
      </c>
      <c r="D285" s="162" t="s">
        <v>843</v>
      </c>
      <c r="E285" s="252">
        <v>46306</v>
      </c>
      <c r="F285" s="164">
        <v>8</v>
      </c>
      <c r="G285" s="164">
        <v>5</v>
      </c>
      <c r="H285" s="164" t="s">
        <v>1497</v>
      </c>
    </row>
    <row r="286" ht="16" spans="1:8">
      <c r="A286" s="161" t="s">
        <v>844</v>
      </c>
      <c r="B286" s="161" t="s">
        <v>845</v>
      </c>
      <c r="C286" s="161" t="s">
        <v>7</v>
      </c>
      <c r="D286" s="162" t="s">
        <v>846</v>
      </c>
      <c r="E286" s="252">
        <v>46307</v>
      </c>
      <c r="F286" s="164">
        <v>9</v>
      </c>
      <c r="G286" s="164">
        <v>7</v>
      </c>
      <c r="H286" s="164" t="s">
        <v>1498</v>
      </c>
    </row>
    <row r="287" ht="16" spans="1:8">
      <c r="A287" s="161" t="s">
        <v>847</v>
      </c>
      <c r="B287" s="161" t="s">
        <v>848</v>
      </c>
      <c r="C287" s="161" t="s">
        <v>10</v>
      </c>
      <c r="D287" s="162" t="s">
        <v>849</v>
      </c>
      <c r="E287" s="252">
        <v>46308</v>
      </c>
      <c r="F287" s="164">
        <v>4</v>
      </c>
      <c r="G287" s="164">
        <v>5</v>
      </c>
      <c r="H287" s="164" t="s">
        <v>1499</v>
      </c>
    </row>
    <row r="288" ht="16" spans="1:8">
      <c r="A288" s="161" t="s">
        <v>850</v>
      </c>
      <c r="B288" s="161" t="s">
        <v>851</v>
      </c>
      <c r="C288" s="161" t="s">
        <v>7</v>
      </c>
      <c r="D288" s="162" t="s">
        <v>852</v>
      </c>
      <c r="E288" s="252">
        <v>46309</v>
      </c>
      <c r="F288" s="164">
        <v>3</v>
      </c>
      <c r="G288" s="164">
        <v>6</v>
      </c>
      <c r="H288" s="164" t="s">
        <v>1500</v>
      </c>
    </row>
    <row r="289" ht="16" spans="1:8">
      <c r="A289" s="161" t="s">
        <v>853</v>
      </c>
      <c r="B289" s="161" t="s">
        <v>854</v>
      </c>
      <c r="C289" s="161" t="s">
        <v>10</v>
      </c>
      <c r="D289" s="162" t="s">
        <v>855</v>
      </c>
      <c r="E289" s="252">
        <v>46310</v>
      </c>
      <c r="F289" s="164">
        <v>8</v>
      </c>
      <c r="G289" s="164">
        <v>7</v>
      </c>
      <c r="H289" s="164" t="s">
        <v>1501</v>
      </c>
    </row>
    <row r="290" ht="16" spans="1:8">
      <c r="A290" s="161" t="s">
        <v>856</v>
      </c>
      <c r="B290" s="161" t="s">
        <v>857</v>
      </c>
      <c r="C290" s="161" t="s">
        <v>7</v>
      </c>
      <c r="D290" s="162" t="s">
        <v>858</v>
      </c>
      <c r="E290" s="252">
        <v>46311</v>
      </c>
      <c r="F290" s="164">
        <v>2</v>
      </c>
      <c r="G290" s="164">
        <v>8</v>
      </c>
      <c r="H290" s="164" t="s">
        <v>1495</v>
      </c>
    </row>
    <row r="291" ht="16" spans="1:8">
      <c r="A291" s="161" t="s">
        <v>859</v>
      </c>
      <c r="B291" s="161" t="s">
        <v>860</v>
      </c>
      <c r="C291" s="161" t="s">
        <v>13</v>
      </c>
      <c r="D291" s="162" t="s">
        <v>861</v>
      </c>
      <c r="E291" s="252">
        <v>46312</v>
      </c>
      <c r="F291" s="164">
        <v>9</v>
      </c>
      <c r="G291" s="164">
        <v>9</v>
      </c>
      <c r="H291" s="164" t="s">
        <v>1497</v>
      </c>
    </row>
    <row r="292" ht="16" spans="1:8">
      <c r="A292" s="161" t="s">
        <v>862</v>
      </c>
      <c r="B292" s="161" t="s">
        <v>863</v>
      </c>
      <c r="C292" s="161" t="s">
        <v>7</v>
      </c>
      <c r="D292" s="162" t="s">
        <v>864</v>
      </c>
      <c r="E292" s="252">
        <v>46313</v>
      </c>
      <c r="F292" s="164">
        <v>5</v>
      </c>
      <c r="G292" s="164">
        <v>4</v>
      </c>
      <c r="H292" s="164" t="s">
        <v>1498</v>
      </c>
    </row>
    <row r="293" ht="16" spans="1:8">
      <c r="A293" s="161" t="s">
        <v>865</v>
      </c>
      <c r="B293" s="161" t="s">
        <v>866</v>
      </c>
      <c r="C293" s="161" t="s">
        <v>10</v>
      </c>
      <c r="D293" s="162" t="s">
        <v>867</v>
      </c>
      <c r="E293" s="252">
        <v>46314</v>
      </c>
      <c r="F293" s="164">
        <v>3</v>
      </c>
      <c r="G293" s="164">
        <v>3</v>
      </c>
      <c r="H293" s="164" t="s">
        <v>1499</v>
      </c>
    </row>
    <row r="294" ht="16" spans="1:8">
      <c r="A294" s="161" t="s">
        <v>868</v>
      </c>
      <c r="B294" s="161" t="s">
        <v>869</v>
      </c>
      <c r="C294" s="161" t="s">
        <v>7</v>
      </c>
      <c r="D294" s="162" t="s">
        <v>870</v>
      </c>
      <c r="E294" s="252">
        <v>46315</v>
      </c>
      <c r="F294" s="164">
        <v>5</v>
      </c>
      <c r="G294" s="164">
        <v>8</v>
      </c>
      <c r="H294" s="164" t="s">
        <v>1500</v>
      </c>
    </row>
    <row r="295" ht="16" spans="1:8">
      <c r="A295" s="161" t="s">
        <v>871</v>
      </c>
      <c r="B295" s="161" t="s">
        <v>872</v>
      </c>
      <c r="C295" s="161" t="s">
        <v>33</v>
      </c>
      <c r="D295" s="162" t="s">
        <v>873</v>
      </c>
      <c r="E295" s="252">
        <v>46316</v>
      </c>
      <c r="F295" s="164">
        <v>7</v>
      </c>
      <c r="G295" s="164">
        <v>2</v>
      </c>
      <c r="H295" s="164" t="s">
        <v>1501</v>
      </c>
    </row>
    <row r="296" ht="16" spans="1:8">
      <c r="A296" s="161" t="s">
        <v>874</v>
      </c>
      <c r="B296" s="161" t="s">
        <v>875</v>
      </c>
      <c r="C296" s="161" t="s">
        <v>7</v>
      </c>
      <c r="D296" s="162" t="s">
        <v>876</v>
      </c>
      <c r="E296" s="252">
        <v>46317</v>
      </c>
      <c r="F296" s="164">
        <v>5</v>
      </c>
      <c r="G296" s="164">
        <v>9</v>
      </c>
      <c r="H296" s="164" t="s">
        <v>1495</v>
      </c>
    </row>
    <row r="297" ht="16" spans="1:8">
      <c r="A297" s="161" t="s">
        <v>877</v>
      </c>
      <c r="B297" s="161" t="s">
        <v>878</v>
      </c>
      <c r="C297" s="161" t="s">
        <v>33</v>
      </c>
      <c r="D297" s="162" t="s">
        <v>879</v>
      </c>
      <c r="E297" s="252">
        <v>46318</v>
      </c>
      <c r="F297" s="164">
        <v>6</v>
      </c>
      <c r="G297" s="164">
        <v>5</v>
      </c>
      <c r="H297" s="164" t="s">
        <v>1497</v>
      </c>
    </row>
    <row r="298" ht="16" spans="1:8">
      <c r="A298" s="161" t="s">
        <v>880</v>
      </c>
      <c r="B298" s="161" t="s">
        <v>881</v>
      </c>
      <c r="C298" s="161" t="s">
        <v>44</v>
      </c>
      <c r="D298" s="162" t="s">
        <v>882</v>
      </c>
      <c r="E298" s="252">
        <v>46319</v>
      </c>
      <c r="F298" s="164">
        <v>7</v>
      </c>
      <c r="G298" s="164">
        <v>3</v>
      </c>
      <c r="H298" s="164" t="s">
        <v>1498</v>
      </c>
    </row>
    <row r="299" ht="16" spans="1:8">
      <c r="A299" s="161" t="s">
        <v>883</v>
      </c>
      <c r="B299" s="161" t="s">
        <v>884</v>
      </c>
      <c r="C299" s="161" t="s">
        <v>13</v>
      </c>
      <c r="D299" s="162" t="s">
        <v>885</v>
      </c>
      <c r="E299" s="252">
        <v>46320</v>
      </c>
      <c r="F299" s="164">
        <v>8</v>
      </c>
      <c r="G299" s="164">
        <v>5</v>
      </c>
      <c r="H299" s="164" t="s">
        <v>1499</v>
      </c>
    </row>
    <row r="300" ht="16" spans="1:8">
      <c r="A300" s="161" t="s">
        <v>886</v>
      </c>
      <c r="B300" s="161" t="s">
        <v>887</v>
      </c>
      <c r="C300" s="161" t="s">
        <v>10</v>
      </c>
      <c r="D300" s="162" t="s">
        <v>888</v>
      </c>
      <c r="E300" s="252">
        <v>46321</v>
      </c>
      <c r="F300" s="164">
        <v>9</v>
      </c>
      <c r="G300" s="164">
        <v>7</v>
      </c>
      <c r="H300" s="164" t="s">
        <v>1500</v>
      </c>
    </row>
    <row r="301" ht="16" spans="1:8">
      <c r="A301" s="161" t="s">
        <v>889</v>
      </c>
      <c r="B301" s="161" t="s">
        <v>890</v>
      </c>
      <c r="C301" s="161" t="s">
        <v>13</v>
      </c>
      <c r="D301" s="162" t="s">
        <v>891</v>
      </c>
      <c r="E301" s="252">
        <v>46322</v>
      </c>
      <c r="F301" s="164">
        <v>4</v>
      </c>
      <c r="G301" s="164">
        <v>5</v>
      </c>
      <c r="H301" s="164" t="s">
        <v>1501</v>
      </c>
    </row>
    <row r="302" ht="16" spans="1:8">
      <c r="A302" s="161" t="s">
        <v>892</v>
      </c>
      <c r="B302" s="161" t="s">
        <v>893</v>
      </c>
      <c r="C302" s="161" t="s">
        <v>33</v>
      </c>
      <c r="D302" s="162" t="s">
        <v>894</v>
      </c>
      <c r="E302" s="252">
        <v>46323</v>
      </c>
      <c r="F302" s="164">
        <v>3</v>
      </c>
      <c r="G302" s="164">
        <v>6</v>
      </c>
      <c r="H302" s="164" t="s">
        <v>1495</v>
      </c>
    </row>
    <row r="303" ht="16" spans="1:8">
      <c r="A303" s="161" t="s">
        <v>895</v>
      </c>
      <c r="B303" s="161" t="s">
        <v>896</v>
      </c>
      <c r="C303" s="161" t="s">
        <v>7</v>
      </c>
      <c r="D303" s="162" t="s">
        <v>897</v>
      </c>
      <c r="E303" s="252">
        <v>46324</v>
      </c>
      <c r="F303" s="164">
        <v>8</v>
      </c>
      <c r="G303" s="164">
        <v>7</v>
      </c>
      <c r="H303" s="164" t="s">
        <v>1497</v>
      </c>
    </row>
    <row r="304" ht="16" spans="1:8">
      <c r="A304" s="161" t="s">
        <v>898</v>
      </c>
      <c r="B304" s="161" t="s">
        <v>899</v>
      </c>
      <c r="C304" s="161" t="s">
        <v>13</v>
      </c>
      <c r="D304" s="162" t="s">
        <v>900</v>
      </c>
      <c r="E304" s="252">
        <v>46325</v>
      </c>
      <c r="F304" s="164">
        <v>2</v>
      </c>
      <c r="G304" s="164">
        <v>8</v>
      </c>
      <c r="H304" s="164" t="s">
        <v>1498</v>
      </c>
    </row>
    <row r="305" ht="16" spans="1:8">
      <c r="A305" s="161" t="s">
        <v>901</v>
      </c>
      <c r="B305" s="161" t="s">
        <v>902</v>
      </c>
      <c r="C305" s="161" t="s">
        <v>10</v>
      </c>
      <c r="D305" s="162" t="s">
        <v>903</v>
      </c>
      <c r="E305" s="252">
        <v>46326</v>
      </c>
      <c r="F305" s="164">
        <v>9</v>
      </c>
      <c r="G305" s="164">
        <v>9</v>
      </c>
      <c r="H305" s="164" t="s">
        <v>1499</v>
      </c>
    </row>
    <row r="306" ht="16" spans="1:8">
      <c r="A306" s="161" t="s">
        <v>904</v>
      </c>
      <c r="B306" s="161" t="s">
        <v>905</v>
      </c>
      <c r="C306" s="161" t="s">
        <v>7</v>
      </c>
      <c r="D306" s="162" t="s">
        <v>906</v>
      </c>
      <c r="E306" s="252">
        <v>46327</v>
      </c>
      <c r="F306" s="164">
        <v>5</v>
      </c>
      <c r="G306" s="164">
        <v>4</v>
      </c>
      <c r="H306" s="164" t="s">
        <v>1500</v>
      </c>
    </row>
    <row r="307" ht="16" spans="1:8">
      <c r="A307" s="161" t="s">
        <v>907</v>
      </c>
      <c r="B307" s="161" t="s">
        <v>908</v>
      </c>
      <c r="C307" s="161" t="s">
        <v>33</v>
      </c>
      <c r="D307" s="162" t="s">
        <v>909</v>
      </c>
      <c r="E307" s="252">
        <v>46328</v>
      </c>
      <c r="F307" s="164">
        <v>3</v>
      </c>
      <c r="G307" s="164">
        <v>3</v>
      </c>
      <c r="H307" s="164" t="s">
        <v>1501</v>
      </c>
    </row>
    <row r="308" ht="16" spans="1:8">
      <c r="A308" s="161" t="s">
        <v>910</v>
      </c>
      <c r="B308" s="161" t="s">
        <v>911</v>
      </c>
      <c r="C308" s="161" t="s">
        <v>44</v>
      </c>
      <c r="D308" s="162" t="s">
        <v>912</v>
      </c>
      <c r="E308" s="252">
        <v>46329</v>
      </c>
      <c r="F308" s="164">
        <v>5</v>
      </c>
      <c r="G308" s="164">
        <v>8</v>
      </c>
      <c r="H308" s="164" t="s">
        <v>1495</v>
      </c>
    </row>
    <row r="309" ht="16" spans="1:8">
      <c r="A309" s="161" t="s">
        <v>913</v>
      </c>
      <c r="B309" s="161" t="s">
        <v>914</v>
      </c>
      <c r="C309" s="161" t="s">
        <v>33</v>
      </c>
      <c r="D309" s="162" t="s">
        <v>915</v>
      </c>
      <c r="E309" s="252">
        <v>46330</v>
      </c>
      <c r="F309" s="164">
        <v>7</v>
      </c>
      <c r="G309" s="164">
        <v>2</v>
      </c>
      <c r="H309" s="164" t="s">
        <v>1497</v>
      </c>
    </row>
    <row r="310" ht="16" spans="1:8">
      <c r="A310" s="161" t="s">
        <v>916</v>
      </c>
      <c r="B310" s="161" t="s">
        <v>917</v>
      </c>
      <c r="C310" s="161" t="s">
        <v>33</v>
      </c>
      <c r="D310" s="162" t="s">
        <v>918</v>
      </c>
      <c r="E310" s="252">
        <v>46331</v>
      </c>
      <c r="F310" s="164">
        <v>5</v>
      </c>
      <c r="G310" s="164">
        <v>9</v>
      </c>
      <c r="H310" s="164" t="s">
        <v>1498</v>
      </c>
    </row>
    <row r="311" ht="16" spans="1:8">
      <c r="A311" s="161" t="s">
        <v>919</v>
      </c>
      <c r="B311" s="161" t="s">
        <v>920</v>
      </c>
      <c r="C311" s="161" t="s">
        <v>13</v>
      </c>
      <c r="D311" s="162" t="s">
        <v>921</v>
      </c>
      <c r="E311" s="252">
        <v>46332</v>
      </c>
      <c r="F311" s="164">
        <v>6</v>
      </c>
      <c r="G311" s="164">
        <v>5</v>
      </c>
      <c r="H311" s="164" t="s">
        <v>1499</v>
      </c>
    </row>
    <row r="312" ht="16" spans="1:8">
      <c r="A312" s="161" t="s">
        <v>922</v>
      </c>
      <c r="B312" s="161" t="s">
        <v>923</v>
      </c>
      <c r="C312" s="161" t="s">
        <v>7</v>
      </c>
      <c r="D312" s="162" t="s">
        <v>924</v>
      </c>
      <c r="E312" s="252">
        <v>46333</v>
      </c>
      <c r="F312" s="164">
        <v>7</v>
      </c>
      <c r="G312" s="164">
        <v>3</v>
      </c>
      <c r="H312" s="164" t="s">
        <v>1500</v>
      </c>
    </row>
    <row r="313" ht="16" spans="1:8">
      <c r="A313" s="161" t="s">
        <v>925</v>
      </c>
      <c r="B313" s="161" t="s">
        <v>926</v>
      </c>
      <c r="C313" s="161" t="s">
        <v>33</v>
      </c>
      <c r="D313" s="162" t="s">
        <v>927</v>
      </c>
      <c r="E313" s="252">
        <v>46334</v>
      </c>
      <c r="F313" s="164">
        <v>8</v>
      </c>
      <c r="G313" s="164">
        <v>5</v>
      </c>
      <c r="H313" s="164" t="s">
        <v>1501</v>
      </c>
    </row>
    <row r="314" ht="16" spans="1:8">
      <c r="A314" s="161" t="s">
        <v>928</v>
      </c>
      <c r="B314" s="161" t="s">
        <v>929</v>
      </c>
      <c r="C314" s="161" t="s">
        <v>10</v>
      </c>
      <c r="D314" s="162" t="s">
        <v>930</v>
      </c>
      <c r="E314" s="252">
        <v>46335</v>
      </c>
      <c r="F314" s="164">
        <v>9</v>
      </c>
      <c r="G314" s="164">
        <v>7</v>
      </c>
      <c r="H314" s="164" t="s">
        <v>1495</v>
      </c>
    </row>
    <row r="315" ht="16" spans="1:8">
      <c r="A315" s="161" t="s">
        <v>931</v>
      </c>
      <c r="B315" s="161" t="s">
        <v>932</v>
      </c>
      <c r="C315" s="161" t="s">
        <v>7</v>
      </c>
      <c r="D315" s="162" t="s">
        <v>933</v>
      </c>
      <c r="E315" s="252">
        <v>46336</v>
      </c>
      <c r="F315" s="164">
        <v>4</v>
      </c>
      <c r="G315" s="164">
        <v>5</v>
      </c>
      <c r="H315" s="164" t="s">
        <v>1497</v>
      </c>
    </row>
    <row r="316" ht="16" spans="1:8">
      <c r="A316" s="161" t="s">
        <v>934</v>
      </c>
      <c r="B316" s="161" t="s">
        <v>935</v>
      </c>
      <c r="C316" s="161" t="s">
        <v>33</v>
      </c>
      <c r="D316" s="162" t="s">
        <v>936</v>
      </c>
      <c r="E316" s="252">
        <v>46337</v>
      </c>
      <c r="F316" s="164">
        <v>3</v>
      </c>
      <c r="G316" s="164">
        <v>6</v>
      </c>
      <c r="H316" s="164" t="s">
        <v>1498</v>
      </c>
    </row>
    <row r="317" ht="16" spans="1:8">
      <c r="A317" s="161" t="s">
        <v>937</v>
      </c>
      <c r="B317" s="161" t="s">
        <v>938</v>
      </c>
      <c r="C317" s="161" t="s">
        <v>13</v>
      </c>
      <c r="D317" s="162" t="s">
        <v>939</v>
      </c>
      <c r="E317" s="252">
        <v>46338</v>
      </c>
      <c r="F317" s="164">
        <v>8</v>
      </c>
      <c r="G317" s="164">
        <v>7</v>
      </c>
      <c r="H317" s="164" t="s">
        <v>1499</v>
      </c>
    </row>
    <row r="318" ht="16" spans="1:8">
      <c r="A318" s="161" t="s">
        <v>940</v>
      </c>
      <c r="B318" s="161" t="s">
        <v>941</v>
      </c>
      <c r="C318" s="161" t="s">
        <v>33</v>
      </c>
      <c r="D318" s="162" t="s">
        <v>942</v>
      </c>
      <c r="E318" s="252">
        <v>46339</v>
      </c>
      <c r="F318" s="164">
        <v>2</v>
      </c>
      <c r="G318" s="164">
        <v>8</v>
      </c>
      <c r="H318" s="164" t="s">
        <v>1500</v>
      </c>
    </row>
    <row r="319" ht="16" spans="1:8">
      <c r="A319" s="161" t="s">
        <v>943</v>
      </c>
      <c r="B319" s="161" t="s">
        <v>944</v>
      </c>
      <c r="C319" s="161" t="s">
        <v>10</v>
      </c>
      <c r="D319" s="162" t="s">
        <v>945</v>
      </c>
      <c r="E319" s="252">
        <v>46340</v>
      </c>
      <c r="F319" s="164">
        <v>9</v>
      </c>
      <c r="G319" s="164">
        <v>9</v>
      </c>
      <c r="H319" s="164" t="s">
        <v>1501</v>
      </c>
    </row>
    <row r="320" ht="16" spans="1:8">
      <c r="A320" s="161" t="s">
        <v>946</v>
      </c>
      <c r="B320" s="161" t="s">
        <v>947</v>
      </c>
      <c r="C320" s="161" t="s">
        <v>10</v>
      </c>
      <c r="D320" s="162" t="s">
        <v>948</v>
      </c>
      <c r="E320" s="252">
        <v>46341</v>
      </c>
      <c r="F320" s="164">
        <v>5</v>
      </c>
      <c r="G320" s="164">
        <v>4</v>
      </c>
      <c r="H320" s="164" t="s">
        <v>1495</v>
      </c>
    </row>
    <row r="321" ht="16" spans="1:8">
      <c r="A321" s="161" t="s">
        <v>949</v>
      </c>
      <c r="B321" s="161" t="s">
        <v>950</v>
      </c>
      <c r="C321" s="161" t="s">
        <v>7</v>
      </c>
      <c r="D321" s="162" t="s">
        <v>951</v>
      </c>
      <c r="E321" s="252">
        <v>46342</v>
      </c>
      <c r="F321" s="164">
        <v>3</v>
      </c>
      <c r="G321" s="164">
        <v>3</v>
      </c>
      <c r="H321" s="164" t="s">
        <v>1497</v>
      </c>
    </row>
    <row r="322" ht="16" spans="1:8">
      <c r="A322" s="161" t="s">
        <v>952</v>
      </c>
      <c r="B322" s="161" t="s">
        <v>953</v>
      </c>
      <c r="C322" s="161" t="s">
        <v>7</v>
      </c>
      <c r="D322" s="162" t="s">
        <v>954</v>
      </c>
      <c r="E322" s="252">
        <v>46343</v>
      </c>
      <c r="F322" s="164">
        <v>5</v>
      </c>
      <c r="G322" s="164">
        <v>8</v>
      </c>
      <c r="H322" s="164" t="s">
        <v>1498</v>
      </c>
    </row>
    <row r="323" ht="16" spans="1:8">
      <c r="A323" s="161" t="s">
        <v>955</v>
      </c>
      <c r="B323" s="161" t="s">
        <v>956</v>
      </c>
      <c r="C323" s="161" t="s">
        <v>13</v>
      </c>
      <c r="D323" s="162" t="s">
        <v>957</v>
      </c>
      <c r="E323" s="252">
        <v>46344</v>
      </c>
      <c r="F323" s="164">
        <v>7</v>
      </c>
      <c r="G323" s="164">
        <v>2</v>
      </c>
      <c r="H323" s="164" t="s">
        <v>1499</v>
      </c>
    </row>
    <row r="324" ht="16" spans="1:8">
      <c r="A324" s="161" t="s">
        <v>958</v>
      </c>
      <c r="B324" s="161" t="s">
        <v>959</v>
      </c>
      <c r="C324" s="161" t="s">
        <v>10</v>
      </c>
      <c r="D324" s="162" t="s">
        <v>960</v>
      </c>
      <c r="E324" s="252">
        <v>46345</v>
      </c>
      <c r="F324" s="164">
        <v>5</v>
      </c>
      <c r="G324" s="164">
        <v>9</v>
      </c>
      <c r="H324" s="164" t="s">
        <v>1500</v>
      </c>
    </row>
    <row r="325" ht="16" spans="1:8">
      <c r="A325" s="161" t="s">
        <v>961</v>
      </c>
      <c r="B325" s="161" t="s">
        <v>962</v>
      </c>
      <c r="C325" s="161" t="s">
        <v>33</v>
      </c>
      <c r="D325" s="162" t="s">
        <v>963</v>
      </c>
      <c r="E325" s="252">
        <v>46346</v>
      </c>
      <c r="F325" s="164">
        <v>6</v>
      </c>
      <c r="G325" s="164">
        <v>5</v>
      </c>
      <c r="H325" s="164" t="s">
        <v>1501</v>
      </c>
    </row>
    <row r="326" ht="16" spans="1:8">
      <c r="A326" s="161" t="s">
        <v>964</v>
      </c>
      <c r="B326" s="161" t="s">
        <v>965</v>
      </c>
      <c r="C326" s="161" t="s">
        <v>13</v>
      </c>
      <c r="D326" s="162" t="s">
        <v>966</v>
      </c>
      <c r="E326" s="252">
        <v>46347</v>
      </c>
      <c r="F326" s="164">
        <v>7</v>
      </c>
      <c r="G326" s="164">
        <v>3</v>
      </c>
      <c r="H326" s="164" t="s">
        <v>1495</v>
      </c>
    </row>
    <row r="327" ht="16" spans="1:8">
      <c r="A327" s="161" t="s">
        <v>967</v>
      </c>
      <c r="B327" s="161" t="s">
        <v>968</v>
      </c>
      <c r="C327" s="161" t="s">
        <v>13</v>
      </c>
      <c r="D327" s="162" t="s">
        <v>969</v>
      </c>
      <c r="E327" s="252">
        <v>46348</v>
      </c>
      <c r="F327" s="164">
        <v>8</v>
      </c>
      <c r="G327" s="164">
        <v>5</v>
      </c>
      <c r="H327" s="164" t="s">
        <v>1497</v>
      </c>
    </row>
    <row r="328" ht="16" spans="1:8">
      <c r="A328" s="161" t="s">
        <v>970</v>
      </c>
      <c r="B328" s="161" t="s">
        <v>971</v>
      </c>
      <c r="C328" s="161" t="s">
        <v>10</v>
      </c>
      <c r="D328" s="162" t="s">
        <v>972</v>
      </c>
      <c r="E328" s="252">
        <v>46349</v>
      </c>
      <c r="F328" s="164">
        <v>9</v>
      </c>
      <c r="G328" s="164">
        <v>7</v>
      </c>
      <c r="H328" s="164" t="s">
        <v>1498</v>
      </c>
    </row>
    <row r="329" ht="16" spans="1:8">
      <c r="A329" s="161" t="s">
        <v>973</v>
      </c>
      <c r="B329" s="161" t="s">
        <v>974</v>
      </c>
      <c r="C329" s="161" t="s">
        <v>33</v>
      </c>
      <c r="D329" s="162" t="s">
        <v>975</v>
      </c>
      <c r="E329" s="252">
        <v>46350</v>
      </c>
      <c r="F329" s="164">
        <v>4</v>
      </c>
      <c r="G329" s="164">
        <v>5</v>
      </c>
      <c r="H329" s="164" t="s">
        <v>1499</v>
      </c>
    </row>
    <row r="330" ht="16" spans="1:8">
      <c r="A330" s="161" t="s">
        <v>976</v>
      </c>
      <c r="B330" s="161" t="s">
        <v>977</v>
      </c>
      <c r="C330" s="161" t="s">
        <v>44</v>
      </c>
      <c r="D330" s="162" t="s">
        <v>978</v>
      </c>
      <c r="E330" s="252">
        <v>46351</v>
      </c>
      <c r="F330" s="164">
        <v>3</v>
      </c>
      <c r="G330" s="164">
        <v>6</v>
      </c>
      <c r="H330" s="164" t="s">
        <v>1500</v>
      </c>
    </row>
    <row r="331" ht="16" spans="1:8">
      <c r="A331" s="161" t="s">
        <v>979</v>
      </c>
      <c r="B331" s="161" t="s">
        <v>980</v>
      </c>
      <c r="C331" s="161" t="s">
        <v>44</v>
      </c>
      <c r="D331" s="162" t="s">
        <v>981</v>
      </c>
      <c r="E331" s="252">
        <v>46352</v>
      </c>
      <c r="F331" s="164">
        <v>8</v>
      </c>
      <c r="G331" s="164">
        <v>7</v>
      </c>
      <c r="H331" s="164" t="s">
        <v>1501</v>
      </c>
    </row>
    <row r="332" ht="16" spans="1:8">
      <c r="A332" s="161" t="s">
        <v>982</v>
      </c>
      <c r="B332" s="161" t="s">
        <v>983</v>
      </c>
      <c r="C332" s="161" t="s">
        <v>33</v>
      </c>
      <c r="D332" s="162" t="s">
        <v>984</v>
      </c>
      <c r="E332" s="252">
        <v>46353</v>
      </c>
      <c r="F332" s="164">
        <v>2</v>
      </c>
      <c r="G332" s="164">
        <v>8</v>
      </c>
      <c r="H332" s="164" t="s">
        <v>1495</v>
      </c>
    </row>
    <row r="333" ht="16" spans="1:8">
      <c r="A333" s="161" t="s">
        <v>985</v>
      </c>
      <c r="B333" s="161" t="s">
        <v>986</v>
      </c>
      <c r="C333" s="161" t="s">
        <v>44</v>
      </c>
      <c r="D333" s="162" t="s">
        <v>987</v>
      </c>
      <c r="E333" s="252">
        <v>46354</v>
      </c>
      <c r="F333" s="164">
        <v>9</v>
      </c>
      <c r="G333" s="164">
        <v>9</v>
      </c>
      <c r="H333" s="164" t="s">
        <v>1497</v>
      </c>
    </row>
    <row r="334" ht="16" spans="1:8">
      <c r="A334" s="161" t="s">
        <v>988</v>
      </c>
      <c r="B334" s="161" t="s">
        <v>989</v>
      </c>
      <c r="C334" s="161" t="s">
        <v>7</v>
      </c>
      <c r="D334" s="162" t="s">
        <v>990</v>
      </c>
      <c r="E334" s="252">
        <v>46355</v>
      </c>
      <c r="F334" s="164">
        <v>5</v>
      </c>
      <c r="G334" s="164">
        <v>4</v>
      </c>
      <c r="H334" s="164" t="s">
        <v>1498</v>
      </c>
    </row>
    <row r="335" ht="16" spans="1:8">
      <c r="A335" s="161" t="s">
        <v>991</v>
      </c>
      <c r="B335" s="161" t="s">
        <v>992</v>
      </c>
      <c r="C335" s="161" t="s">
        <v>10</v>
      </c>
      <c r="D335" s="162" t="s">
        <v>993</v>
      </c>
      <c r="E335" s="252">
        <v>46356</v>
      </c>
      <c r="F335" s="164">
        <v>3</v>
      </c>
      <c r="G335" s="164">
        <v>3</v>
      </c>
      <c r="H335" s="164" t="s">
        <v>1499</v>
      </c>
    </row>
    <row r="336" ht="16" spans="1:8">
      <c r="A336" s="161" t="s">
        <v>994</v>
      </c>
      <c r="B336" s="161" t="s">
        <v>995</v>
      </c>
      <c r="C336" s="161" t="s">
        <v>44</v>
      </c>
      <c r="D336" s="162" t="s">
        <v>996</v>
      </c>
      <c r="E336" s="252">
        <v>46357</v>
      </c>
      <c r="F336" s="164">
        <v>5</v>
      </c>
      <c r="G336" s="164">
        <v>8</v>
      </c>
      <c r="H336" s="164" t="s">
        <v>1500</v>
      </c>
    </row>
    <row r="337" ht="16" spans="1:8">
      <c r="A337" s="161" t="s">
        <v>997</v>
      </c>
      <c r="B337" s="161" t="s">
        <v>998</v>
      </c>
      <c r="C337" s="161" t="s">
        <v>7</v>
      </c>
      <c r="D337" s="162" t="s">
        <v>999</v>
      </c>
      <c r="E337" s="252">
        <v>46358</v>
      </c>
      <c r="F337" s="164">
        <v>7</v>
      </c>
      <c r="G337" s="164">
        <v>2</v>
      </c>
      <c r="H337" s="164" t="s">
        <v>1501</v>
      </c>
    </row>
    <row r="338" ht="16" spans="1:8">
      <c r="A338" s="161" t="s">
        <v>1000</v>
      </c>
      <c r="B338" s="161" t="s">
        <v>1001</v>
      </c>
      <c r="C338" s="161" t="s">
        <v>7</v>
      </c>
      <c r="D338" s="162" t="s">
        <v>1002</v>
      </c>
      <c r="E338" s="252">
        <v>46359</v>
      </c>
      <c r="F338" s="164">
        <v>5</v>
      </c>
      <c r="G338" s="164">
        <v>9</v>
      </c>
      <c r="H338" s="164" t="s">
        <v>1495</v>
      </c>
    </row>
    <row r="339" ht="16" spans="1:8">
      <c r="A339" s="161" t="s">
        <v>1003</v>
      </c>
      <c r="B339" s="161" t="s">
        <v>1004</v>
      </c>
      <c r="C339" s="161" t="s">
        <v>33</v>
      </c>
      <c r="D339" s="162" t="s">
        <v>1005</v>
      </c>
      <c r="E339" s="252">
        <v>46360</v>
      </c>
      <c r="F339" s="164">
        <v>6</v>
      </c>
      <c r="G339" s="164">
        <v>5</v>
      </c>
      <c r="H339" s="164" t="s">
        <v>1497</v>
      </c>
    </row>
    <row r="340" ht="16" spans="1:8">
      <c r="A340" s="161" t="s">
        <v>1006</v>
      </c>
      <c r="B340" s="161" t="s">
        <v>1007</v>
      </c>
      <c r="C340" s="161" t="s">
        <v>13</v>
      </c>
      <c r="D340" s="162" t="s">
        <v>1008</v>
      </c>
      <c r="E340" s="252">
        <v>46361</v>
      </c>
      <c r="F340" s="164">
        <v>7</v>
      </c>
      <c r="G340" s="164">
        <v>3</v>
      </c>
      <c r="H340" s="164" t="s">
        <v>1498</v>
      </c>
    </row>
    <row r="341" ht="16" spans="1:8">
      <c r="A341" s="161" t="s">
        <v>1009</v>
      </c>
      <c r="B341" s="161" t="s">
        <v>1010</v>
      </c>
      <c r="C341" s="161" t="s">
        <v>10</v>
      </c>
      <c r="D341" s="162" t="s">
        <v>1011</v>
      </c>
      <c r="E341" s="252">
        <v>46362</v>
      </c>
      <c r="F341" s="164">
        <v>8</v>
      </c>
      <c r="G341" s="164">
        <v>5</v>
      </c>
      <c r="H341" s="164" t="s">
        <v>1499</v>
      </c>
    </row>
    <row r="342" ht="16" spans="1:8">
      <c r="A342" s="161" t="s">
        <v>1012</v>
      </c>
      <c r="B342" s="161" t="s">
        <v>1013</v>
      </c>
      <c r="C342" s="161" t="s">
        <v>10</v>
      </c>
      <c r="D342" s="162" t="s">
        <v>1014</v>
      </c>
      <c r="E342" s="252">
        <v>46363</v>
      </c>
      <c r="F342" s="164">
        <v>9</v>
      </c>
      <c r="G342" s="164">
        <v>7</v>
      </c>
      <c r="H342" s="164" t="s">
        <v>1500</v>
      </c>
    </row>
    <row r="343" ht="16" spans="1:8">
      <c r="A343" s="161" t="s">
        <v>1015</v>
      </c>
      <c r="B343" s="161" t="s">
        <v>1016</v>
      </c>
      <c r="C343" s="161" t="s">
        <v>33</v>
      </c>
      <c r="D343" s="162" t="s">
        <v>1017</v>
      </c>
      <c r="E343" s="252">
        <v>46364</v>
      </c>
      <c r="F343" s="164">
        <v>4</v>
      </c>
      <c r="G343" s="164">
        <v>5</v>
      </c>
      <c r="H343" s="164" t="s">
        <v>1501</v>
      </c>
    </row>
    <row r="344" ht="16" spans="1:8">
      <c r="A344" s="161" t="s">
        <v>1018</v>
      </c>
      <c r="B344" s="161" t="s">
        <v>1019</v>
      </c>
      <c r="C344" s="161" t="s">
        <v>33</v>
      </c>
      <c r="D344" s="162" t="s">
        <v>1020</v>
      </c>
      <c r="E344" s="252">
        <v>46365</v>
      </c>
      <c r="F344" s="164">
        <v>3</v>
      </c>
      <c r="G344" s="164">
        <v>6</v>
      </c>
      <c r="H344" s="164" t="s">
        <v>1495</v>
      </c>
    </row>
    <row r="345" ht="16" spans="1:8">
      <c r="A345" s="161" t="s">
        <v>1021</v>
      </c>
      <c r="B345" s="161" t="s">
        <v>1022</v>
      </c>
      <c r="C345" s="161" t="s">
        <v>7</v>
      </c>
      <c r="D345" s="162" t="s">
        <v>1023</v>
      </c>
      <c r="E345" s="252">
        <v>46366</v>
      </c>
      <c r="F345" s="164">
        <v>8</v>
      </c>
      <c r="G345" s="164">
        <v>7</v>
      </c>
      <c r="H345" s="164" t="s">
        <v>1497</v>
      </c>
    </row>
    <row r="346" ht="16" spans="1:8">
      <c r="A346" s="161" t="s">
        <v>1024</v>
      </c>
      <c r="B346" s="161" t="s">
        <v>1025</v>
      </c>
      <c r="C346" s="161" t="s">
        <v>13</v>
      </c>
      <c r="D346" s="162" t="s">
        <v>1026</v>
      </c>
      <c r="E346" s="252">
        <v>46367</v>
      </c>
      <c r="F346" s="164">
        <v>2</v>
      </c>
      <c r="G346" s="164">
        <v>8</v>
      </c>
      <c r="H346" s="164" t="s">
        <v>1498</v>
      </c>
    </row>
    <row r="347" ht="16" spans="1:8">
      <c r="A347" s="161" t="s">
        <v>1027</v>
      </c>
      <c r="B347" s="161" t="s">
        <v>1028</v>
      </c>
      <c r="C347" s="161" t="s">
        <v>44</v>
      </c>
      <c r="D347" s="162" t="s">
        <v>1029</v>
      </c>
      <c r="E347" s="252">
        <v>46368</v>
      </c>
      <c r="F347" s="164">
        <v>9</v>
      </c>
      <c r="G347" s="164">
        <v>9</v>
      </c>
      <c r="H347" s="164" t="s">
        <v>1499</v>
      </c>
    </row>
    <row r="348" ht="16" spans="1:8">
      <c r="A348" s="161" t="s">
        <v>1030</v>
      </c>
      <c r="B348" s="161" t="s">
        <v>1031</v>
      </c>
      <c r="C348" s="161" t="s">
        <v>7</v>
      </c>
      <c r="D348" s="162" t="s">
        <v>1032</v>
      </c>
      <c r="E348" s="252">
        <v>46369</v>
      </c>
      <c r="F348" s="164">
        <v>5</v>
      </c>
      <c r="G348" s="164">
        <v>4</v>
      </c>
      <c r="H348" s="164" t="s">
        <v>1500</v>
      </c>
    </row>
    <row r="349" ht="16" spans="1:8">
      <c r="A349" s="161" t="s">
        <v>1033</v>
      </c>
      <c r="B349" s="161" t="s">
        <v>1034</v>
      </c>
      <c r="C349" s="161" t="s">
        <v>13</v>
      </c>
      <c r="D349" s="162" t="s">
        <v>1035</v>
      </c>
      <c r="E349" s="252">
        <v>46370</v>
      </c>
      <c r="F349" s="164">
        <v>3</v>
      </c>
      <c r="G349" s="164">
        <v>3</v>
      </c>
      <c r="H349" s="164" t="s">
        <v>1501</v>
      </c>
    </row>
    <row r="350" ht="16" spans="1:8">
      <c r="A350" s="161" t="s">
        <v>1036</v>
      </c>
      <c r="B350" s="161" t="s">
        <v>1037</v>
      </c>
      <c r="C350" s="161" t="s">
        <v>44</v>
      </c>
      <c r="D350" s="162" t="s">
        <v>1038</v>
      </c>
      <c r="E350" s="252">
        <v>46371</v>
      </c>
      <c r="F350" s="164">
        <v>5</v>
      </c>
      <c r="G350" s="164">
        <v>8</v>
      </c>
      <c r="H350" s="164" t="s">
        <v>1495</v>
      </c>
    </row>
    <row r="351" ht="16" spans="1:8">
      <c r="A351" s="161" t="s">
        <v>1039</v>
      </c>
      <c r="B351" s="161" t="s">
        <v>1040</v>
      </c>
      <c r="C351" s="161" t="s">
        <v>33</v>
      </c>
      <c r="D351" s="162" t="s">
        <v>1041</v>
      </c>
      <c r="E351" s="252">
        <v>46372</v>
      </c>
      <c r="F351" s="164">
        <v>7</v>
      </c>
      <c r="G351" s="164">
        <v>2</v>
      </c>
      <c r="H351" s="164" t="s">
        <v>1497</v>
      </c>
    </row>
    <row r="352" ht="16" spans="1:8">
      <c r="A352" s="161" t="s">
        <v>1042</v>
      </c>
      <c r="B352" s="161" t="s">
        <v>1043</v>
      </c>
      <c r="C352" s="161" t="s">
        <v>10</v>
      </c>
      <c r="D352" s="162" t="s">
        <v>1044</v>
      </c>
      <c r="E352" s="252">
        <v>46373</v>
      </c>
      <c r="F352" s="164">
        <v>5</v>
      </c>
      <c r="G352" s="164">
        <v>9</v>
      </c>
      <c r="H352" s="164" t="s">
        <v>1498</v>
      </c>
    </row>
    <row r="353" ht="16" spans="1:8">
      <c r="A353" s="161" t="s">
        <v>1045</v>
      </c>
      <c r="B353" s="161" t="s">
        <v>1046</v>
      </c>
      <c r="C353" s="161" t="s">
        <v>7</v>
      </c>
      <c r="D353" s="162" t="s">
        <v>1047</v>
      </c>
      <c r="E353" s="252">
        <v>46374</v>
      </c>
      <c r="F353" s="164">
        <v>6</v>
      </c>
      <c r="G353" s="164">
        <v>5</v>
      </c>
      <c r="H353" s="164" t="s">
        <v>1499</v>
      </c>
    </row>
    <row r="354" ht="16" spans="1:8">
      <c r="A354" s="161" t="s">
        <v>1048</v>
      </c>
      <c r="B354" s="161" t="s">
        <v>1049</v>
      </c>
      <c r="C354" s="161" t="s">
        <v>10</v>
      </c>
      <c r="D354" s="162" t="s">
        <v>1050</v>
      </c>
      <c r="E354" s="252">
        <v>46375</v>
      </c>
      <c r="F354" s="164">
        <v>7</v>
      </c>
      <c r="G354" s="164">
        <v>3</v>
      </c>
      <c r="H354" s="164" t="s">
        <v>1500</v>
      </c>
    </row>
    <row r="355" ht="16" spans="1:8">
      <c r="A355" s="161" t="s">
        <v>1051</v>
      </c>
      <c r="B355" s="161" t="s">
        <v>1052</v>
      </c>
      <c r="C355" s="161" t="s">
        <v>13</v>
      </c>
      <c r="D355" s="162" t="s">
        <v>1053</v>
      </c>
      <c r="E355" s="252">
        <v>46376</v>
      </c>
      <c r="F355" s="164">
        <v>8</v>
      </c>
      <c r="G355" s="164">
        <v>5</v>
      </c>
      <c r="H355" s="164" t="s">
        <v>1501</v>
      </c>
    </row>
    <row r="356" ht="16" spans="1:8">
      <c r="A356" s="161" t="s">
        <v>1054</v>
      </c>
      <c r="B356" s="161" t="s">
        <v>1055</v>
      </c>
      <c r="C356" s="161" t="s">
        <v>7</v>
      </c>
      <c r="D356" s="162" t="s">
        <v>1056</v>
      </c>
      <c r="E356" s="252">
        <v>46377</v>
      </c>
      <c r="F356" s="164">
        <v>9</v>
      </c>
      <c r="G356" s="164">
        <v>7</v>
      </c>
      <c r="H356" s="164" t="s">
        <v>1495</v>
      </c>
    </row>
    <row r="357" ht="16" spans="1:8">
      <c r="A357" s="161" t="s">
        <v>1057</v>
      </c>
      <c r="B357" s="161" t="s">
        <v>1058</v>
      </c>
      <c r="C357" s="161" t="s">
        <v>10</v>
      </c>
      <c r="D357" s="162" t="s">
        <v>1059</v>
      </c>
      <c r="E357" s="252">
        <v>46378</v>
      </c>
      <c r="F357" s="164">
        <v>4</v>
      </c>
      <c r="G357" s="164">
        <v>5</v>
      </c>
      <c r="H357" s="164" t="s">
        <v>1497</v>
      </c>
    </row>
    <row r="358" ht="16" spans="1:8">
      <c r="A358" s="161" t="s">
        <v>1060</v>
      </c>
      <c r="B358" s="161" t="s">
        <v>1061</v>
      </c>
      <c r="C358" s="161" t="s">
        <v>13</v>
      </c>
      <c r="D358" s="162" t="s">
        <v>1062</v>
      </c>
      <c r="E358" s="252">
        <v>46379</v>
      </c>
      <c r="F358" s="164">
        <v>3</v>
      </c>
      <c r="G358" s="164">
        <v>6</v>
      </c>
      <c r="H358" s="164" t="s">
        <v>1498</v>
      </c>
    </row>
    <row r="359" ht="16" spans="1:8">
      <c r="A359" s="161" t="s">
        <v>1063</v>
      </c>
      <c r="B359" s="161" t="s">
        <v>1064</v>
      </c>
      <c r="C359" s="161" t="s">
        <v>10</v>
      </c>
      <c r="D359" s="162" t="s">
        <v>1065</v>
      </c>
      <c r="E359" s="252">
        <v>46380</v>
      </c>
      <c r="F359" s="164">
        <v>8</v>
      </c>
      <c r="G359" s="164">
        <v>7</v>
      </c>
      <c r="H359" s="164" t="s">
        <v>1499</v>
      </c>
    </row>
    <row r="360" ht="16" spans="1:8">
      <c r="A360" s="161" t="s">
        <v>1066</v>
      </c>
      <c r="B360" s="161" t="s">
        <v>1067</v>
      </c>
      <c r="C360" s="161" t="s">
        <v>33</v>
      </c>
      <c r="D360" s="162" t="s">
        <v>1068</v>
      </c>
      <c r="E360" s="252">
        <v>46381</v>
      </c>
      <c r="F360" s="164">
        <v>2</v>
      </c>
      <c r="G360" s="164">
        <v>8</v>
      </c>
      <c r="H360" s="164" t="s">
        <v>1500</v>
      </c>
    </row>
    <row r="361" ht="16" spans="1:8">
      <c r="A361" s="161" t="s">
        <v>1069</v>
      </c>
      <c r="B361" s="161" t="s">
        <v>1070</v>
      </c>
      <c r="C361" s="161" t="s">
        <v>10</v>
      </c>
      <c r="D361" s="162" t="s">
        <v>1071</v>
      </c>
      <c r="E361" s="252">
        <v>46382</v>
      </c>
      <c r="F361" s="164">
        <v>9</v>
      </c>
      <c r="G361" s="164">
        <v>9</v>
      </c>
      <c r="H361" s="164" t="s">
        <v>1501</v>
      </c>
    </row>
    <row r="362" ht="16" spans="1:8">
      <c r="A362" s="161" t="s">
        <v>1072</v>
      </c>
      <c r="B362" s="161" t="s">
        <v>1073</v>
      </c>
      <c r="C362" s="161" t="s">
        <v>33</v>
      </c>
      <c r="D362" s="162" t="s">
        <v>1074</v>
      </c>
      <c r="E362" s="252">
        <v>46383</v>
      </c>
      <c r="F362" s="164">
        <v>5</v>
      </c>
      <c r="G362" s="164">
        <v>4</v>
      </c>
      <c r="H362" s="164" t="s">
        <v>1495</v>
      </c>
    </row>
    <row r="363" ht="16" spans="1:8">
      <c r="A363" s="161" t="s">
        <v>1075</v>
      </c>
      <c r="B363" s="161" t="s">
        <v>1076</v>
      </c>
      <c r="C363" s="161" t="s">
        <v>44</v>
      </c>
      <c r="D363" s="162" t="s">
        <v>1077</v>
      </c>
      <c r="E363" s="252">
        <v>46384</v>
      </c>
      <c r="F363" s="164">
        <v>3</v>
      </c>
      <c r="G363" s="164">
        <v>3</v>
      </c>
      <c r="H363" s="164" t="s">
        <v>1497</v>
      </c>
    </row>
    <row r="364" ht="16" spans="1:8">
      <c r="A364" s="161" t="s">
        <v>1078</v>
      </c>
      <c r="B364" s="161" t="s">
        <v>1079</v>
      </c>
      <c r="C364" s="161" t="s">
        <v>44</v>
      </c>
      <c r="D364" s="162" t="s">
        <v>1080</v>
      </c>
      <c r="E364" s="252">
        <v>46385</v>
      </c>
      <c r="F364" s="164">
        <v>5</v>
      </c>
      <c r="G364" s="164">
        <v>8</v>
      </c>
      <c r="H364" s="164" t="s">
        <v>1498</v>
      </c>
    </row>
    <row r="365" ht="16" spans="1:8">
      <c r="A365" s="161" t="s">
        <v>1081</v>
      </c>
      <c r="B365" s="161" t="s">
        <v>1082</v>
      </c>
      <c r="C365" s="161" t="s">
        <v>13</v>
      </c>
      <c r="D365" s="162" t="s">
        <v>1083</v>
      </c>
      <c r="E365" s="252">
        <v>46386</v>
      </c>
      <c r="F365" s="164">
        <v>7</v>
      </c>
      <c r="G365" s="164">
        <v>2</v>
      </c>
      <c r="H365" s="164" t="s">
        <v>1499</v>
      </c>
    </row>
    <row r="366" ht="16" spans="1:8">
      <c r="A366" s="161" t="s">
        <v>1084</v>
      </c>
      <c r="B366" s="161" t="s">
        <v>1085</v>
      </c>
      <c r="C366" s="161" t="s">
        <v>10</v>
      </c>
      <c r="D366" s="162" t="s">
        <v>1086</v>
      </c>
      <c r="E366" s="252">
        <v>46387</v>
      </c>
      <c r="F366" s="164">
        <v>5</v>
      </c>
      <c r="G366" s="164">
        <v>9</v>
      </c>
      <c r="H366" s="164" t="s">
        <v>1500</v>
      </c>
    </row>
    <row r="367" ht="16" spans="1:8">
      <c r="A367" s="161" t="s">
        <v>1087</v>
      </c>
      <c r="B367" s="161" t="s">
        <v>1088</v>
      </c>
      <c r="C367" s="161" t="s">
        <v>44</v>
      </c>
      <c r="D367" s="162" t="s">
        <v>1089</v>
      </c>
      <c r="E367" s="252">
        <v>46388</v>
      </c>
      <c r="F367" s="164">
        <v>6</v>
      </c>
      <c r="G367" s="164">
        <v>5</v>
      </c>
      <c r="H367" s="164" t="s">
        <v>1501</v>
      </c>
    </row>
    <row r="368" ht="16" spans="1:8">
      <c r="A368" s="161" t="s">
        <v>1090</v>
      </c>
      <c r="B368" s="161" t="s">
        <v>1091</v>
      </c>
      <c r="C368" s="161" t="s">
        <v>33</v>
      </c>
      <c r="D368" s="162" t="s">
        <v>1092</v>
      </c>
      <c r="E368" s="252">
        <v>46389</v>
      </c>
      <c r="F368" s="164">
        <v>7</v>
      </c>
      <c r="G368" s="164">
        <v>3</v>
      </c>
      <c r="H368" s="164" t="s">
        <v>1495</v>
      </c>
    </row>
    <row r="369" ht="16" spans="1:8">
      <c r="A369" s="161" t="s">
        <v>1093</v>
      </c>
      <c r="B369" s="161" t="s">
        <v>1094</v>
      </c>
      <c r="C369" s="161" t="s">
        <v>44</v>
      </c>
      <c r="D369" s="162" t="s">
        <v>1095</v>
      </c>
      <c r="E369" s="252">
        <v>46390</v>
      </c>
      <c r="F369" s="164">
        <v>8</v>
      </c>
      <c r="G369" s="164">
        <v>5</v>
      </c>
      <c r="H369" s="164" t="s">
        <v>1497</v>
      </c>
    </row>
    <row r="370" ht="16" spans="1:8">
      <c r="A370" s="161" t="s">
        <v>1096</v>
      </c>
      <c r="B370" s="161" t="s">
        <v>1097</v>
      </c>
      <c r="C370" s="161" t="s">
        <v>13</v>
      </c>
      <c r="D370" s="162" t="s">
        <v>1098</v>
      </c>
      <c r="E370" s="252">
        <v>46391</v>
      </c>
      <c r="F370" s="164">
        <v>9</v>
      </c>
      <c r="G370" s="164">
        <v>7</v>
      </c>
      <c r="H370" s="164" t="s">
        <v>1498</v>
      </c>
    </row>
    <row r="371" ht="16" spans="1:8">
      <c r="A371" s="161" t="s">
        <v>1099</v>
      </c>
      <c r="B371" s="161" t="s">
        <v>1100</v>
      </c>
      <c r="C371" s="161" t="s">
        <v>13</v>
      </c>
      <c r="D371" s="162" t="s">
        <v>1101</v>
      </c>
      <c r="E371" s="252">
        <v>46392</v>
      </c>
      <c r="F371" s="164">
        <v>4</v>
      </c>
      <c r="G371" s="164">
        <v>5</v>
      </c>
      <c r="H371" s="164" t="s">
        <v>1499</v>
      </c>
    </row>
    <row r="372" ht="16" spans="1:8">
      <c r="A372" s="161" t="s">
        <v>1102</v>
      </c>
      <c r="B372" s="161" t="s">
        <v>1103</v>
      </c>
      <c r="C372" s="161" t="s">
        <v>33</v>
      </c>
      <c r="D372" s="162" t="s">
        <v>1104</v>
      </c>
      <c r="E372" s="252">
        <v>46393</v>
      </c>
      <c r="F372" s="164">
        <v>3</v>
      </c>
      <c r="G372" s="164">
        <v>6</v>
      </c>
      <c r="H372" s="164" t="s">
        <v>1500</v>
      </c>
    </row>
    <row r="373" ht="16" spans="1:8">
      <c r="A373" s="161" t="s">
        <v>1105</v>
      </c>
      <c r="B373" s="161" t="s">
        <v>1106</v>
      </c>
      <c r="C373" s="161" t="s">
        <v>7</v>
      </c>
      <c r="D373" s="162" t="s">
        <v>1107</v>
      </c>
      <c r="E373" s="252">
        <v>46394</v>
      </c>
      <c r="F373" s="164">
        <v>8</v>
      </c>
      <c r="G373" s="164">
        <v>7</v>
      </c>
      <c r="H373" s="164" t="s">
        <v>1501</v>
      </c>
    </row>
    <row r="374" ht="16" spans="1:8">
      <c r="A374" s="161" t="s">
        <v>1108</v>
      </c>
      <c r="B374" s="161" t="s">
        <v>1109</v>
      </c>
      <c r="C374" s="161" t="s">
        <v>44</v>
      </c>
      <c r="D374" s="162" t="s">
        <v>1110</v>
      </c>
      <c r="E374" s="252">
        <v>46395</v>
      </c>
      <c r="F374" s="164">
        <v>2</v>
      </c>
      <c r="G374" s="164">
        <v>8</v>
      </c>
      <c r="H374" s="164" t="s">
        <v>1495</v>
      </c>
    </row>
    <row r="375" ht="16" spans="1:8">
      <c r="A375" s="161" t="s">
        <v>1111</v>
      </c>
      <c r="B375" s="161" t="s">
        <v>1112</v>
      </c>
      <c r="C375" s="161" t="s">
        <v>7</v>
      </c>
      <c r="D375" s="162" t="s">
        <v>1113</v>
      </c>
      <c r="E375" s="252">
        <v>46396</v>
      </c>
      <c r="F375" s="164">
        <v>9</v>
      </c>
      <c r="G375" s="164">
        <v>9</v>
      </c>
      <c r="H375" s="164" t="s">
        <v>1497</v>
      </c>
    </row>
    <row r="376" ht="16" spans="1:8">
      <c r="A376" s="161" t="s">
        <v>1114</v>
      </c>
      <c r="B376" s="161" t="s">
        <v>1115</v>
      </c>
      <c r="C376" s="161" t="s">
        <v>10</v>
      </c>
      <c r="D376" s="162" t="s">
        <v>1116</v>
      </c>
      <c r="E376" s="252">
        <v>46397</v>
      </c>
      <c r="F376" s="164">
        <v>5</v>
      </c>
      <c r="G376" s="164">
        <v>4</v>
      </c>
      <c r="H376" s="164" t="s">
        <v>1498</v>
      </c>
    </row>
    <row r="377" ht="16" spans="1:8">
      <c r="A377" s="161" t="s">
        <v>1117</v>
      </c>
      <c r="B377" s="161" t="s">
        <v>1118</v>
      </c>
      <c r="C377" s="161" t="s">
        <v>33</v>
      </c>
      <c r="D377" s="162" t="s">
        <v>1119</v>
      </c>
      <c r="E377" s="252">
        <v>46398</v>
      </c>
      <c r="F377" s="164">
        <v>3</v>
      </c>
      <c r="G377" s="164">
        <v>3</v>
      </c>
      <c r="H377" s="164" t="s">
        <v>1499</v>
      </c>
    </row>
    <row r="378" ht="16" spans="1:8">
      <c r="A378" s="161" t="s">
        <v>1120</v>
      </c>
      <c r="B378" s="161" t="s">
        <v>1121</v>
      </c>
      <c r="C378" s="161" t="s">
        <v>44</v>
      </c>
      <c r="D378" s="162" t="s">
        <v>1122</v>
      </c>
      <c r="E378" s="252">
        <v>46399</v>
      </c>
      <c r="F378" s="164">
        <v>5</v>
      </c>
      <c r="G378" s="164">
        <v>8</v>
      </c>
      <c r="H378" s="164" t="s">
        <v>1500</v>
      </c>
    </row>
    <row r="379" ht="16" spans="1:8">
      <c r="A379" s="161" t="s">
        <v>1123</v>
      </c>
      <c r="B379" s="161" t="s">
        <v>1124</v>
      </c>
      <c r="C379" s="161" t="s">
        <v>33</v>
      </c>
      <c r="D379" s="162" t="s">
        <v>1125</v>
      </c>
      <c r="E379" s="252">
        <v>46400</v>
      </c>
      <c r="F379" s="164">
        <v>7</v>
      </c>
      <c r="G379" s="164">
        <v>2</v>
      </c>
      <c r="H379" s="164" t="s">
        <v>1501</v>
      </c>
    </row>
    <row r="380" ht="16" spans="1:8">
      <c r="A380" s="161" t="s">
        <v>1126</v>
      </c>
      <c r="B380" s="161" t="s">
        <v>1127</v>
      </c>
      <c r="C380" s="161" t="s">
        <v>7</v>
      </c>
      <c r="D380" s="162" t="s">
        <v>1128</v>
      </c>
      <c r="E380" s="252">
        <v>46401</v>
      </c>
      <c r="F380" s="164">
        <v>5</v>
      </c>
      <c r="G380" s="164">
        <v>9</v>
      </c>
      <c r="H380" s="164" t="s">
        <v>1495</v>
      </c>
    </row>
    <row r="381" ht="16" spans="1:8">
      <c r="A381" s="161" t="s">
        <v>1129</v>
      </c>
      <c r="B381" s="161" t="s">
        <v>1130</v>
      </c>
      <c r="C381" s="161" t="s">
        <v>44</v>
      </c>
      <c r="D381" s="162" t="s">
        <v>1131</v>
      </c>
      <c r="E381" s="252">
        <v>46402</v>
      </c>
      <c r="F381" s="164">
        <v>6</v>
      </c>
      <c r="G381" s="164">
        <v>5</v>
      </c>
      <c r="H381" s="164" t="s">
        <v>1497</v>
      </c>
    </row>
    <row r="382" ht="16" spans="1:8">
      <c r="A382" s="161" t="s">
        <v>1132</v>
      </c>
      <c r="B382" s="161" t="s">
        <v>1133</v>
      </c>
      <c r="C382" s="161" t="s">
        <v>7</v>
      </c>
      <c r="D382" s="162" t="s">
        <v>1134</v>
      </c>
      <c r="E382" s="252">
        <v>46403</v>
      </c>
      <c r="F382" s="164">
        <v>7</v>
      </c>
      <c r="G382" s="164">
        <v>3</v>
      </c>
      <c r="H382" s="164" t="s">
        <v>1498</v>
      </c>
    </row>
    <row r="383" ht="16" spans="1:8">
      <c r="A383" s="161" t="s">
        <v>1135</v>
      </c>
      <c r="B383" s="161" t="s">
        <v>1136</v>
      </c>
      <c r="C383" s="161" t="s">
        <v>33</v>
      </c>
      <c r="D383" s="162" t="s">
        <v>1137</v>
      </c>
      <c r="E383" s="252">
        <v>46404</v>
      </c>
      <c r="F383" s="164">
        <v>8</v>
      </c>
      <c r="G383" s="164">
        <v>5</v>
      </c>
      <c r="H383" s="164" t="s">
        <v>1499</v>
      </c>
    </row>
    <row r="384" ht="16" spans="1:8">
      <c r="A384" s="161" t="s">
        <v>1138</v>
      </c>
      <c r="B384" s="161" t="s">
        <v>1139</v>
      </c>
      <c r="C384" s="161" t="s">
        <v>7</v>
      </c>
      <c r="D384" s="162" t="s">
        <v>1140</v>
      </c>
      <c r="E384" s="252">
        <v>46405</v>
      </c>
      <c r="F384" s="164">
        <v>9</v>
      </c>
      <c r="G384" s="164">
        <v>7</v>
      </c>
      <c r="H384" s="164" t="s">
        <v>1500</v>
      </c>
    </row>
    <row r="385" ht="16" spans="1:8">
      <c r="A385" s="161" t="s">
        <v>1141</v>
      </c>
      <c r="B385" s="161" t="s">
        <v>1142</v>
      </c>
      <c r="C385" s="161" t="s">
        <v>13</v>
      </c>
      <c r="D385" s="162" t="s">
        <v>1143</v>
      </c>
      <c r="E385" s="252">
        <v>46406</v>
      </c>
      <c r="F385" s="164">
        <v>4</v>
      </c>
      <c r="G385" s="164">
        <v>5</v>
      </c>
      <c r="H385" s="164" t="s">
        <v>1501</v>
      </c>
    </row>
    <row r="386" ht="16" spans="1:8">
      <c r="A386" s="161" t="s">
        <v>1144</v>
      </c>
      <c r="B386" s="161" t="s">
        <v>1145</v>
      </c>
      <c r="C386" s="161" t="s">
        <v>7</v>
      </c>
      <c r="D386" s="162" t="s">
        <v>1146</v>
      </c>
      <c r="E386" s="252">
        <v>46407</v>
      </c>
      <c r="F386" s="164">
        <v>3</v>
      </c>
      <c r="G386" s="164">
        <v>6</v>
      </c>
      <c r="H386" s="164" t="s">
        <v>1495</v>
      </c>
    </row>
    <row r="387" ht="16" spans="1:8">
      <c r="A387" s="161" t="s">
        <v>1147</v>
      </c>
      <c r="B387" s="161" t="s">
        <v>1148</v>
      </c>
      <c r="C387" s="161" t="s">
        <v>10</v>
      </c>
      <c r="D387" s="162" t="s">
        <v>1149</v>
      </c>
      <c r="E387" s="252">
        <v>46408</v>
      </c>
      <c r="F387" s="164">
        <v>8</v>
      </c>
      <c r="G387" s="164">
        <v>7</v>
      </c>
      <c r="H387" s="164" t="s">
        <v>1497</v>
      </c>
    </row>
    <row r="388" ht="16" spans="1:8">
      <c r="A388" s="161" t="s">
        <v>1150</v>
      </c>
      <c r="B388" s="161" t="s">
        <v>1151</v>
      </c>
      <c r="C388" s="161" t="s">
        <v>33</v>
      </c>
      <c r="D388" s="162" t="s">
        <v>1152</v>
      </c>
      <c r="E388" s="252">
        <v>46409</v>
      </c>
      <c r="F388" s="164">
        <v>2</v>
      </c>
      <c r="G388" s="164">
        <v>8</v>
      </c>
      <c r="H388" s="164" t="s">
        <v>1498</v>
      </c>
    </row>
    <row r="389" ht="16" spans="1:8">
      <c r="A389" s="161" t="s">
        <v>1153</v>
      </c>
      <c r="B389" s="161" t="s">
        <v>1154</v>
      </c>
      <c r="C389" s="161" t="s">
        <v>13</v>
      </c>
      <c r="D389" s="162" t="s">
        <v>1155</v>
      </c>
      <c r="E389" s="252">
        <v>46410</v>
      </c>
      <c r="F389" s="164">
        <v>9</v>
      </c>
      <c r="G389" s="164">
        <v>9</v>
      </c>
      <c r="H389" s="164" t="s">
        <v>1499</v>
      </c>
    </row>
    <row r="390" ht="16" spans="1:8">
      <c r="A390" s="161" t="s">
        <v>1156</v>
      </c>
      <c r="B390" s="161" t="s">
        <v>1157</v>
      </c>
      <c r="C390" s="161" t="s">
        <v>13</v>
      </c>
      <c r="D390" s="162" t="s">
        <v>1158</v>
      </c>
      <c r="E390" s="252">
        <v>46411</v>
      </c>
      <c r="F390" s="164">
        <v>5</v>
      </c>
      <c r="G390" s="164">
        <v>4</v>
      </c>
      <c r="H390" s="164" t="s">
        <v>1500</v>
      </c>
    </row>
    <row r="391" ht="16" spans="1:8">
      <c r="A391" s="161" t="s">
        <v>1159</v>
      </c>
      <c r="B391" s="161" t="s">
        <v>1160</v>
      </c>
      <c r="C391" s="161" t="s">
        <v>10</v>
      </c>
      <c r="D391" s="162" t="s">
        <v>1161</v>
      </c>
      <c r="E391" s="252">
        <v>46412</v>
      </c>
      <c r="F391" s="164">
        <v>3</v>
      </c>
      <c r="G391" s="164">
        <v>3</v>
      </c>
      <c r="H391" s="164" t="s">
        <v>1501</v>
      </c>
    </row>
    <row r="392" ht="16" spans="1:8">
      <c r="A392" s="161" t="s">
        <v>1162</v>
      </c>
      <c r="B392" s="161" t="s">
        <v>1163</v>
      </c>
      <c r="C392" s="161" t="s">
        <v>33</v>
      </c>
      <c r="D392" s="162" t="s">
        <v>1164</v>
      </c>
      <c r="E392" s="252">
        <v>46413</v>
      </c>
      <c r="F392" s="164">
        <v>5</v>
      </c>
      <c r="G392" s="164">
        <v>8</v>
      </c>
      <c r="H392" s="164" t="s">
        <v>1495</v>
      </c>
    </row>
    <row r="393" ht="16" spans="1:8">
      <c r="A393" s="161" t="s">
        <v>1165</v>
      </c>
      <c r="B393" s="161" t="s">
        <v>1166</v>
      </c>
      <c r="C393" s="161" t="s">
        <v>10</v>
      </c>
      <c r="D393" s="162" t="s">
        <v>1167</v>
      </c>
      <c r="E393" s="252">
        <v>46414</v>
      </c>
      <c r="F393" s="164">
        <v>7</v>
      </c>
      <c r="G393" s="164">
        <v>2</v>
      </c>
      <c r="H393" s="164" t="s">
        <v>1497</v>
      </c>
    </row>
    <row r="394" ht="16" spans="1:8">
      <c r="A394" s="161" t="s">
        <v>1168</v>
      </c>
      <c r="B394" s="161" t="s">
        <v>1169</v>
      </c>
      <c r="C394" s="161" t="s">
        <v>10</v>
      </c>
      <c r="D394" s="162" t="s">
        <v>1170</v>
      </c>
      <c r="E394" s="252">
        <v>46415</v>
      </c>
      <c r="F394" s="164">
        <v>5</v>
      </c>
      <c r="G394" s="164">
        <v>9</v>
      </c>
      <c r="H394" s="164" t="s">
        <v>1498</v>
      </c>
    </row>
    <row r="395" ht="16" spans="1:8">
      <c r="A395" s="161" t="s">
        <v>1171</v>
      </c>
      <c r="B395" s="161" t="s">
        <v>1172</v>
      </c>
      <c r="C395" s="161" t="s">
        <v>10</v>
      </c>
      <c r="D395" s="162" t="s">
        <v>1173</v>
      </c>
      <c r="E395" s="252">
        <v>46416</v>
      </c>
      <c r="F395" s="164">
        <v>6</v>
      </c>
      <c r="G395" s="164">
        <v>5</v>
      </c>
      <c r="H395" s="164" t="s">
        <v>1499</v>
      </c>
    </row>
    <row r="396" ht="16" spans="1:8">
      <c r="A396" s="161" t="s">
        <v>1174</v>
      </c>
      <c r="B396" s="161" t="s">
        <v>1175</v>
      </c>
      <c r="C396" s="161" t="s">
        <v>10</v>
      </c>
      <c r="D396" s="162" t="s">
        <v>1176</v>
      </c>
      <c r="E396" s="252">
        <v>46417</v>
      </c>
      <c r="F396" s="164">
        <v>7</v>
      </c>
      <c r="G396" s="164">
        <v>3</v>
      </c>
      <c r="H396" s="164" t="s">
        <v>1500</v>
      </c>
    </row>
    <row r="397" ht="16" spans="1:8">
      <c r="A397" s="161" t="s">
        <v>1177</v>
      </c>
      <c r="B397" s="161" t="s">
        <v>1178</v>
      </c>
      <c r="C397" s="161" t="s">
        <v>10</v>
      </c>
      <c r="D397" s="162" t="s">
        <v>1179</v>
      </c>
      <c r="E397" s="252">
        <v>46418</v>
      </c>
      <c r="F397" s="164">
        <v>8</v>
      </c>
      <c r="G397" s="164">
        <v>5</v>
      </c>
      <c r="H397" s="164" t="s">
        <v>1501</v>
      </c>
    </row>
    <row r="398" ht="16" spans="1:8">
      <c r="A398" s="161" t="s">
        <v>1180</v>
      </c>
      <c r="B398" s="161" t="s">
        <v>1181</v>
      </c>
      <c r="C398" s="161" t="s">
        <v>13</v>
      </c>
      <c r="D398" s="162" t="s">
        <v>1182</v>
      </c>
      <c r="E398" s="252">
        <v>46419</v>
      </c>
      <c r="F398" s="164">
        <v>9</v>
      </c>
      <c r="G398" s="164">
        <v>7</v>
      </c>
      <c r="H398" s="164" t="s">
        <v>1495</v>
      </c>
    </row>
    <row r="399" ht="16" spans="1:8">
      <c r="A399" s="161" t="s">
        <v>1183</v>
      </c>
      <c r="B399" s="161" t="s">
        <v>1184</v>
      </c>
      <c r="C399" s="161" t="s">
        <v>10</v>
      </c>
      <c r="D399" s="162" t="s">
        <v>1185</v>
      </c>
      <c r="E399" s="252">
        <v>46420</v>
      </c>
      <c r="F399" s="164">
        <v>4</v>
      </c>
      <c r="G399" s="164">
        <v>5</v>
      </c>
      <c r="H399" s="164" t="s">
        <v>1497</v>
      </c>
    </row>
    <row r="400" ht="16" spans="1:8">
      <c r="A400" s="161" t="s">
        <v>1186</v>
      </c>
      <c r="B400" s="161" t="s">
        <v>1187</v>
      </c>
      <c r="C400" s="161" t="s">
        <v>44</v>
      </c>
      <c r="D400" s="162" t="s">
        <v>1188</v>
      </c>
      <c r="E400" s="252">
        <v>46421</v>
      </c>
      <c r="F400" s="164">
        <v>3</v>
      </c>
      <c r="G400" s="164">
        <v>6</v>
      </c>
      <c r="H400" s="164" t="s">
        <v>1498</v>
      </c>
    </row>
    <row r="401" ht="16" spans="1:8">
      <c r="A401" s="161" t="s">
        <v>1189</v>
      </c>
      <c r="B401" s="161" t="s">
        <v>1190</v>
      </c>
      <c r="C401" s="161" t="s">
        <v>44</v>
      </c>
      <c r="D401" s="162" t="s">
        <v>1191</v>
      </c>
      <c r="E401" s="252">
        <v>46422</v>
      </c>
      <c r="F401" s="164">
        <v>8</v>
      </c>
      <c r="G401" s="164">
        <v>7</v>
      </c>
      <c r="H401" s="164" t="s">
        <v>1499</v>
      </c>
    </row>
    <row r="402" ht="16" spans="1:8">
      <c r="A402" s="161" t="s">
        <v>1192</v>
      </c>
      <c r="B402" s="161" t="s">
        <v>1193</v>
      </c>
      <c r="C402" s="161" t="s">
        <v>7</v>
      </c>
      <c r="D402" s="162" t="s">
        <v>1194</v>
      </c>
      <c r="E402" s="252">
        <v>46423</v>
      </c>
      <c r="F402" s="164">
        <v>2</v>
      </c>
      <c r="G402" s="164">
        <v>8</v>
      </c>
      <c r="H402" s="164" t="s">
        <v>1500</v>
      </c>
    </row>
    <row r="403" ht="16" spans="1:8">
      <c r="A403" s="161" t="s">
        <v>1195</v>
      </c>
      <c r="B403" s="161" t="s">
        <v>1196</v>
      </c>
      <c r="C403" s="161" t="s">
        <v>44</v>
      </c>
      <c r="D403" s="162" t="s">
        <v>1197</v>
      </c>
      <c r="E403" s="252">
        <v>46424</v>
      </c>
      <c r="F403" s="164">
        <v>9</v>
      </c>
      <c r="G403" s="164">
        <v>9</v>
      </c>
      <c r="H403" s="164" t="s">
        <v>1501</v>
      </c>
    </row>
    <row r="404" ht="16" spans="1:8">
      <c r="A404" s="161" t="s">
        <v>1198</v>
      </c>
      <c r="B404" s="161" t="s">
        <v>1199</v>
      </c>
      <c r="C404" s="161" t="s">
        <v>7</v>
      </c>
      <c r="D404" s="162" t="s">
        <v>1200</v>
      </c>
      <c r="E404" s="252">
        <v>46425</v>
      </c>
      <c r="F404" s="164">
        <v>5</v>
      </c>
      <c r="G404" s="164">
        <v>4</v>
      </c>
      <c r="H404" s="164" t="s">
        <v>1495</v>
      </c>
    </row>
    <row r="405" ht="16" spans="1:8">
      <c r="A405" s="161" t="s">
        <v>1201</v>
      </c>
      <c r="B405" s="161" t="s">
        <v>1202</v>
      </c>
      <c r="C405" s="161" t="s">
        <v>13</v>
      </c>
      <c r="D405" s="162" t="s">
        <v>1203</v>
      </c>
      <c r="E405" s="252">
        <v>46426</v>
      </c>
      <c r="F405" s="164">
        <v>3</v>
      </c>
      <c r="G405" s="164">
        <v>3</v>
      </c>
      <c r="H405" s="164" t="s">
        <v>1497</v>
      </c>
    </row>
    <row r="406" ht="16" spans="1:8">
      <c r="A406" s="161" t="s">
        <v>1204</v>
      </c>
      <c r="B406" s="161" t="s">
        <v>1205</v>
      </c>
      <c r="C406" s="161" t="s">
        <v>7</v>
      </c>
      <c r="D406" s="162" t="s">
        <v>1206</v>
      </c>
      <c r="E406" s="252">
        <v>46427</v>
      </c>
      <c r="F406" s="164">
        <v>5</v>
      </c>
      <c r="G406" s="164">
        <v>8</v>
      </c>
      <c r="H406" s="164" t="s">
        <v>1498</v>
      </c>
    </row>
    <row r="407" ht="16" spans="1:8">
      <c r="A407" s="161" t="s">
        <v>1207</v>
      </c>
      <c r="B407" s="161" t="s">
        <v>1208</v>
      </c>
      <c r="C407" s="161" t="s">
        <v>33</v>
      </c>
      <c r="D407" s="162" t="s">
        <v>1209</v>
      </c>
      <c r="E407" s="252">
        <v>46428</v>
      </c>
      <c r="F407" s="164">
        <v>7</v>
      </c>
      <c r="G407" s="164">
        <v>2</v>
      </c>
      <c r="H407" s="164" t="s">
        <v>1499</v>
      </c>
    </row>
    <row r="408" ht="16" spans="1:8">
      <c r="A408" s="161" t="s">
        <v>1210</v>
      </c>
      <c r="B408" s="161" t="s">
        <v>1211</v>
      </c>
      <c r="C408" s="161" t="s">
        <v>13</v>
      </c>
      <c r="D408" s="162" t="s">
        <v>1212</v>
      </c>
      <c r="E408" s="252">
        <v>46429</v>
      </c>
      <c r="F408" s="164">
        <v>5</v>
      </c>
      <c r="G408" s="164">
        <v>9</v>
      </c>
      <c r="H408" s="164" t="s">
        <v>1500</v>
      </c>
    </row>
    <row r="409" ht="16" spans="1:8">
      <c r="A409" s="161" t="s">
        <v>1213</v>
      </c>
      <c r="B409" s="161" t="s">
        <v>1214</v>
      </c>
      <c r="C409" s="161" t="s">
        <v>7</v>
      </c>
      <c r="D409" s="162" t="s">
        <v>1215</v>
      </c>
      <c r="E409" s="252">
        <v>46430</v>
      </c>
      <c r="F409" s="164">
        <v>6</v>
      </c>
      <c r="G409" s="164">
        <v>5</v>
      </c>
      <c r="H409" s="164" t="s">
        <v>1501</v>
      </c>
    </row>
    <row r="410" ht="16" spans="1:8">
      <c r="A410" s="161" t="s">
        <v>1216</v>
      </c>
      <c r="B410" s="161" t="s">
        <v>1217</v>
      </c>
      <c r="C410" s="161" t="s">
        <v>33</v>
      </c>
      <c r="D410" s="162" t="s">
        <v>1218</v>
      </c>
      <c r="E410" s="252">
        <v>46431</v>
      </c>
      <c r="F410" s="164">
        <v>7</v>
      </c>
      <c r="G410" s="164">
        <v>3</v>
      </c>
      <c r="H410" s="164" t="s">
        <v>1495</v>
      </c>
    </row>
    <row r="411" ht="16" spans="1:8">
      <c r="A411" s="161" t="s">
        <v>1219</v>
      </c>
      <c r="B411" s="161" t="s">
        <v>1220</v>
      </c>
      <c r="C411" s="161" t="s">
        <v>7</v>
      </c>
      <c r="D411" s="162" t="s">
        <v>1221</v>
      </c>
      <c r="E411" s="252">
        <v>46432</v>
      </c>
      <c r="F411" s="164">
        <v>8</v>
      </c>
      <c r="G411" s="164">
        <v>5</v>
      </c>
      <c r="H411" s="164" t="s">
        <v>1497</v>
      </c>
    </row>
    <row r="412" ht="16" spans="1:8">
      <c r="A412" s="161" t="s">
        <v>1222</v>
      </c>
      <c r="B412" s="161" t="s">
        <v>1223</v>
      </c>
      <c r="C412" s="161" t="s">
        <v>10</v>
      </c>
      <c r="D412" s="162" t="s">
        <v>1224</v>
      </c>
      <c r="E412" s="252">
        <v>46433</v>
      </c>
      <c r="F412" s="164">
        <v>9</v>
      </c>
      <c r="G412" s="164">
        <v>7</v>
      </c>
      <c r="H412" s="164" t="s">
        <v>1498</v>
      </c>
    </row>
    <row r="413" ht="16" spans="1:8">
      <c r="A413" s="161" t="s">
        <v>1225</v>
      </c>
      <c r="B413" s="161" t="s">
        <v>1226</v>
      </c>
      <c r="C413" s="161" t="s">
        <v>44</v>
      </c>
      <c r="D413" s="162" t="s">
        <v>1227</v>
      </c>
      <c r="E413" s="252">
        <v>46434</v>
      </c>
      <c r="F413" s="164">
        <v>4</v>
      </c>
      <c r="G413" s="164">
        <v>5</v>
      </c>
      <c r="H413" s="164" t="s">
        <v>1499</v>
      </c>
    </row>
    <row r="414" ht="16" spans="1:8">
      <c r="A414" s="161" t="s">
        <v>1228</v>
      </c>
      <c r="B414" s="161" t="s">
        <v>1229</v>
      </c>
      <c r="C414" s="161" t="s">
        <v>7</v>
      </c>
      <c r="D414" s="162" t="s">
        <v>1230</v>
      </c>
      <c r="E414" s="252">
        <v>46435</v>
      </c>
      <c r="F414" s="164">
        <v>3</v>
      </c>
      <c r="G414" s="164">
        <v>6</v>
      </c>
      <c r="H414" s="164" t="s">
        <v>1500</v>
      </c>
    </row>
    <row r="415" ht="16" spans="1:8">
      <c r="A415" s="161" t="s">
        <v>1231</v>
      </c>
      <c r="B415" s="161" t="s">
        <v>1232</v>
      </c>
      <c r="C415" s="161" t="s">
        <v>44</v>
      </c>
      <c r="D415" s="162" t="s">
        <v>1233</v>
      </c>
      <c r="E415" s="252">
        <v>46436</v>
      </c>
      <c r="F415" s="164">
        <v>8</v>
      </c>
      <c r="G415" s="164">
        <v>7</v>
      </c>
      <c r="H415" s="164" t="s">
        <v>1501</v>
      </c>
    </row>
    <row r="416" ht="16" spans="1:8">
      <c r="A416" s="161" t="s">
        <v>1234</v>
      </c>
      <c r="B416" s="161" t="s">
        <v>1235</v>
      </c>
      <c r="C416" s="161" t="s">
        <v>33</v>
      </c>
      <c r="D416" s="162" t="s">
        <v>1236</v>
      </c>
      <c r="E416" s="252">
        <v>46437</v>
      </c>
      <c r="F416" s="164">
        <v>2</v>
      </c>
      <c r="G416" s="164">
        <v>8</v>
      </c>
      <c r="H416" s="164" t="s">
        <v>1495</v>
      </c>
    </row>
    <row r="417" ht="16" spans="1:8">
      <c r="A417" s="161" t="s">
        <v>1237</v>
      </c>
      <c r="B417" s="161" t="s">
        <v>1238</v>
      </c>
      <c r="C417" s="161" t="s">
        <v>7</v>
      </c>
      <c r="D417" s="162" t="s">
        <v>1239</v>
      </c>
      <c r="E417" s="252">
        <v>46438</v>
      </c>
      <c r="F417" s="164">
        <v>9</v>
      </c>
      <c r="G417" s="164">
        <v>9</v>
      </c>
      <c r="H417" s="164" t="s">
        <v>1497</v>
      </c>
    </row>
    <row r="418" ht="16" spans="1:8">
      <c r="A418" s="161" t="s">
        <v>1240</v>
      </c>
      <c r="B418" s="161" t="s">
        <v>1241</v>
      </c>
      <c r="C418" s="161" t="s">
        <v>7</v>
      </c>
      <c r="D418" s="162" t="s">
        <v>1242</v>
      </c>
      <c r="E418" s="252">
        <v>46439</v>
      </c>
      <c r="F418" s="164">
        <v>5</v>
      </c>
      <c r="G418" s="164">
        <v>4</v>
      </c>
      <c r="H418" s="164" t="s">
        <v>1498</v>
      </c>
    </row>
    <row r="419" ht="16" spans="1:8">
      <c r="A419" s="161" t="s">
        <v>1243</v>
      </c>
      <c r="B419" s="161" t="s">
        <v>1244</v>
      </c>
      <c r="C419" s="161" t="s">
        <v>33</v>
      </c>
      <c r="D419" s="162" t="s">
        <v>1245</v>
      </c>
      <c r="E419" s="252">
        <v>46440</v>
      </c>
      <c r="F419" s="164">
        <v>3</v>
      </c>
      <c r="G419" s="164">
        <v>3</v>
      </c>
      <c r="H419" s="164" t="s">
        <v>1499</v>
      </c>
    </row>
    <row r="420" ht="16" spans="1:8">
      <c r="A420" s="161" t="s">
        <v>1246</v>
      </c>
      <c r="B420" s="161" t="s">
        <v>1247</v>
      </c>
      <c r="C420" s="161" t="s">
        <v>33</v>
      </c>
      <c r="D420" s="162" t="s">
        <v>1248</v>
      </c>
      <c r="E420" s="252">
        <v>46441</v>
      </c>
      <c r="F420" s="164">
        <v>5</v>
      </c>
      <c r="G420" s="164">
        <v>8</v>
      </c>
      <c r="H420" s="164" t="s">
        <v>1500</v>
      </c>
    </row>
    <row r="421" ht="16" spans="1:8">
      <c r="A421" s="161" t="s">
        <v>1249</v>
      </c>
      <c r="B421" s="161" t="s">
        <v>1250</v>
      </c>
      <c r="C421" s="161" t="s">
        <v>10</v>
      </c>
      <c r="D421" s="162" t="s">
        <v>1251</v>
      </c>
      <c r="E421" s="252">
        <v>46442</v>
      </c>
      <c r="F421" s="164">
        <v>7</v>
      </c>
      <c r="G421" s="164">
        <v>2</v>
      </c>
      <c r="H421" s="164" t="s">
        <v>1501</v>
      </c>
    </row>
    <row r="422" ht="16" spans="1:8">
      <c r="A422" s="161" t="s">
        <v>1252</v>
      </c>
      <c r="B422" s="161" t="s">
        <v>1253</v>
      </c>
      <c r="C422" s="161" t="s">
        <v>44</v>
      </c>
      <c r="D422" s="162" t="s">
        <v>1254</v>
      </c>
      <c r="E422" s="252">
        <v>46443</v>
      </c>
      <c r="F422" s="164">
        <v>5</v>
      </c>
      <c r="G422" s="164">
        <v>9</v>
      </c>
      <c r="H422" s="164" t="s">
        <v>1495</v>
      </c>
    </row>
    <row r="423" ht="16" spans="1:8">
      <c r="A423" s="161" t="s">
        <v>1255</v>
      </c>
      <c r="B423" s="161" t="s">
        <v>1256</v>
      </c>
      <c r="C423" s="161" t="s">
        <v>33</v>
      </c>
      <c r="D423" s="162" t="s">
        <v>1257</v>
      </c>
      <c r="E423" s="252">
        <v>46444</v>
      </c>
      <c r="F423" s="164">
        <v>6</v>
      </c>
      <c r="G423" s="164">
        <v>5</v>
      </c>
      <c r="H423" s="164" t="s">
        <v>1497</v>
      </c>
    </row>
    <row r="424" ht="16" spans="1:8">
      <c r="A424" s="161" t="s">
        <v>1258</v>
      </c>
      <c r="B424" s="161" t="s">
        <v>1259</v>
      </c>
      <c r="C424" s="161" t="s">
        <v>10</v>
      </c>
      <c r="D424" s="162" t="s">
        <v>1260</v>
      </c>
      <c r="E424" s="252">
        <v>46445</v>
      </c>
      <c r="F424" s="164">
        <v>7</v>
      </c>
      <c r="G424" s="164">
        <v>3</v>
      </c>
      <c r="H424" s="164" t="s">
        <v>1498</v>
      </c>
    </row>
    <row r="425" ht="16" spans="1:8">
      <c r="A425" s="161" t="s">
        <v>1261</v>
      </c>
      <c r="B425" s="161" t="s">
        <v>1262</v>
      </c>
      <c r="C425" s="161" t="s">
        <v>10</v>
      </c>
      <c r="D425" s="162" t="s">
        <v>1263</v>
      </c>
      <c r="E425" s="252">
        <v>46446</v>
      </c>
      <c r="F425" s="164">
        <v>8</v>
      </c>
      <c r="G425" s="164">
        <v>5</v>
      </c>
      <c r="H425" s="164" t="s">
        <v>1499</v>
      </c>
    </row>
    <row r="426" ht="16" spans="1:8">
      <c r="A426" s="161" t="s">
        <v>1264</v>
      </c>
      <c r="B426" s="161" t="s">
        <v>1265</v>
      </c>
      <c r="C426" s="161" t="s">
        <v>33</v>
      </c>
      <c r="D426" s="162" t="s">
        <v>1266</v>
      </c>
      <c r="E426" s="252">
        <v>46447</v>
      </c>
      <c r="F426" s="164">
        <v>9</v>
      </c>
      <c r="G426" s="164">
        <v>7</v>
      </c>
      <c r="H426" s="164" t="s">
        <v>1500</v>
      </c>
    </row>
    <row r="427" ht="16" spans="1:8">
      <c r="A427" s="161" t="s">
        <v>1267</v>
      </c>
      <c r="B427" s="161" t="s">
        <v>1268</v>
      </c>
      <c r="C427" s="161" t="s">
        <v>13</v>
      </c>
      <c r="D427" s="162" t="s">
        <v>1269</v>
      </c>
      <c r="E427" s="252">
        <v>46448</v>
      </c>
      <c r="F427" s="164">
        <v>4</v>
      </c>
      <c r="G427" s="164">
        <v>5</v>
      </c>
      <c r="H427" s="164" t="s">
        <v>1501</v>
      </c>
    </row>
    <row r="428" ht="16" spans="1:8">
      <c r="A428" s="161" t="s">
        <v>1270</v>
      </c>
      <c r="B428" s="161" t="s">
        <v>1271</v>
      </c>
      <c r="C428" s="161" t="s">
        <v>44</v>
      </c>
      <c r="D428" s="162" t="s">
        <v>1272</v>
      </c>
      <c r="E428" s="252">
        <v>46449</v>
      </c>
      <c r="F428" s="164">
        <v>3</v>
      </c>
      <c r="G428" s="164">
        <v>6</v>
      </c>
      <c r="H428" s="164" t="s">
        <v>1495</v>
      </c>
    </row>
    <row r="429" ht="16" spans="1:8">
      <c r="A429" s="161" t="s">
        <v>1273</v>
      </c>
      <c r="B429" s="161" t="s">
        <v>1274</v>
      </c>
      <c r="C429" s="161" t="s">
        <v>33</v>
      </c>
      <c r="D429" s="162" t="s">
        <v>1275</v>
      </c>
      <c r="E429" s="252">
        <v>46450</v>
      </c>
      <c r="F429" s="164">
        <v>8</v>
      </c>
      <c r="G429" s="164">
        <v>7</v>
      </c>
      <c r="H429" s="164" t="s">
        <v>1497</v>
      </c>
    </row>
    <row r="430" ht="16" spans="1:8">
      <c r="A430" s="161" t="s">
        <v>1276</v>
      </c>
      <c r="B430" s="161" t="s">
        <v>1277</v>
      </c>
      <c r="C430" s="161" t="s">
        <v>7</v>
      </c>
      <c r="D430" s="162" t="s">
        <v>1278</v>
      </c>
      <c r="E430" s="252">
        <v>46451</v>
      </c>
      <c r="F430" s="164">
        <v>2</v>
      </c>
      <c r="G430" s="164">
        <v>8</v>
      </c>
      <c r="H430" s="164" t="s">
        <v>1498</v>
      </c>
    </row>
    <row r="431" ht="16" spans="1:8">
      <c r="A431" s="161" t="s">
        <v>1279</v>
      </c>
      <c r="B431" s="161" t="s">
        <v>1280</v>
      </c>
      <c r="C431" s="161" t="s">
        <v>13</v>
      </c>
      <c r="D431" s="162" t="s">
        <v>1281</v>
      </c>
      <c r="E431" s="252">
        <v>46452</v>
      </c>
      <c r="F431" s="164">
        <v>9</v>
      </c>
      <c r="G431" s="164">
        <v>9</v>
      </c>
      <c r="H431" s="164" t="s">
        <v>1499</v>
      </c>
    </row>
    <row r="432" ht="16" spans="1:8">
      <c r="A432" s="161" t="s">
        <v>1282</v>
      </c>
      <c r="B432" s="161" t="s">
        <v>1283</v>
      </c>
      <c r="C432" s="161" t="s">
        <v>7</v>
      </c>
      <c r="D432" s="162" t="s">
        <v>1284</v>
      </c>
      <c r="E432" s="252">
        <v>46453</v>
      </c>
      <c r="F432" s="164">
        <v>5</v>
      </c>
      <c r="G432" s="164">
        <v>4</v>
      </c>
      <c r="H432" s="164" t="s">
        <v>1500</v>
      </c>
    </row>
    <row r="433" ht="16" spans="1:8">
      <c r="A433" s="161" t="s">
        <v>1285</v>
      </c>
      <c r="B433" s="161" t="s">
        <v>1286</v>
      </c>
      <c r="C433" s="161" t="s">
        <v>33</v>
      </c>
      <c r="D433" s="162" t="s">
        <v>1287</v>
      </c>
      <c r="E433" s="252">
        <v>46454</v>
      </c>
      <c r="F433" s="164">
        <v>3</v>
      </c>
      <c r="G433" s="164">
        <v>3</v>
      </c>
      <c r="H433" s="164" t="s">
        <v>1501</v>
      </c>
    </row>
    <row r="434" ht="16" spans="1:8">
      <c r="A434" s="161" t="s">
        <v>1288</v>
      </c>
      <c r="B434" s="161" t="s">
        <v>1289</v>
      </c>
      <c r="C434" s="161" t="s">
        <v>10</v>
      </c>
      <c r="D434" s="162" t="s">
        <v>1290</v>
      </c>
      <c r="E434" s="252">
        <v>46455</v>
      </c>
      <c r="F434" s="164">
        <v>5</v>
      </c>
      <c r="G434" s="164">
        <v>8</v>
      </c>
      <c r="H434" s="164" t="s">
        <v>1495</v>
      </c>
    </row>
    <row r="435" ht="16" spans="1:8">
      <c r="A435" s="161" t="s">
        <v>1291</v>
      </c>
      <c r="B435" s="161" t="s">
        <v>1292</v>
      </c>
      <c r="C435" s="161" t="s">
        <v>33</v>
      </c>
      <c r="D435" s="162" t="s">
        <v>1293</v>
      </c>
      <c r="E435" s="252">
        <v>46456</v>
      </c>
      <c r="F435" s="164">
        <v>7</v>
      </c>
      <c r="G435" s="164">
        <v>2</v>
      </c>
      <c r="H435" s="164" t="s">
        <v>1497</v>
      </c>
    </row>
    <row r="436" ht="16" spans="1:8">
      <c r="A436" s="161" t="s">
        <v>1294</v>
      </c>
      <c r="B436" s="161" t="s">
        <v>1295</v>
      </c>
      <c r="C436" s="161" t="s">
        <v>10</v>
      </c>
      <c r="D436" s="162" t="s">
        <v>1296</v>
      </c>
      <c r="E436" s="252">
        <v>46457</v>
      </c>
      <c r="F436" s="164">
        <v>5</v>
      </c>
      <c r="G436" s="164">
        <v>9</v>
      </c>
      <c r="H436" s="164" t="s">
        <v>1498</v>
      </c>
    </row>
    <row r="437" ht="16" spans="1:8">
      <c r="A437" s="161" t="s">
        <v>1297</v>
      </c>
      <c r="B437" s="161" t="s">
        <v>1298</v>
      </c>
      <c r="C437" s="161" t="s">
        <v>7</v>
      </c>
      <c r="D437" s="162" t="s">
        <v>1299</v>
      </c>
      <c r="E437" s="252">
        <v>46458</v>
      </c>
      <c r="F437" s="164">
        <v>6</v>
      </c>
      <c r="G437" s="164">
        <v>5</v>
      </c>
      <c r="H437" s="164" t="s">
        <v>1499</v>
      </c>
    </row>
    <row r="438" ht="16" spans="1:8">
      <c r="A438" s="161" t="s">
        <v>1300</v>
      </c>
      <c r="B438" s="161" t="s">
        <v>1301</v>
      </c>
      <c r="C438" s="161" t="s">
        <v>33</v>
      </c>
      <c r="D438" s="162" t="s">
        <v>1302</v>
      </c>
      <c r="E438" s="252">
        <v>46459</v>
      </c>
      <c r="F438" s="164">
        <v>7</v>
      </c>
      <c r="G438" s="164">
        <v>3</v>
      </c>
      <c r="H438" s="164" t="s">
        <v>1500</v>
      </c>
    </row>
    <row r="439" ht="16" spans="1:8">
      <c r="A439" s="161" t="s">
        <v>1303</v>
      </c>
      <c r="B439" s="161" t="s">
        <v>1304</v>
      </c>
      <c r="C439" s="161" t="s">
        <v>7</v>
      </c>
      <c r="D439" s="162" t="s">
        <v>1305</v>
      </c>
      <c r="E439" s="252">
        <v>46460</v>
      </c>
      <c r="F439" s="164">
        <v>8</v>
      </c>
      <c r="G439" s="164">
        <v>5</v>
      </c>
      <c r="H439" s="164" t="s">
        <v>1501</v>
      </c>
    </row>
    <row r="440" ht="16" spans="1:8">
      <c r="A440" s="161" t="s">
        <v>1306</v>
      </c>
      <c r="B440" s="161" t="s">
        <v>1307</v>
      </c>
      <c r="C440" s="161" t="s">
        <v>7</v>
      </c>
      <c r="D440" s="162" t="s">
        <v>1308</v>
      </c>
      <c r="E440" s="252">
        <v>46461</v>
      </c>
      <c r="F440" s="164">
        <v>9</v>
      </c>
      <c r="G440" s="164">
        <v>7</v>
      </c>
      <c r="H440" s="164" t="s">
        <v>1495</v>
      </c>
    </row>
    <row r="441" ht="16" spans="1:8">
      <c r="A441" s="161" t="s">
        <v>1309</v>
      </c>
      <c r="B441" s="161" t="s">
        <v>1310</v>
      </c>
      <c r="C441" s="161" t="s">
        <v>44</v>
      </c>
      <c r="D441" s="162" t="s">
        <v>1311</v>
      </c>
      <c r="E441" s="252">
        <v>46462</v>
      </c>
      <c r="F441" s="164">
        <v>4</v>
      </c>
      <c r="G441" s="164">
        <v>5</v>
      </c>
      <c r="H441" s="164" t="s">
        <v>1497</v>
      </c>
    </row>
    <row r="442" ht="16" spans="1:8">
      <c r="A442" s="161" t="s">
        <v>1312</v>
      </c>
      <c r="B442" s="161" t="s">
        <v>1313</v>
      </c>
      <c r="C442" s="161" t="s">
        <v>44</v>
      </c>
      <c r="D442" s="162" t="s">
        <v>1314</v>
      </c>
      <c r="E442" s="252">
        <v>46463</v>
      </c>
      <c r="F442" s="164">
        <v>3</v>
      </c>
      <c r="G442" s="164">
        <v>6</v>
      </c>
      <c r="H442" s="164" t="s">
        <v>1498</v>
      </c>
    </row>
    <row r="443" ht="16" spans="1:8">
      <c r="A443" s="161" t="s">
        <v>1315</v>
      </c>
      <c r="B443" s="161" t="s">
        <v>1316</v>
      </c>
      <c r="C443" s="161" t="s">
        <v>13</v>
      </c>
      <c r="D443" s="162" t="s">
        <v>1317</v>
      </c>
      <c r="E443" s="252">
        <v>46464</v>
      </c>
      <c r="F443" s="164">
        <v>8</v>
      </c>
      <c r="G443" s="164">
        <v>7</v>
      </c>
      <c r="H443" s="164" t="s">
        <v>1499</v>
      </c>
    </row>
    <row r="444" ht="16" spans="1:8">
      <c r="A444" s="161" t="s">
        <v>1318</v>
      </c>
      <c r="B444" s="161" t="s">
        <v>1319</v>
      </c>
      <c r="C444" s="161" t="s">
        <v>10</v>
      </c>
      <c r="D444" s="162" t="s">
        <v>1320</v>
      </c>
      <c r="E444" s="252">
        <v>46465</v>
      </c>
      <c r="F444" s="164">
        <v>2</v>
      </c>
      <c r="G444" s="164">
        <v>8</v>
      </c>
      <c r="H444" s="164" t="s">
        <v>1500</v>
      </c>
    </row>
    <row r="445" ht="16" spans="1:8">
      <c r="A445" s="161" t="s">
        <v>1321</v>
      </c>
      <c r="B445" s="161" t="s">
        <v>1322</v>
      </c>
      <c r="C445" s="161" t="s">
        <v>13</v>
      </c>
      <c r="D445" s="162" t="s">
        <v>1323</v>
      </c>
      <c r="E445" s="252">
        <v>46466</v>
      </c>
      <c r="F445" s="164">
        <v>9</v>
      </c>
      <c r="G445" s="164">
        <v>9</v>
      </c>
      <c r="H445" s="164" t="s">
        <v>1501</v>
      </c>
    </row>
    <row r="446" ht="16" spans="1:8">
      <c r="A446" s="161" t="s">
        <v>1324</v>
      </c>
      <c r="B446" s="161" t="s">
        <v>1325</v>
      </c>
      <c r="C446" s="161" t="s">
        <v>10</v>
      </c>
      <c r="D446" s="162" t="s">
        <v>1326</v>
      </c>
      <c r="E446" s="252">
        <v>46467</v>
      </c>
      <c r="F446" s="164">
        <v>5</v>
      </c>
      <c r="G446" s="164">
        <v>4</v>
      </c>
      <c r="H446" s="164" t="s">
        <v>1495</v>
      </c>
    </row>
    <row r="447" ht="16" spans="1:8">
      <c r="A447" s="161" t="s">
        <v>1327</v>
      </c>
      <c r="B447" s="161" t="s">
        <v>1328</v>
      </c>
      <c r="C447" s="161" t="s">
        <v>13</v>
      </c>
      <c r="D447" s="162" t="s">
        <v>1329</v>
      </c>
      <c r="E447" s="252">
        <v>46468</v>
      </c>
      <c r="F447" s="164">
        <v>3</v>
      </c>
      <c r="G447" s="164">
        <v>3</v>
      </c>
      <c r="H447" s="164" t="s">
        <v>1497</v>
      </c>
    </row>
    <row r="448" ht="16" spans="1:8">
      <c r="A448" s="161" t="s">
        <v>1330</v>
      </c>
      <c r="B448" s="161" t="s">
        <v>1331</v>
      </c>
      <c r="C448" s="161" t="s">
        <v>44</v>
      </c>
      <c r="D448" s="162" t="s">
        <v>1332</v>
      </c>
      <c r="E448" s="252">
        <v>46469</v>
      </c>
      <c r="F448" s="164">
        <v>5</v>
      </c>
      <c r="G448" s="164">
        <v>8</v>
      </c>
      <c r="H448" s="164" t="s">
        <v>1498</v>
      </c>
    </row>
    <row r="449" ht="16" spans="1:8">
      <c r="A449" s="161" t="s">
        <v>1333</v>
      </c>
      <c r="B449" s="161" t="s">
        <v>1334</v>
      </c>
      <c r="C449" s="161" t="s">
        <v>10</v>
      </c>
      <c r="D449" s="162" t="s">
        <v>1335</v>
      </c>
      <c r="E449" s="252">
        <v>46470</v>
      </c>
      <c r="F449" s="164">
        <v>7</v>
      </c>
      <c r="G449" s="164">
        <v>2</v>
      </c>
      <c r="H449" s="164" t="s">
        <v>1499</v>
      </c>
    </row>
    <row r="450" ht="16" spans="1:8">
      <c r="A450" s="161" t="s">
        <v>1336</v>
      </c>
      <c r="B450" s="161" t="s">
        <v>1337</v>
      </c>
      <c r="C450" s="161" t="s">
        <v>33</v>
      </c>
      <c r="D450" s="162" t="s">
        <v>1338</v>
      </c>
      <c r="E450" s="252">
        <v>46471</v>
      </c>
      <c r="F450" s="164">
        <v>5</v>
      </c>
      <c r="G450" s="164">
        <v>9</v>
      </c>
      <c r="H450" s="164" t="s">
        <v>1500</v>
      </c>
    </row>
    <row r="451" ht="16" spans="1:8">
      <c r="A451" s="161" t="s">
        <v>1339</v>
      </c>
      <c r="B451" s="161" t="s">
        <v>1340</v>
      </c>
      <c r="C451" s="161" t="s">
        <v>7</v>
      </c>
      <c r="D451" s="162" t="s">
        <v>1341</v>
      </c>
      <c r="E451" s="252">
        <v>46472</v>
      </c>
      <c r="F451" s="164">
        <v>6</v>
      </c>
      <c r="G451" s="164">
        <v>5</v>
      </c>
      <c r="H451" s="164" t="s">
        <v>1501</v>
      </c>
    </row>
    <row r="452" ht="16" spans="1:8">
      <c r="A452" s="161" t="s">
        <v>1342</v>
      </c>
      <c r="B452" s="161" t="s">
        <v>1343</v>
      </c>
      <c r="C452" s="161" t="s">
        <v>7</v>
      </c>
      <c r="D452" s="162" t="s">
        <v>1344</v>
      </c>
      <c r="E452" s="252">
        <v>46473</v>
      </c>
      <c r="F452" s="164">
        <v>7</v>
      </c>
      <c r="G452" s="164">
        <v>3</v>
      </c>
      <c r="H452" s="164" t="s">
        <v>1495</v>
      </c>
    </row>
    <row r="453" ht="16" spans="1:8">
      <c r="A453" s="161" t="s">
        <v>1345</v>
      </c>
      <c r="B453" s="161" t="s">
        <v>1346</v>
      </c>
      <c r="C453" s="161" t="s">
        <v>33</v>
      </c>
      <c r="D453" s="162" t="s">
        <v>1347</v>
      </c>
      <c r="E453" s="252">
        <v>46474</v>
      </c>
      <c r="F453" s="164">
        <v>8</v>
      </c>
      <c r="G453" s="164">
        <v>5</v>
      </c>
      <c r="H453" s="164" t="s">
        <v>1497</v>
      </c>
    </row>
    <row r="454" ht="16" spans="1:8">
      <c r="A454" s="161" t="s">
        <v>1348</v>
      </c>
      <c r="B454" s="161" t="s">
        <v>1349</v>
      </c>
      <c r="C454" s="161" t="s">
        <v>10</v>
      </c>
      <c r="D454" s="162" t="s">
        <v>1350</v>
      </c>
      <c r="E454" s="252">
        <v>46475</v>
      </c>
      <c r="F454" s="164">
        <v>9</v>
      </c>
      <c r="G454" s="164">
        <v>7</v>
      </c>
      <c r="H454" s="164" t="s">
        <v>1498</v>
      </c>
    </row>
    <row r="455" ht="16" spans="1:8">
      <c r="A455" s="161" t="s">
        <v>1351</v>
      </c>
      <c r="B455" s="161" t="s">
        <v>1352</v>
      </c>
      <c r="C455" s="161" t="s">
        <v>33</v>
      </c>
      <c r="D455" s="162" t="s">
        <v>1353</v>
      </c>
      <c r="E455" s="252">
        <v>46476</v>
      </c>
      <c r="F455" s="164">
        <v>4</v>
      </c>
      <c r="G455" s="164">
        <v>5</v>
      </c>
      <c r="H455" s="164" t="s">
        <v>1499</v>
      </c>
    </row>
    <row r="456" ht="16" spans="1:8">
      <c r="A456" s="161" t="s">
        <v>1354</v>
      </c>
      <c r="B456" s="161" t="s">
        <v>1355</v>
      </c>
      <c r="C456" s="161" t="s">
        <v>13</v>
      </c>
      <c r="D456" s="162" t="s">
        <v>1356</v>
      </c>
      <c r="E456" s="252">
        <v>46477</v>
      </c>
      <c r="F456" s="164">
        <v>3</v>
      </c>
      <c r="G456" s="164">
        <v>6</v>
      </c>
      <c r="H456" s="164" t="s">
        <v>1500</v>
      </c>
    </row>
    <row r="457" ht="16" spans="1:8">
      <c r="A457" s="161" t="s">
        <v>1357</v>
      </c>
      <c r="B457" s="161" t="s">
        <v>1358</v>
      </c>
      <c r="C457" s="161" t="s">
        <v>7</v>
      </c>
      <c r="D457" s="162" t="s">
        <v>1359</v>
      </c>
      <c r="E457" s="252">
        <v>46478</v>
      </c>
      <c r="F457" s="164">
        <v>8</v>
      </c>
      <c r="G457" s="164">
        <v>7</v>
      </c>
      <c r="H457" s="164" t="s">
        <v>1501</v>
      </c>
    </row>
    <row r="458" ht="16" spans="1:8">
      <c r="A458" s="161" t="s">
        <v>1360</v>
      </c>
      <c r="B458" s="161" t="s">
        <v>1361</v>
      </c>
      <c r="C458" s="161" t="s">
        <v>7</v>
      </c>
      <c r="D458" s="162" t="s">
        <v>1362</v>
      </c>
      <c r="E458" s="252">
        <v>46479</v>
      </c>
      <c r="F458" s="164">
        <v>2</v>
      </c>
      <c r="G458" s="164">
        <v>8</v>
      </c>
      <c r="H458" s="164" t="s">
        <v>1495</v>
      </c>
    </row>
    <row r="459" ht="16" spans="1:8">
      <c r="A459" s="161" t="s">
        <v>1363</v>
      </c>
      <c r="B459" s="161" t="s">
        <v>1364</v>
      </c>
      <c r="C459" s="161" t="s">
        <v>7</v>
      </c>
      <c r="D459" s="162" t="s">
        <v>1365</v>
      </c>
      <c r="E459" s="252">
        <v>46480</v>
      </c>
      <c r="F459" s="164">
        <v>9</v>
      </c>
      <c r="G459" s="164">
        <v>9</v>
      </c>
      <c r="H459" s="164" t="s">
        <v>1497</v>
      </c>
    </row>
    <row r="460" ht="16" spans="1:8">
      <c r="A460" s="161" t="s">
        <v>1366</v>
      </c>
      <c r="B460" s="161" t="s">
        <v>1367</v>
      </c>
      <c r="C460" s="161" t="s">
        <v>10</v>
      </c>
      <c r="D460" s="162" t="s">
        <v>1368</v>
      </c>
      <c r="E460" s="252">
        <v>46481</v>
      </c>
      <c r="F460" s="164">
        <v>5</v>
      </c>
      <c r="G460" s="164">
        <v>4</v>
      </c>
      <c r="H460" s="164" t="s">
        <v>1498</v>
      </c>
    </row>
    <row r="461" ht="16" spans="1:8">
      <c r="A461" s="161" t="s">
        <v>1369</v>
      </c>
      <c r="B461" s="161" t="s">
        <v>1370</v>
      </c>
      <c r="C461" s="161" t="s">
        <v>33</v>
      </c>
      <c r="D461" s="162" t="s">
        <v>1371</v>
      </c>
      <c r="E461" s="252">
        <v>46482</v>
      </c>
      <c r="F461" s="164">
        <v>3</v>
      </c>
      <c r="G461" s="164">
        <v>3</v>
      </c>
      <c r="H461" s="164" t="s">
        <v>1499</v>
      </c>
    </row>
    <row r="462" ht="16" spans="1:8">
      <c r="A462" s="161" t="s">
        <v>1372</v>
      </c>
      <c r="B462" s="161" t="s">
        <v>1373</v>
      </c>
      <c r="C462" s="161" t="s">
        <v>10</v>
      </c>
      <c r="D462" s="162" t="s">
        <v>1374</v>
      </c>
      <c r="E462" s="252">
        <v>46483</v>
      </c>
      <c r="F462" s="164">
        <v>5</v>
      </c>
      <c r="G462" s="164">
        <v>8</v>
      </c>
      <c r="H462" s="164" t="s">
        <v>1500</v>
      </c>
    </row>
    <row r="463" ht="16" spans="1:8">
      <c r="A463" s="161" t="s">
        <v>1375</v>
      </c>
      <c r="B463" s="161" t="s">
        <v>1376</v>
      </c>
      <c r="C463" s="161" t="s">
        <v>10</v>
      </c>
      <c r="D463" s="162" t="s">
        <v>1377</v>
      </c>
      <c r="E463" s="252">
        <v>46484</v>
      </c>
      <c r="F463" s="164">
        <v>7</v>
      </c>
      <c r="G463" s="164">
        <v>2</v>
      </c>
      <c r="H463" s="164" t="s">
        <v>1501</v>
      </c>
    </row>
    <row r="464" ht="16" spans="1:8">
      <c r="A464" s="161" t="s">
        <v>1378</v>
      </c>
      <c r="B464" s="161" t="s">
        <v>1379</v>
      </c>
      <c r="C464" s="161" t="s">
        <v>13</v>
      </c>
      <c r="D464" s="162" t="s">
        <v>1380</v>
      </c>
      <c r="E464" s="252">
        <v>46485</v>
      </c>
      <c r="F464" s="164">
        <v>5</v>
      </c>
      <c r="G464" s="164">
        <v>9</v>
      </c>
      <c r="H464" s="164" t="s">
        <v>1495</v>
      </c>
    </row>
    <row r="465" ht="16" spans="1:8">
      <c r="A465" s="161" t="s">
        <v>1381</v>
      </c>
      <c r="B465" s="161" t="s">
        <v>1382</v>
      </c>
      <c r="C465" s="161" t="s">
        <v>10</v>
      </c>
      <c r="D465" s="162" t="s">
        <v>1383</v>
      </c>
      <c r="E465" s="252">
        <v>46486</v>
      </c>
      <c r="F465" s="164">
        <v>6</v>
      </c>
      <c r="G465" s="164">
        <v>5</v>
      </c>
      <c r="H465" s="164" t="s">
        <v>1497</v>
      </c>
    </row>
    <row r="466" ht="16" spans="1:8">
      <c r="A466" s="161" t="s">
        <v>1384</v>
      </c>
      <c r="B466" s="161" t="s">
        <v>1385</v>
      </c>
      <c r="C466" s="161" t="s">
        <v>33</v>
      </c>
      <c r="D466" s="162" t="s">
        <v>1386</v>
      </c>
      <c r="E466" s="252">
        <v>46487</v>
      </c>
      <c r="F466" s="164">
        <v>7</v>
      </c>
      <c r="G466" s="164">
        <v>3</v>
      </c>
      <c r="H466" s="164" t="s">
        <v>1498</v>
      </c>
    </row>
    <row r="467" ht="16" spans="1:8">
      <c r="A467" s="161" t="s">
        <v>1387</v>
      </c>
      <c r="B467" s="161" t="s">
        <v>1388</v>
      </c>
      <c r="C467" s="161" t="s">
        <v>7</v>
      </c>
      <c r="D467" s="162" t="s">
        <v>1389</v>
      </c>
      <c r="E467" s="252">
        <v>46488</v>
      </c>
      <c r="F467" s="164">
        <v>8</v>
      </c>
      <c r="G467" s="164">
        <v>5</v>
      </c>
      <c r="H467" s="164" t="s">
        <v>1499</v>
      </c>
    </row>
    <row r="468" ht="16" spans="1:8">
      <c r="A468" s="161" t="s">
        <v>1390</v>
      </c>
      <c r="B468" s="161" t="s">
        <v>1391</v>
      </c>
      <c r="C468" s="161" t="s">
        <v>44</v>
      </c>
      <c r="D468" s="162" t="s">
        <v>1392</v>
      </c>
      <c r="E468" s="252">
        <v>46489</v>
      </c>
      <c r="F468" s="164">
        <v>9</v>
      </c>
      <c r="G468" s="164">
        <v>7</v>
      </c>
      <c r="H468" s="164" t="s">
        <v>1500</v>
      </c>
    </row>
    <row r="469" ht="16" spans="1:8">
      <c r="A469" s="161" t="s">
        <v>1393</v>
      </c>
      <c r="B469" s="161" t="s">
        <v>1394</v>
      </c>
      <c r="C469" s="161" t="s">
        <v>7</v>
      </c>
      <c r="D469" s="162" t="s">
        <v>1395</v>
      </c>
      <c r="E469" s="252">
        <v>46490</v>
      </c>
      <c r="F469" s="164">
        <v>4</v>
      </c>
      <c r="G469" s="164">
        <v>5</v>
      </c>
      <c r="H469" s="164" t="s">
        <v>1501</v>
      </c>
    </row>
    <row r="470" ht="16" spans="1:8">
      <c r="A470" s="161" t="s">
        <v>1396</v>
      </c>
      <c r="B470" s="161" t="s">
        <v>1397</v>
      </c>
      <c r="C470" s="161" t="s">
        <v>10</v>
      </c>
      <c r="D470" s="162" t="s">
        <v>1398</v>
      </c>
      <c r="E470" s="252">
        <v>46491</v>
      </c>
      <c r="F470" s="164">
        <v>3</v>
      </c>
      <c r="G470" s="164">
        <v>6</v>
      </c>
      <c r="H470" s="164" t="s">
        <v>1495</v>
      </c>
    </row>
    <row r="471" ht="16" spans="1:8">
      <c r="A471" s="161" t="s">
        <v>1399</v>
      </c>
      <c r="B471" s="161" t="s">
        <v>1400</v>
      </c>
      <c r="C471" s="161" t="s">
        <v>33</v>
      </c>
      <c r="D471" s="162" t="s">
        <v>1401</v>
      </c>
      <c r="E471" s="252">
        <v>46492</v>
      </c>
      <c r="F471" s="164">
        <v>8</v>
      </c>
      <c r="G471" s="164">
        <v>7</v>
      </c>
      <c r="H471" s="164" t="s">
        <v>1497</v>
      </c>
    </row>
    <row r="472" ht="16" spans="1:8">
      <c r="A472" s="161" t="s">
        <v>1402</v>
      </c>
      <c r="B472" s="161" t="s">
        <v>1403</v>
      </c>
      <c r="C472" s="161" t="s">
        <v>7</v>
      </c>
      <c r="D472" s="162" t="s">
        <v>1404</v>
      </c>
      <c r="E472" s="252">
        <v>46493</v>
      </c>
      <c r="F472" s="164">
        <v>2</v>
      </c>
      <c r="G472" s="164">
        <v>8</v>
      </c>
      <c r="H472" s="164" t="s">
        <v>1498</v>
      </c>
    </row>
    <row r="473" ht="16" spans="1:8">
      <c r="A473" s="161" t="s">
        <v>1405</v>
      </c>
      <c r="B473" s="161" t="s">
        <v>1406</v>
      </c>
      <c r="C473" s="161" t="s">
        <v>13</v>
      </c>
      <c r="D473" s="162" t="s">
        <v>1407</v>
      </c>
      <c r="E473" s="252">
        <v>46494</v>
      </c>
      <c r="F473" s="164">
        <v>9</v>
      </c>
      <c r="G473" s="164">
        <v>9</v>
      </c>
      <c r="H473" s="164" t="s">
        <v>1499</v>
      </c>
    </row>
    <row r="474" ht="16" spans="1:8">
      <c r="A474" s="161" t="s">
        <v>1408</v>
      </c>
      <c r="B474" s="161" t="s">
        <v>1409</v>
      </c>
      <c r="C474" s="161" t="s">
        <v>10</v>
      </c>
      <c r="D474" s="162" t="s">
        <v>1410</v>
      </c>
      <c r="E474" s="252">
        <v>46495</v>
      </c>
      <c r="F474" s="164">
        <v>5</v>
      </c>
      <c r="G474" s="164">
        <v>4</v>
      </c>
      <c r="H474" s="164" t="s">
        <v>1500</v>
      </c>
    </row>
    <row r="475" ht="16" spans="1:8">
      <c r="A475" s="161" t="s">
        <v>1411</v>
      </c>
      <c r="B475" s="161" t="s">
        <v>1412</v>
      </c>
      <c r="C475" s="161" t="s">
        <v>13</v>
      </c>
      <c r="D475" s="162" t="s">
        <v>1413</v>
      </c>
      <c r="E475" s="252">
        <v>46496</v>
      </c>
      <c r="F475" s="164">
        <v>3</v>
      </c>
      <c r="G475" s="164">
        <v>3</v>
      </c>
      <c r="H475" s="164" t="s">
        <v>1501</v>
      </c>
    </row>
    <row r="476" ht="16" spans="1:8">
      <c r="A476" s="161" t="s">
        <v>1414</v>
      </c>
      <c r="B476" s="161" t="s">
        <v>1415</v>
      </c>
      <c r="C476" s="161" t="s">
        <v>10</v>
      </c>
      <c r="D476" s="162" t="s">
        <v>1416</v>
      </c>
      <c r="E476" s="252">
        <v>46497</v>
      </c>
      <c r="F476" s="164">
        <v>5</v>
      </c>
      <c r="G476" s="164">
        <v>8</v>
      </c>
      <c r="H476" s="164" t="s">
        <v>1495</v>
      </c>
    </row>
    <row r="477" ht="16" spans="1:8">
      <c r="A477" s="161" t="s">
        <v>1417</v>
      </c>
      <c r="B477" s="161" t="s">
        <v>1418</v>
      </c>
      <c r="C477" s="161" t="s">
        <v>7</v>
      </c>
      <c r="D477" s="162" t="s">
        <v>1419</v>
      </c>
      <c r="E477" s="252">
        <v>46498</v>
      </c>
      <c r="F477" s="164">
        <v>7</v>
      </c>
      <c r="G477" s="164">
        <v>2</v>
      </c>
      <c r="H477" s="164" t="s">
        <v>1497</v>
      </c>
    </row>
    <row r="478" ht="16" spans="1:8">
      <c r="A478" s="161" t="s">
        <v>1420</v>
      </c>
      <c r="B478" s="161" t="s">
        <v>1421</v>
      </c>
      <c r="C478" s="161" t="s">
        <v>13</v>
      </c>
      <c r="D478" s="162" t="s">
        <v>1422</v>
      </c>
      <c r="E478" s="252">
        <v>46499</v>
      </c>
      <c r="F478" s="164">
        <v>5</v>
      </c>
      <c r="G478" s="164">
        <v>9</v>
      </c>
      <c r="H478" s="164" t="s">
        <v>1498</v>
      </c>
    </row>
    <row r="479" ht="16" spans="1:8">
      <c r="A479" s="161" t="s">
        <v>1423</v>
      </c>
      <c r="B479" s="161" t="s">
        <v>1424</v>
      </c>
      <c r="C479" s="161" t="s">
        <v>10</v>
      </c>
      <c r="D479" s="162" t="s">
        <v>1425</v>
      </c>
      <c r="E479" s="252">
        <v>46500</v>
      </c>
      <c r="F479" s="164">
        <v>6</v>
      </c>
      <c r="G479" s="164">
        <v>5</v>
      </c>
      <c r="H479" s="164" t="s">
        <v>1499</v>
      </c>
    </row>
    <row r="480" ht="16" spans="1:8">
      <c r="A480" s="161" t="s">
        <v>1426</v>
      </c>
      <c r="B480" s="161" t="s">
        <v>1427</v>
      </c>
      <c r="C480" s="161" t="s">
        <v>7</v>
      </c>
      <c r="D480" s="162" t="s">
        <v>1428</v>
      </c>
      <c r="E480" s="252">
        <v>46501</v>
      </c>
      <c r="F480" s="164">
        <v>7</v>
      </c>
      <c r="G480" s="164">
        <v>3</v>
      </c>
      <c r="H480" s="164" t="s">
        <v>1500</v>
      </c>
    </row>
    <row r="481" ht="16" spans="1:8">
      <c r="A481" s="161" t="s">
        <v>1429</v>
      </c>
      <c r="B481" s="161" t="s">
        <v>1430</v>
      </c>
      <c r="C481" s="161" t="s">
        <v>33</v>
      </c>
      <c r="D481" s="162" t="s">
        <v>1431</v>
      </c>
      <c r="E481" s="252">
        <v>46502</v>
      </c>
      <c r="F481" s="164">
        <v>8</v>
      </c>
      <c r="G481" s="164">
        <v>5</v>
      </c>
      <c r="H481" s="164" t="s">
        <v>1501</v>
      </c>
    </row>
    <row r="482" ht="16" spans="1:8">
      <c r="A482" s="161" t="s">
        <v>1432</v>
      </c>
      <c r="B482" s="161" t="s">
        <v>1433</v>
      </c>
      <c r="C482" s="161" t="s">
        <v>7</v>
      </c>
      <c r="D482" s="162" t="s">
        <v>1434</v>
      </c>
      <c r="E482" s="252">
        <v>46503</v>
      </c>
      <c r="F482" s="164">
        <v>9</v>
      </c>
      <c r="G482" s="164">
        <v>7</v>
      </c>
      <c r="H482" s="164" t="s">
        <v>1495</v>
      </c>
    </row>
    <row r="483" ht="16" spans="1:8">
      <c r="A483" s="161" t="s">
        <v>1435</v>
      </c>
      <c r="B483" s="161" t="s">
        <v>1436</v>
      </c>
      <c r="C483" s="161" t="s">
        <v>10</v>
      </c>
      <c r="D483" s="162" t="s">
        <v>1437</v>
      </c>
      <c r="E483" s="252">
        <v>46504</v>
      </c>
      <c r="F483" s="164">
        <v>4</v>
      </c>
      <c r="G483" s="164">
        <v>5</v>
      </c>
      <c r="H483" s="164" t="s">
        <v>1497</v>
      </c>
    </row>
    <row r="484" ht="16" spans="1:8">
      <c r="A484" s="161" t="s">
        <v>1438</v>
      </c>
      <c r="B484" s="161" t="s">
        <v>1439</v>
      </c>
      <c r="C484" s="161" t="s">
        <v>44</v>
      </c>
      <c r="D484" s="162" t="s">
        <v>1440</v>
      </c>
      <c r="E484" s="252">
        <v>46505</v>
      </c>
      <c r="F484" s="164">
        <v>3</v>
      </c>
      <c r="G484" s="164">
        <v>6</v>
      </c>
      <c r="H484" s="164" t="s">
        <v>1498</v>
      </c>
    </row>
    <row r="485" ht="16" spans="1:8">
      <c r="A485" s="161" t="s">
        <v>1441</v>
      </c>
      <c r="B485" s="161" t="s">
        <v>1442</v>
      </c>
      <c r="C485" s="161" t="s">
        <v>33</v>
      </c>
      <c r="D485" s="162" t="s">
        <v>1443</v>
      </c>
      <c r="E485" s="252">
        <v>46506</v>
      </c>
      <c r="F485" s="164">
        <v>8</v>
      </c>
      <c r="G485" s="164">
        <v>7</v>
      </c>
      <c r="H485" s="164" t="s">
        <v>1499</v>
      </c>
    </row>
    <row r="486" ht="16" spans="1:8">
      <c r="A486" s="161" t="s">
        <v>1444</v>
      </c>
      <c r="B486" s="161" t="s">
        <v>1445</v>
      </c>
      <c r="C486" s="161" t="s">
        <v>10</v>
      </c>
      <c r="D486" s="162" t="s">
        <v>1446</v>
      </c>
      <c r="E486" s="252">
        <v>46507</v>
      </c>
      <c r="F486" s="164">
        <v>2</v>
      </c>
      <c r="G486" s="164">
        <v>8</v>
      </c>
      <c r="H486" s="164" t="s">
        <v>1500</v>
      </c>
    </row>
    <row r="487" ht="16" spans="1:8">
      <c r="A487" s="161" t="s">
        <v>1447</v>
      </c>
      <c r="B487" s="161" t="s">
        <v>1448</v>
      </c>
      <c r="C487" s="161" t="s">
        <v>13</v>
      </c>
      <c r="D487" s="162" t="s">
        <v>1449</v>
      </c>
      <c r="E487" s="252">
        <v>46508</v>
      </c>
      <c r="F487" s="164">
        <v>9</v>
      </c>
      <c r="G487" s="164">
        <v>9</v>
      </c>
      <c r="H487" s="164" t="s">
        <v>1501</v>
      </c>
    </row>
    <row r="488" ht="16" spans="1:8">
      <c r="A488" s="161" t="s">
        <v>1450</v>
      </c>
      <c r="B488" s="161" t="s">
        <v>1451</v>
      </c>
      <c r="C488" s="161" t="s">
        <v>13</v>
      </c>
      <c r="D488" s="162" t="s">
        <v>1452</v>
      </c>
      <c r="E488" s="252">
        <v>46509</v>
      </c>
      <c r="F488" s="164">
        <v>5</v>
      </c>
      <c r="G488" s="164">
        <v>4</v>
      </c>
      <c r="H488" s="164" t="s">
        <v>1495</v>
      </c>
    </row>
    <row r="489" ht="16" spans="1:8">
      <c r="A489" s="161" t="s">
        <v>1453</v>
      </c>
      <c r="B489" s="161" t="s">
        <v>1454</v>
      </c>
      <c r="C489" s="161" t="s">
        <v>7</v>
      </c>
      <c r="D489" s="162" t="s">
        <v>1455</v>
      </c>
      <c r="E489" s="252">
        <v>46510</v>
      </c>
      <c r="F489" s="164">
        <v>3</v>
      </c>
      <c r="G489" s="164">
        <v>3</v>
      </c>
      <c r="H489" s="164" t="s">
        <v>1497</v>
      </c>
    </row>
    <row r="490" ht="16" spans="1:8">
      <c r="A490" s="161" t="s">
        <v>1456</v>
      </c>
      <c r="B490" s="161" t="s">
        <v>1457</v>
      </c>
      <c r="C490" s="161" t="s">
        <v>13</v>
      </c>
      <c r="D490" s="162" t="s">
        <v>1458</v>
      </c>
      <c r="E490" s="252">
        <v>46511</v>
      </c>
      <c r="F490" s="164">
        <v>5</v>
      </c>
      <c r="G490" s="164">
        <v>8</v>
      </c>
      <c r="H490" s="164" t="s">
        <v>1498</v>
      </c>
    </row>
    <row r="491" ht="16" spans="1:8">
      <c r="A491" s="161" t="s">
        <v>1459</v>
      </c>
      <c r="B491" s="161" t="s">
        <v>1460</v>
      </c>
      <c r="C491" s="161" t="s">
        <v>33</v>
      </c>
      <c r="D491" s="162" t="s">
        <v>1461</v>
      </c>
      <c r="E491" s="252">
        <v>46512</v>
      </c>
      <c r="F491" s="164">
        <v>7</v>
      </c>
      <c r="G491" s="164">
        <v>2</v>
      </c>
      <c r="H491" s="164" t="s">
        <v>1499</v>
      </c>
    </row>
    <row r="492" ht="16" spans="1:8">
      <c r="A492" s="161" t="s">
        <v>1462</v>
      </c>
      <c r="B492" s="161" t="s">
        <v>1463</v>
      </c>
      <c r="C492" s="161" t="s">
        <v>13</v>
      </c>
      <c r="D492" s="162" t="s">
        <v>1464</v>
      </c>
      <c r="E492" s="252">
        <v>46513</v>
      </c>
      <c r="F492" s="164">
        <v>5</v>
      </c>
      <c r="G492" s="164">
        <v>9</v>
      </c>
      <c r="H492" s="164" t="s">
        <v>1500</v>
      </c>
    </row>
    <row r="493" ht="16" spans="1:8">
      <c r="A493" s="161" t="s">
        <v>1465</v>
      </c>
      <c r="B493" s="161" t="s">
        <v>1466</v>
      </c>
      <c r="C493" s="161" t="s">
        <v>7</v>
      </c>
      <c r="D493" s="162" t="s">
        <v>1467</v>
      </c>
      <c r="E493" s="252">
        <v>46514</v>
      </c>
      <c r="F493" s="164">
        <v>6</v>
      </c>
      <c r="G493" s="164">
        <v>9</v>
      </c>
      <c r="H493" s="164" t="s">
        <v>1501</v>
      </c>
    </row>
    <row r="494" ht="16" spans="1:8">
      <c r="A494" s="161" t="s">
        <v>1468</v>
      </c>
      <c r="B494" s="161" t="s">
        <v>1469</v>
      </c>
      <c r="C494" s="161" t="s">
        <v>13</v>
      </c>
      <c r="D494" s="162" t="s">
        <v>1470</v>
      </c>
      <c r="E494" s="252">
        <v>46515</v>
      </c>
      <c r="F494" s="164">
        <v>7</v>
      </c>
      <c r="G494" s="164">
        <v>4</v>
      </c>
      <c r="H494" s="164" t="s">
        <v>1495</v>
      </c>
    </row>
    <row r="495" ht="16" spans="1:8">
      <c r="A495" s="161" t="s">
        <v>1471</v>
      </c>
      <c r="B495" s="161" t="s">
        <v>1472</v>
      </c>
      <c r="C495" s="161" t="s">
        <v>44</v>
      </c>
      <c r="D495" s="162" t="s">
        <v>1473</v>
      </c>
      <c r="E495" s="252">
        <v>46516</v>
      </c>
      <c r="F495" s="164">
        <v>8</v>
      </c>
      <c r="G495" s="164">
        <v>6</v>
      </c>
      <c r="H495" s="164" t="s">
        <v>1497</v>
      </c>
    </row>
    <row r="496" ht="16" spans="1:8">
      <c r="A496" s="161" t="s">
        <v>1474</v>
      </c>
      <c r="B496" s="161" t="s">
        <v>1475</v>
      </c>
      <c r="C496" s="161" t="s">
        <v>33</v>
      </c>
      <c r="D496" s="162" t="s">
        <v>1476</v>
      </c>
      <c r="E496" s="252">
        <v>46517</v>
      </c>
      <c r="F496" s="164">
        <v>9</v>
      </c>
      <c r="G496" s="164">
        <v>6</v>
      </c>
      <c r="H496" s="164" t="s">
        <v>1498</v>
      </c>
    </row>
    <row r="497" ht="16" spans="1:8">
      <c r="A497" s="161" t="s">
        <v>1477</v>
      </c>
      <c r="B497" s="161" t="s">
        <v>1478</v>
      </c>
      <c r="C497" s="161" t="s">
        <v>10</v>
      </c>
      <c r="D497" s="162" t="s">
        <v>1479</v>
      </c>
      <c r="E497" s="252">
        <v>46518</v>
      </c>
      <c r="F497" s="164">
        <v>4</v>
      </c>
      <c r="G497" s="164">
        <v>8</v>
      </c>
      <c r="H497" s="164" t="s">
        <v>1499</v>
      </c>
    </row>
    <row r="498" ht="16" spans="1:8">
      <c r="A498" s="161" t="s">
        <v>1480</v>
      </c>
      <c r="B498" s="161" t="s">
        <v>1481</v>
      </c>
      <c r="C498" s="161" t="s">
        <v>13</v>
      </c>
      <c r="D498" s="162" t="s">
        <v>1482</v>
      </c>
      <c r="E498" s="252">
        <v>46519</v>
      </c>
      <c r="F498" s="164">
        <v>3</v>
      </c>
      <c r="G498" s="164">
        <v>6</v>
      </c>
      <c r="H498" s="164" t="s">
        <v>1500</v>
      </c>
    </row>
    <row r="499" ht="16" spans="1:8">
      <c r="A499" s="161" t="s">
        <v>1483</v>
      </c>
      <c r="B499" s="161" t="s">
        <v>1484</v>
      </c>
      <c r="C499" s="161" t="s">
        <v>33</v>
      </c>
      <c r="D499" s="162" t="s">
        <v>1485</v>
      </c>
      <c r="E499" s="252">
        <v>46520</v>
      </c>
      <c r="F499" s="164">
        <v>8</v>
      </c>
      <c r="G499" s="164">
        <v>4</v>
      </c>
      <c r="H499" s="164" t="s">
        <v>1501</v>
      </c>
    </row>
    <row r="500" ht="16" spans="1:8">
      <c r="A500" s="161" t="s">
        <v>1486</v>
      </c>
      <c r="B500" s="161" t="s">
        <v>1487</v>
      </c>
      <c r="C500" s="161" t="s">
        <v>7</v>
      </c>
      <c r="D500" s="162" t="s">
        <v>1488</v>
      </c>
      <c r="E500" s="252">
        <v>46521</v>
      </c>
      <c r="F500" s="164">
        <v>2</v>
      </c>
      <c r="G500" s="164">
        <v>7</v>
      </c>
      <c r="H500" s="164" t="s">
        <v>1495</v>
      </c>
    </row>
    <row r="501" ht="16" spans="1:8">
      <c r="A501" s="161" t="s">
        <v>1489</v>
      </c>
      <c r="B501" s="161" t="s">
        <v>1490</v>
      </c>
      <c r="C501" s="161" t="s">
        <v>10</v>
      </c>
      <c r="D501" s="162" t="s">
        <v>1491</v>
      </c>
      <c r="E501" s="252">
        <v>46522</v>
      </c>
      <c r="F501" s="164">
        <v>9</v>
      </c>
      <c r="G501" s="164">
        <v>9</v>
      </c>
      <c r="H501" s="164" t="s">
        <v>1497</v>
      </c>
    </row>
    <row r="502" ht="15.25"/>
  </sheetData>
  <mergeCells count="1">
    <mergeCell ref="I2:K6"/>
  </mergeCells>
  <conditionalFormatting sqref="C$1:C$1048576">
    <cfRule type="cellIs" dxfId="111" priority="5" operator="equal">
      <formula>"Sales"</formula>
    </cfRule>
  </conditionalFormatting>
  <conditionalFormatting sqref="F$1:F$1048576">
    <cfRule type="iconSet" priority="6">
      <iconSet iconSet="4Rating">
        <cfvo type="percent" val="0"/>
        <cfvo type="percent" val="25"/>
        <cfvo type="percent" val="50"/>
        <cfvo type="percent" val="75"/>
      </iconSet>
    </cfRule>
  </conditionalFormatting>
  <conditionalFormatting sqref="G$1:G$1048576">
    <cfRule type="dataBar" priority="4">
      <dataBar>
        <cfvo type="min"/>
        <cfvo type="max"/>
        <color rgb="FF008AEF"/>
      </dataBar>
      <extLst>
        <ext xmlns:x14="http://schemas.microsoft.com/office/spreadsheetml/2009/9/main" uri="{B025F937-C7B1-47D3-B67F-A62EFF666E3E}">
          <x14:id>{b4cd3ce3-088e-4f1f-a57a-fb04c2f9b82f}</x14:id>
        </ext>
      </extLst>
    </cfRule>
  </conditionalFormatting>
  <conditionalFormatting sqref="I2:K6">
    <cfRule type="colorScale" priority="10">
      <colorScale>
        <cfvo type="min"/>
        <cfvo type="percentile" val="50"/>
        <cfvo type="max"/>
        <color rgb="FFF8696B"/>
        <color rgb="FFFFEB84"/>
        <color rgb="FF63BE7B"/>
      </colorScale>
    </cfRule>
  </conditionalFormatting>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b4cd3ce3-088e-4f1f-a57a-fb04c2f9b82f}">
            <x14:dataBar minLength="0" maxLength="100" gradient="0">
              <x14:cfvo type="autoMin"/>
              <x14:cfvo type="autoMax"/>
              <x14:negativeFillColor rgb="FFFF0000"/>
              <x14:axisColor rgb="FF000000"/>
            </x14:dataBar>
          </x14:cfRule>
          <xm:sqref>G$1:G$1048576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02"/>
  <sheetViews>
    <sheetView zoomScale="117" zoomScaleNormal="117" topLeftCell="D1" workbookViewId="0">
      <selection activeCell="P1" sqref="P1"/>
    </sheetView>
  </sheetViews>
  <sheetFormatPr defaultColWidth="8.75454545454545" defaultRowHeight="14.5"/>
  <cols>
    <col min="1" max="1" width="11.6272727272727" style="245" customWidth="1"/>
    <col min="2" max="2" width="12.7545454545455" style="245" customWidth="1"/>
    <col min="3" max="3" width="10.8727272727273" style="245" customWidth="1"/>
    <col min="4" max="4" width="10.7545454545455" style="227" customWidth="1"/>
    <col min="5" max="5" width="11.3727272727273" style="172" customWidth="1"/>
    <col min="6" max="6" width="17.8727272727273" customWidth="1"/>
    <col min="7" max="7" width="11"/>
    <col min="11" max="11" width="12.6272727272727" customWidth="1"/>
  </cols>
  <sheetData>
    <row r="1" ht="16" spans="1:11">
      <c r="A1" s="153" t="s">
        <v>0</v>
      </c>
      <c r="B1" s="153" t="s">
        <v>1</v>
      </c>
      <c r="C1" s="153" t="s">
        <v>2</v>
      </c>
      <c r="D1" s="154" t="s">
        <v>3</v>
      </c>
      <c r="E1" s="155" t="s">
        <v>4</v>
      </c>
      <c r="F1" s="155" t="s">
        <v>1492</v>
      </c>
      <c r="G1" s="155" t="s">
        <v>1493</v>
      </c>
      <c r="H1" s="155" t="s">
        <v>1494</v>
      </c>
    </row>
    <row r="2" ht="16" spans="1:11">
      <c r="A2" s="161" t="s">
        <v>5</v>
      </c>
      <c r="B2" s="161" t="s">
        <v>6</v>
      </c>
      <c r="C2" s="161" t="s">
        <v>7</v>
      </c>
      <c r="D2" s="162">
        <v>41954</v>
      </c>
      <c r="E2" s="252">
        <v>46023</v>
      </c>
      <c r="F2" s="164">
        <v>5</v>
      </c>
      <c r="G2" s="164">
        <v>9</v>
      </c>
      <c r="H2" s="164" t="s">
        <v>1495</v>
      </c>
      <c r="I2" s="253" t="s">
        <v>1502</v>
      </c>
      <c r="J2" s="253"/>
      <c r="K2" s="253"/>
    </row>
    <row r="3" ht="16" spans="1:11">
      <c r="A3" s="161" t="s">
        <v>8</v>
      </c>
      <c r="B3" s="161" t="s">
        <v>9</v>
      </c>
      <c r="C3" s="161" t="s">
        <v>10</v>
      </c>
      <c r="D3" s="162">
        <v>49855</v>
      </c>
      <c r="E3" s="252">
        <v>46024</v>
      </c>
      <c r="F3" s="164">
        <v>6</v>
      </c>
      <c r="G3" s="164">
        <v>5</v>
      </c>
      <c r="H3" s="164" t="s">
        <v>1497</v>
      </c>
      <c r="I3" s="253"/>
      <c r="J3" s="253"/>
      <c r="K3" s="253"/>
    </row>
    <row r="4" ht="16" spans="1:11">
      <c r="A4" s="161" t="s">
        <v>11</v>
      </c>
      <c r="B4" s="161" t="s">
        <v>12</v>
      </c>
      <c r="C4" s="161" t="s">
        <v>13</v>
      </c>
      <c r="D4" s="162">
        <v>94210</v>
      </c>
      <c r="E4" s="252">
        <v>46025</v>
      </c>
      <c r="F4" s="164">
        <v>7</v>
      </c>
      <c r="G4" s="164">
        <v>3</v>
      </c>
      <c r="H4" s="164" t="s">
        <v>1498</v>
      </c>
      <c r="I4" s="253"/>
      <c r="J4" s="253"/>
      <c r="K4" s="253"/>
    </row>
    <row r="5" ht="16" spans="1:11">
      <c r="A5" s="161" t="s">
        <v>14</v>
      </c>
      <c r="B5" s="161" t="s">
        <v>15</v>
      </c>
      <c r="C5" s="161" t="s">
        <v>7</v>
      </c>
      <c r="D5" s="162">
        <v>74689</v>
      </c>
      <c r="E5" s="252">
        <v>46026</v>
      </c>
      <c r="F5" s="164">
        <v>8</v>
      </c>
      <c r="G5" s="164">
        <v>5</v>
      </c>
      <c r="H5" s="164" t="s">
        <v>1499</v>
      </c>
      <c r="I5" s="253"/>
      <c r="J5" s="253"/>
      <c r="K5" s="253"/>
    </row>
    <row r="6" ht="16" spans="1:11">
      <c r="A6" s="161" t="s">
        <v>16</v>
      </c>
      <c r="B6" s="161" t="s">
        <v>17</v>
      </c>
      <c r="C6" s="161" t="s">
        <v>10</v>
      </c>
      <c r="D6" s="162">
        <v>41954</v>
      </c>
      <c r="E6" s="252">
        <v>46027</v>
      </c>
      <c r="F6" s="164">
        <v>9</v>
      </c>
      <c r="G6" s="164">
        <v>7</v>
      </c>
      <c r="H6" s="164" t="s">
        <v>1500</v>
      </c>
      <c r="I6" s="253"/>
      <c r="J6" s="253"/>
      <c r="K6" s="253"/>
    </row>
    <row r="7" ht="16" spans="1:11">
      <c r="A7" s="161" t="s">
        <v>18</v>
      </c>
      <c r="B7" s="161" t="s">
        <v>12</v>
      </c>
      <c r="C7" s="161" t="s">
        <v>10</v>
      </c>
      <c r="D7" s="162">
        <v>74820</v>
      </c>
      <c r="E7" s="252">
        <v>46028</v>
      </c>
      <c r="F7" s="164">
        <v>4</v>
      </c>
      <c r="G7" s="164">
        <v>5</v>
      </c>
      <c r="H7" s="164" t="s">
        <v>1501</v>
      </c>
    </row>
    <row r="8" ht="16" spans="1:11">
      <c r="A8" s="161" t="s">
        <v>19</v>
      </c>
      <c r="B8" s="161" t="s">
        <v>20</v>
      </c>
      <c r="C8" s="161" t="s">
        <v>13</v>
      </c>
      <c r="D8" s="162">
        <v>85206</v>
      </c>
      <c r="E8" s="252">
        <v>46029</v>
      </c>
      <c r="F8" s="164">
        <v>3</v>
      </c>
      <c r="G8" s="164">
        <v>6</v>
      </c>
      <c r="H8" s="164" t="s">
        <v>1495</v>
      </c>
      <c r="I8" s="254" t="s">
        <v>1503</v>
      </c>
      <c r="J8" s="255"/>
      <c r="K8" t="s">
        <v>10</v>
      </c>
    </row>
    <row r="9" ht="16" spans="1:11">
      <c r="A9" s="161" t="s">
        <v>21</v>
      </c>
      <c r="B9" s="161" t="s">
        <v>22</v>
      </c>
      <c r="C9" s="161" t="s">
        <v>7</v>
      </c>
      <c r="D9" s="162">
        <v>30924</v>
      </c>
      <c r="E9" s="252">
        <v>46030</v>
      </c>
      <c r="F9" s="164">
        <v>8</v>
      </c>
      <c r="G9" s="164">
        <v>7</v>
      </c>
      <c r="H9" s="164" t="s">
        <v>1497</v>
      </c>
    </row>
    <row r="10" ht="16" spans="1:11">
      <c r="A10" s="161" t="s">
        <v>23</v>
      </c>
      <c r="B10" s="161" t="s">
        <v>24</v>
      </c>
      <c r="C10" s="161" t="s">
        <v>10</v>
      </c>
      <c r="D10" s="162">
        <v>57737</v>
      </c>
      <c r="E10" s="252">
        <v>46031</v>
      </c>
      <c r="F10" s="164">
        <v>2</v>
      </c>
      <c r="G10" s="164">
        <v>8</v>
      </c>
      <c r="H10" s="164" t="s">
        <v>1498</v>
      </c>
    </row>
    <row r="11" ht="16" spans="1:11">
      <c r="A11" s="161" t="s">
        <v>25</v>
      </c>
      <c r="B11" s="161" t="s">
        <v>26</v>
      </c>
      <c r="C11" s="161" t="s">
        <v>13</v>
      </c>
      <c r="D11" s="162">
        <v>36000</v>
      </c>
      <c r="E11" s="252">
        <v>46032</v>
      </c>
      <c r="F11" s="164">
        <v>9</v>
      </c>
      <c r="G11" s="164">
        <v>9</v>
      </c>
      <c r="H11" s="164" t="s">
        <v>1499</v>
      </c>
    </row>
    <row r="12" ht="16" spans="1:11">
      <c r="A12" s="161" t="s">
        <v>27</v>
      </c>
      <c r="B12" s="161" t="s">
        <v>28</v>
      </c>
      <c r="C12" s="161" t="s">
        <v>13</v>
      </c>
      <c r="D12" s="162">
        <v>96371</v>
      </c>
      <c r="E12" s="252">
        <v>46033</v>
      </c>
      <c r="F12" s="164">
        <v>5</v>
      </c>
      <c r="G12" s="164">
        <v>4</v>
      </c>
      <c r="H12" s="164" t="s">
        <v>1500</v>
      </c>
    </row>
    <row r="13" ht="16" spans="1:11">
      <c r="A13" s="161" t="s">
        <v>29</v>
      </c>
      <c r="B13" s="161" t="s">
        <v>30</v>
      </c>
      <c r="C13" s="161" t="s">
        <v>10</v>
      </c>
      <c r="D13" s="162">
        <v>85028</v>
      </c>
      <c r="E13" s="252">
        <v>46034</v>
      </c>
      <c r="F13" s="164">
        <v>3</v>
      </c>
      <c r="G13" s="164">
        <v>3</v>
      </c>
      <c r="H13" s="164" t="s">
        <v>1501</v>
      </c>
    </row>
    <row r="14" ht="16" spans="1:11">
      <c r="A14" s="161" t="s">
        <v>31</v>
      </c>
      <c r="B14" s="161" t="s">
        <v>32</v>
      </c>
      <c r="C14" s="161" t="s">
        <v>33</v>
      </c>
      <c r="D14" s="162">
        <v>51378</v>
      </c>
      <c r="E14" s="252">
        <v>46035</v>
      </c>
      <c r="F14" s="164">
        <v>5</v>
      </c>
      <c r="G14" s="164">
        <v>8</v>
      </c>
      <c r="H14" s="164" t="s">
        <v>1495</v>
      </c>
    </row>
    <row r="15" ht="16" spans="1:11">
      <c r="A15" s="161" t="s">
        <v>34</v>
      </c>
      <c r="B15" s="161" t="s">
        <v>35</v>
      </c>
      <c r="C15" s="161" t="s">
        <v>7</v>
      </c>
      <c r="D15" s="162">
        <v>49898</v>
      </c>
      <c r="E15" s="252">
        <v>46036</v>
      </c>
      <c r="F15" s="164">
        <v>7</v>
      </c>
      <c r="G15" s="164">
        <v>2</v>
      </c>
      <c r="H15" s="164" t="s">
        <v>1497</v>
      </c>
    </row>
    <row r="16" ht="16" spans="1:11">
      <c r="A16" s="161" t="s">
        <v>36</v>
      </c>
      <c r="B16" s="161" t="s">
        <v>37</v>
      </c>
      <c r="C16" s="161" t="s">
        <v>13</v>
      </c>
      <c r="D16" s="162">
        <v>71737</v>
      </c>
      <c r="E16" s="252">
        <v>46037</v>
      </c>
      <c r="F16" s="164">
        <v>5</v>
      </c>
      <c r="G16" s="164">
        <v>9</v>
      </c>
      <c r="H16" s="164" t="s">
        <v>1498</v>
      </c>
    </row>
    <row r="17" ht="16" spans="1:8">
      <c r="A17" s="161" t="s">
        <v>38</v>
      </c>
      <c r="B17" s="161" t="s">
        <v>39</v>
      </c>
      <c r="C17" s="161" t="s">
        <v>13</v>
      </c>
      <c r="D17" s="162">
        <v>89576</v>
      </c>
      <c r="E17" s="252">
        <v>46038</v>
      </c>
      <c r="F17" s="164">
        <v>6</v>
      </c>
      <c r="G17" s="164">
        <v>5</v>
      </c>
      <c r="H17" s="164" t="s">
        <v>1499</v>
      </c>
    </row>
    <row r="18" ht="16" spans="1:8">
      <c r="A18" s="161" t="s">
        <v>40</v>
      </c>
      <c r="B18" s="161" t="s">
        <v>41</v>
      </c>
      <c r="C18" s="161" t="s">
        <v>13</v>
      </c>
      <c r="D18" s="162">
        <v>45503</v>
      </c>
      <c r="E18" s="252">
        <v>46039</v>
      </c>
      <c r="F18" s="164">
        <v>7</v>
      </c>
      <c r="G18" s="164">
        <v>3</v>
      </c>
      <c r="H18" s="164" t="s">
        <v>1500</v>
      </c>
    </row>
    <row r="19" ht="16" spans="1:8">
      <c r="A19" s="161" t="s">
        <v>42</v>
      </c>
      <c r="B19" s="161" t="s">
        <v>43</v>
      </c>
      <c r="C19" s="161" t="s">
        <v>44</v>
      </c>
      <c r="D19" s="162" t="s">
        <v>45</v>
      </c>
      <c r="E19" s="252">
        <v>46040</v>
      </c>
      <c r="F19" s="164">
        <v>8</v>
      </c>
      <c r="G19" s="164">
        <v>5</v>
      </c>
      <c r="H19" s="164" t="s">
        <v>1501</v>
      </c>
    </row>
    <row r="20" ht="16" spans="1:8">
      <c r="A20" s="161" t="s">
        <v>46</v>
      </c>
      <c r="B20" s="161" t="s">
        <v>47</v>
      </c>
      <c r="C20" s="161" t="s">
        <v>33</v>
      </c>
      <c r="D20" s="162" t="s">
        <v>48</v>
      </c>
      <c r="E20" s="252">
        <v>46041</v>
      </c>
      <c r="F20" s="164">
        <v>9</v>
      </c>
      <c r="G20" s="164">
        <v>7</v>
      </c>
      <c r="H20" s="164" t="s">
        <v>1495</v>
      </c>
    </row>
    <row r="21" ht="16" spans="1:8">
      <c r="A21" s="161" t="s">
        <v>49</v>
      </c>
      <c r="B21" s="161" t="s">
        <v>50</v>
      </c>
      <c r="C21" s="161" t="s">
        <v>13</v>
      </c>
      <c r="D21" s="162" t="s">
        <v>51</v>
      </c>
      <c r="E21" s="252">
        <v>46042</v>
      </c>
      <c r="F21" s="164">
        <v>4</v>
      </c>
      <c r="G21" s="164">
        <v>5</v>
      </c>
      <c r="H21" s="164" t="s">
        <v>1497</v>
      </c>
    </row>
    <row r="22" ht="16" spans="1:8">
      <c r="A22" s="161" t="s">
        <v>52</v>
      </c>
      <c r="B22" s="161" t="s">
        <v>53</v>
      </c>
      <c r="C22" s="161" t="s">
        <v>44</v>
      </c>
      <c r="D22" s="162" t="s">
        <v>54</v>
      </c>
      <c r="E22" s="252">
        <v>46043</v>
      </c>
      <c r="F22" s="164">
        <v>3</v>
      </c>
      <c r="G22" s="164">
        <v>6</v>
      </c>
      <c r="H22" s="164" t="s">
        <v>1498</v>
      </c>
    </row>
    <row r="23" ht="16" spans="1:8">
      <c r="A23" s="161" t="s">
        <v>55</v>
      </c>
      <c r="B23" s="161" t="s">
        <v>56</v>
      </c>
      <c r="C23" s="161" t="s">
        <v>44</v>
      </c>
      <c r="D23" s="162" t="s">
        <v>57</v>
      </c>
      <c r="E23" s="252">
        <v>46044</v>
      </c>
      <c r="F23" s="164">
        <v>8</v>
      </c>
      <c r="G23" s="164">
        <v>7</v>
      </c>
      <c r="H23" s="164" t="s">
        <v>1499</v>
      </c>
    </row>
    <row r="24" ht="16" spans="1:8">
      <c r="A24" s="161" t="s">
        <v>58</v>
      </c>
      <c r="B24" s="161" t="s">
        <v>59</v>
      </c>
      <c r="C24" s="161" t="s">
        <v>13</v>
      </c>
      <c r="D24" s="162" t="s">
        <v>60</v>
      </c>
      <c r="E24" s="252">
        <v>46045</v>
      </c>
      <c r="F24" s="164">
        <v>2</v>
      </c>
      <c r="G24" s="164">
        <v>8</v>
      </c>
      <c r="H24" s="164" t="s">
        <v>1500</v>
      </c>
    </row>
    <row r="25" ht="16" spans="1:8">
      <c r="A25" s="161" t="s">
        <v>61</v>
      </c>
      <c r="B25" s="161" t="s">
        <v>62</v>
      </c>
      <c r="C25" s="161" t="s">
        <v>10</v>
      </c>
      <c r="D25" s="162" t="s">
        <v>63</v>
      </c>
      <c r="E25" s="252">
        <v>46046</v>
      </c>
      <c r="F25" s="164">
        <v>9</v>
      </c>
      <c r="G25" s="164">
        <v>9</v>
      </c>
      <c r="H25" s="164" t="s">
        <v>1501</v>
      </c>
    </row>
    <row r="26" ht="16" spans="1:8">
      <c r="A26" s="161" t="s">
        <v>64</v>
      </c>
      <c r="B26" s="161" t="s">
        <v>65</v>
      </c>
      <c r="C26" s="161" t="s">
        <v>44</v>
      </c>
      <c r="D26" s="162" t="s">
        <v>66</v>
      </c>
      <c r="E26" s="252">
        <v>46047</v>
      </c>
      <c r="F26" s="164">
        <v>5</v>
      </c>
      <c r="G26" s="164">
        <v>4</v>
      </c>
      <c r="H26" s="164" t="s">
        <v>1495</v>
      </c>
    </row>
    <row r="27" ht="16" spans="1:8">
      <c r="A27" s="161" t="s">
        <v>67</v>
      </c>
      <c r="B27" s="161" t="s">
        <v>68</v>
      </c>
      <c r="C27" s="161" t="s">
        <v>33</v>
      </c>
      <c r="D27" s="162" t="s">
        <v>69</v>
      </c>
      <c r="E27" s="252">
        <v>46048</v>
      </c>
      <c r="F27" s="164">
        <v>3</v>
      </c>
      <c r="G27" s="164">
        <v>3</v>
      </c>
      <c r="H27" s="164" t="s">
        <v>1497</v>
      </c>
    </row>
    <row r="28" ht="16" spans="1:8">
      <c r="A28" s="161" t="s">
        <v>70</v>
      </c>
      <c r="B28" s="161" t="s">
        <v>71</v>
      </c>
      <c r="C28" s="161" t="s">
        <v>10</v>
      </c>
      <c r="D28" s="162" t="s">
        <v>72</v>
      </c>
      <c r="E28" s="252">
        <v>46049</v>
      </c>
      <c r="F28" s="164">
        <v>5</v>
      </c>
      <c r="G28" s="164">
        <v>8</v>
      </c>
      <c r="H28" s="164" t="s">
        <v>1498</v>
      </c>
    </row>
    <row r="29" ht="16" spans="1:8">
      <c r="A29" s="161" t="s">
        <v>73</v>
      </c>
      <c r="B29" s="161" t="s">
        <v>74</v>
      </c>
      <c r="C29" s="161" t="s">
        <v>7</v>
      </c>
      <c r="D29" s="162" t="s">
        <v>75</v>
      </c>
      <c r="E29" s="252">
        <v>46050</v>
      </c>
      <c r="F29" s="164">
        <v>7</v>
      </c>
      <c r="G29" s="164">
        <v>2</v>
      </c>
      <c r="H29" s="164" t="s">
        <v>1499</v>
      </c>
    </row>
    <row r="30" ht="16" spans="1:8">
      <c r="A30" s="161" t="s">
        <v>76</v>
      </c>
      <c r="B30" s="161" t="s">
        <v>77</v>
      </c>
      <c r="C30" s="161" t="s">
        <v>13</v>
      </c>
      <c r="D30" s="162" t="s">
        <v>78</v>
      </c>
      <c r="E30" s="252">
        <v>46051</v>
      </c>
      <c r="F30" s="164">
        <v>5</v>
      </c>
      <c r="G30" s="164">
        <v>9</v>
      </c>
      <c r="H30" s="164" t="s">
        <v>1500</v>
      </c>
    </row>
    <row r="31" ht="16" spans="1:8">
      <c r="A31" s="161" t="s">
        <v>79</v>
      </c>
      <c r="B31" s="161" t="s">
        <v>80</v>
      </c>
      <c r="C31" s="161" t="s">
        <v>7</v>
      </c>
      <c r="D31" s="162" t="s">
        <v>81</v>
      </c>
      <c r="E31" s="252">
        <v>46052</v>
      </c>
      <c r="F31" s="164">
        <v>6</v>
      </c>
      <c r="G31" s="164">
        <v>5</v>
      </c>
      <c r="H31" s="164" t="s">
        <v>1501</v>
      </c>
    </row>
    <row r="32" ht="16" spans="1:8">
      <c r="A32" s="161" t="s">
        <v>82</v>
      </c>
      <c r="B32" s="161" t="s">
        <v>83</v>
      </c>
      <c r="C32" s="161" t="s">
        <v>13</v>
      </c>
      <c r="D32" s="162" t="s">
        <v>84</v>
      </c>
      <c r="E32" s="252">
        <v>46053</v>
      </c>
      <c r="F32" s="164">
        <v>7</v>
      </c>
      <c r="G32" s="164">
        <v>3</v>
      </c>
      <c r="H32" s="164" t="s">
        <v>1495</v>
      </c>
    </row>
    <row r="33" ht="16" spans="1:8">
      <c r="A33" s="161" t="s">
        <v>85</v>
      </c>
      <c r="B33" s="161" t="s">
        <v>86</v>
      </c>
      <c r="C33" s="161" t="s">
        <v>7</v>
      </c>
      <c r="D33" s="162" t="s">
        <v>87</v>
      </c>
      <c r="E33" s="252">
        <v>46054</v>
      </c>
      <c r="F33" s="164">
        <v>8</v>
      </c>
      <c r="G33" s="164">
        <v>5</v>
      </c>
      <c r="H33" s="164" t="s">
        <v>1497</v>
      </c>
    </row>
    <row r="34" ht="16" spans="1:8">
      <c r="A34" s="161" t="s">
        <v>88</v>
      </c>
      <c r="B34" s="161" t="s">
        <v>89</v>
      </c>
      <c r="C34" s="161" t="s">
        <v>44</v>
      </c>
      <c r="D34" s="162" t="s">
        <v>90</v>
      </c>
      <c r="E34" s="252">
        <v>46055</v>
      </c>
      <c r="F34" s="164">
        <v>9</v>
      </c>
      <c r="G34" s="164">
        <v>7</v>
      </c>
      <c r="H34" s="164" t="s">
        <v>1498</v>
      </c>
    </row>
    <row r="35" ht="16" spans="1:8">
      <c r="A35" s="161" t="s">
        <v>91</v>
      </c>
      <c r="B35" s="161" t="s">
        <v>92</v>
      </c>
      <c r="C35" s="161" t="s">
        <v>33</v>
      </c>
      <c r="D35" s="162" t="s">
        <v>93</v>
      </c>
      <c r="E35" s="252">
        <v>46056</v>
      </c>
      <c r="F35" s="164">
        <v>4</v>
      </c>
      <c r="G35" s="164">
        <v>5</v>
      </c>
      <c r="H35" s="164" t="s">
        <v>1499</v>
      </c>
    </row>
    <row r="36" ht="16" spans="1:8">
      <c r="A36" s="161" t="s">
        <v>94</v>
      </c>
      <c r="B36" s="161" t="s">
        <v>95</v>
      </c>
      <c r="C36" s="161" t="s">
        <v>44</v>
      </c>
      <c r="D36" s="162" t="s">
        <v>96</v>
      </c>
      <c r="E36" s="252">
        <v>46057</v>
      </c>
      <c r="F36" s="164">
        <v>3</v>
      </c>
      <c r="G36" s="164">
        <v>6</v>
      </c>
      <c r="H36" s="164" t="s">
        <v>1500</v>
      </c>
    </row>
    <row r="37" ht="16" spans="1:8">
      <c r="A37" s="161" t="s">
        <v>97</v>
      </c>
      <c r="B37" s="161" t="s">
        <v>98</v>
      </c>
      <c r="C37" s="161" t="s">
        <v>33</v>
      </c>
      <c r="D37" s="162" t="s">
        <v>99</v>
      </c>
      <c r="E37" s="252">
        <v>46058</v>
      </c>
      <c r="F37" s="164">
        <v>8</v>
      </c>
      <c r="G37" s="164">
        <v>7</v>
      </c>
      <c r="H37" s="164" t="s">
        <v>1501</v>
      </c>
    </row>
    <row r="38" ht="16" spans="1:8">
      <c r="A38" s="161" t="s">
        <v>100</v>
      </c>
      <c r="B38" s="161" t="s">
        <v>101</v>
      </c>
      <c r="C38" s="161" t="s">
        <v>13</v>
      </c>
      <c r="D38" s="162" t="s">
        <v>102</v>
      </c>
      <c r="E38" s="252">
        <v>46059</v>
      </c>
      <c r="F38" s="164">
        <v>2</v>
      </c>
      <c r="G38" s="164">
        <v>8</v>
      </c>
      <c r="H38" s="164" t="s">
        <v>1495</v>
      </c>
    </row>
    <row r="39" ht="16" spans="1:8">
      <c r="A39" s="161" t="s">
        <v>103</v>
      </c>
      <c r="B39" s="161" t="s">
        <v>104</v>
      </c>
      <c r="C39" s="161" t="s">
        <v>7</v>
      </c>
      <c r="D39" s="162" t="s">
        <v>105</v>
      </c>
      <c r="E39" s="252">
        <v>46060</v>
      </c>
      <c r="F39" s="164">
        <v>9</v>
      </c>
      <c r="G39" s="164">
        <v>9</v>
      </c>
      <c r="H39" s="164" t="s">
        <v>1497</v>
      </c>
    </row>
    <row r="40" ht="16" spans="1:8">
      <c r="A40" s="161" t="s">
        <v>106</v>
      </c>
      <c r="B40" s="161" t="s">
        <v>107</v>
      </c>
      <c r="C40" s="161" t="s">
        <v>7</v>
      </c>
      <c r="D40" s="162" t="s">
        <v>108</v>
      </c>
      <c r="E40" s="252">
        <v>46061</v>
      </c>
      <c r="F40" s="164">
        <v>5</v>
      </c>
      <c r="G40" s="164">
        <v>4</v>
      </c>
      <c r="H40" s="164" t="s">
        <v>1498</v>
      </c>
    </row>
    <row r="41" ht="16" spans="1:8">
      <c r="A41" s="161" t="s">
        <v>109</v>
      </c>
      <c r="B41" s="161" t="s">
        <v>110</v>
      </c>
      <c r="C41" s="161" t="s">
        <v>13</v>
      </c>
      <c r="D41" s="162" t="s">
        <v>111</v>
      </c>
      <c r="E41" s="252">
        <v>46062</v>
      </c>
      <c r="F41" s="164">
        <v>3</v>
      </c>
      <c r="G41" s="164">
        <v>3</v>
      </c>
      <c r="H41" s="164" t="s">
        <v>1499</v>
      </c>
    </row>
    <row r="42" ht="16" spans="1:8">
      <c r="A42" s="161" t="s">
        <v>112</v>
      </c>
      <c r="B42" s="161" t="s">
        <v>113</v>
      </c>
      <c r="C42" s="161" t="s">
        <v>7</v>
      </c>
      <c r="D42" s="162" t="s">
        <v>114</v>
      </c>
      <c r="E42" s="252">
        <v>46063</v>
      </c>
      <c r="F42" s="164">
        <v>5</v>
      </c>
      <c r="G42" s="164">
        <v>8</v>
      </c>
      <c r="H42" s="164" t="s">
        <v>1500</v>
      </c>
    </row>
    <row r="43" ht="16" spans="1:8">
      <c r="A43" s="161" t="s">
        <v>115</v>
      </c>
      <c r="B43" s="161" t="s">
        <v>116</v>
      </c>
      <c r="C43" s="161" t="s">
        <v>44</v>
      </c>
      <c r="D43" s="162" t="s">
        <v>117</v>
      </c>
      <c r="E43" s="252">
        <v>46064</v>
      </c>
      <c r="F43" s="164">
        <v>7</v>
      </c>
      <c r="G43" s="164">
        <v>2</v>
      </c>
      <c r="H43" s="164" t="s">
        <v>1501</v>
      </c>
    </row>
    <row r="44" ht="16" spans="1:8">
      <c r="A44" s="161" t="s">
        <v>118</v>
      </c>
      <c r="B44" s="161" t="s">
        <v>119</v>
      </c>
      <c r="C44" s="161" t="s">
        <v>13</v>
      </c>
      <c r="D44" s="162" t="s">
        <v>120</v>
      </c>
      <c r="E44" s="252">
        <v>46065</v>
      </c>
      <c r="F44" s="164">
        <v>5</v>
      </c>
      <c r="G44" s="164">
        <v>9</v>
      </c>
      <c r="H44" s="164" t="s">
        <v>1495</v>
      </c>
    </row>
    <row r="45" ht="16" spans="1:8">
      <c r="A45" s="161" t="s">
        <v>121</v>
      </c>
      <c r="B45" s="161" t="s">
        <v>122</v>
      </c>
      <c r="C45" s="161" t="s">
        <v>10</v>
      </c>
      <c r="D45" s="162" t="s">
        <v>123</v>
      </c>
      <c r="E45" s="252">
        <v>46066</v>
      </c>
      <c r="F45" s="164">
        <v>6</v>
      </c>
      <c r="G45" s="164">
        <v>5</v>
      </c>
      <c r="H45" s="164" t="s">
        <v>1497</v>
      </c>
    </row>
    <row r="46" ht="16" spans="1:8">
      <c r="A46" s="161" t="s">
        <v>124</v>
      </c>
      <c r="B46" s="161" t="s">
        <v>125</v>
      </c>
      <c r="C46" s="161" t="s">
        <v>44</v>
      </c>
      <c r="D46" s="162" t="s">
        <v>126</v>
      </c>
      <c r="E46" s="252">
        <v>46067</v>
      </c>
      <c r="F46" s="164">
        <v>7</v>
      </c>
      <c r="G46" s="164">
        <v>3</v>
      </c>
      <c r="H46" s="164" t="s">
        <v>1498</v>
      </c>
    </row>
    <row r="47" ht="16" spans="1:8">
      <c r="A47" s="161" t="s">
        <v>127</v>
      </c>
      <c r="B47" s="161" t="s">
        <v>128</v>
      </c>
      <c r="C47" s="161" t="s">
        <v>13</v>
      </c>
      <c r="D47" s="162" t="s">
        <v>129</v>
      </c>
      <c r="E47" s="252">
        <v>46068</v>
      </c>
      <c r="F47" s="164">
        <v>8</v>
      </c>
      <c r="G47" s="164">
        <v>5</v>
      </c>
      <c r="H47" s="164" t="s">
        <v>1499</v>
      </c>
    </row>
    <row r="48" ht="16" spans="1:8">
      <c r="A48" s="161" t="s">
        <v>130</v>
      </c>
      <c r="B48" s="161" t="s">
        <v>131</v>
      </c>
      <c r="C48" s="161" t="s">
        <v>44</v>
      </c>
      <c r="D48" s="162" t="s">
        <v>132</v>
      </c>
      <c r="E48" s="252">
        <v>46069</v>
      </c>
      <c r="F48" s="164">
        <v>9</v>
      </c>
      <c r="G48" s="164">
        <v>7</v>
      </c>
      <c r="H48" s="164" t="s">
        <v>1500</v>
      </c>
    </row>
    <row r="49" ht="16" spans="1:8">
      <c r="A49" s="161" t="s">
        <v>133</v>
      </c>
      <c r="B49" s="161" t="s">
        <v>134</v>
      </c>
      <c r="C49" s="161" t="s">
        <v>44</v>
      </c>
      <c r="D49" s="162" t="s">
        <v>135</v>
      </c>
      <c r="E49" s="252">
        <v>46070</v>
      </c>
      <c r="F49" s="164">
        <v>4</v>
      </c>
      <c r="G49" s="164">
        <v>5</v>
      </c>
      <c r="H49" s="164" t="s">
        <v>1501</v>
      </c>
    </row>
    <row r="50" ht="16" spans="1:8">
      <c r="A50" s="161" t="s">
        <v>136</v>
      </c>
      <c r="B50" s="161" t="s">
        <v>137</v>
      </c>
      <c r="C50" s="161" t="s">
        <v>33</v>
      </c>
      <c r="D50" s="162" t="s">
        <v>138</v>
      </c>
      <c r="E50" s="252">
        <v>46071</v>
      </c>
      <c r="F50" s="164">
        <v>3</v>
      </c>
      <c r="G50" s="164">
        <v>6</v>
      </c>
      <c r="H50" s="164" t="s">
        <v>1495</v>
      </c>
    </row>
    <row r="51" ht="16" spans="1:8">
      <c r="A51" s="161" t="s">
        <v>139</v>
      </c>
      <c r="B51" s="161" t="s">
        <v>140</v>
      </c>
      <c r="C51" s="161" t="s">
        <v>10</v>
      </c>
      <c r="D51" s="162" t="s">
        <v>141</v>
      </c>
      <c r="E51" s="252">
        <v>46072</v>
      </c>
      <c r="F51" s="164">
        <v>8</v>
      </c>
      <c r="G51" s="164">
        <v>7</v>
      </c>
      <c r="H51" s="164" t="s">
        <v>1497</v>
      </c>
    </row>
    <row r="52" ht="16" spans="1:8">
      <c r="A52" s="161" t="s">
        <v>142</v>
      </c>
      <c r="B52" s="161" t="s">
        <v>143</v>
      </c>
      <c r="C52" s="161" t="s">
        <v>44</v>
      </c>
      <c r="D52" s="162" t="s">
        <v>144</v>
      </c>
      <c r="E52" s="252">
        <v>46073</v>
      </c>
      <c r="F52" s="164">
        <v>2</v>
      </c>
      <c r="G52" s="164">
        <v>8</v>
      </c>
      <c r="H52" s="164" t="s">
        <v>1498</v>
      </c>
    </row>
    <row r="53" ht="16" spans="1:8">
      <c r="A53" s="161" t="s">
        <v>145</v>
      </c>
      <c r="B53" s="161" t="s">
        <v>146</v>
      </c>
      <c r="C53" s="161" t="s">
        <v>33</v>
      </c>
      <c r="D53" s="162" t="s">
        <v>147</v>
      </c>
      <c r="E53" s="252">
        <v>46074</v>
      </c>
      <c r="F53" s="164">
        <v>9</v>
      </c>
      <c r="G53" s="164">
        <v>9</v>
      </c>
      <c r="H53" s="164" t="s">
        <v>1499</v>
      </c>
    </row>
    <row r="54" ht="16" spans="1:8">
      <c r="A54" s="161" t="s">
        <v>148</v>
      </c>
      <c r="B54" s="161" t="s">
        <v>149</v>
      </c>
      <c r="C54" s="161" t="s">
        <v>33</v>
      </c>
      <c r="D54" s="162" t="s">
        <v>150</v>
      </c>
      <c r="E54" s="252">
        <v>46075</v>
      </c>
      <c r="F54" s="164">
        <v>5</v>
      </c>
      <c r="G54" s="164">
        <v>4</v>
      </c>
      <c r="H54" s="164" t="s">
        <v>1500</v>
      </c>
    </row>
    <row r="55" ht="16" spans="1:8">
      <c r="A55" s="161" t="s">
        <v>151</v>
      </c>
      <c r="B55" s="161" t="s">
        <v>152</v>
      </c>
      <c r="C55" s="161" t="s">
        <v>13</v>
      </c>
      <c r="D55" s="162" t="s">
        <v>153</v>
      </c>
      <c r="E55" s="252">
        <v>46076</v>
      </c>
      <c r="F55" s="164">
        <v>3</v>
      </c>
      <c r="G55" s="164">
        <v>3</v>
      </c>
      <c r="H55" s="164" t="s">
        <v>1501</v>
      </c>
    </row>
    <row r="56" ht="16" spans="1:8">
      <c r="A56" s="161" t="s">
        <v>154</v>
      </c>
      <c r="B56" s="161" t="s">
        <v>155</v>
      </c>
      <c r="C56" s="161" t="s">
        <v>10</v>
      </c>
      <c r="D56" s="162" t="s">
        <v>156</v>
      </c>
      <c r="E56" s="252">
        <v>46077</v>
      </c>
      <c r="F56" s="164">
        <v>5</v>
      </c>
      <c r="G56" s="164">
        <v>8</v>
      </c>
      <c r="H56" s="164" t="s">
        <v>1495</v>
      </c>
    </row>
    <row r="57" ht="16" spans="1:8">
      <c r="A57" s="161" t="s">
        <v>157</v>
      </c>
      <c r="B57" s="161" t="s">
        <v>158</v>
      </c>
      <c r="C57" s="161" t="s">
        <v>44</v>
      </c>
      <c r="D57" s="162" t="s">
        <v>159</v>
      </c>
      <c r="E57" s="252">
        <v>46078</v>
      </c>
      <c r="F57" s="164">
        <v>7</v>
      </c>
      <c r="G57" s="164">
        <v>2</v>
      </c>
      <c r="H57" s="164" t="s">
        <v>1497</v>
      </c>
    </row>
    <row r="58" ht="16" spans="1:8">
      <c r="A58" s="161" t="s">
        <v>160</v>
      </c>
      <c r="B58" s="161" t="s">
        <v>161</v>
      </c>
      <c r="C58" s="161" t="s">
        <v>13</v>
      </c>
      <c r="D58" s="162" t="s">
        <v>162</v>
      </c>
      <c r="E58" s="252">
        <v>46079</v>
      </c>
      <c r="F58" s="164">
        <v>5</v>
      </c>
      <c r="G58" s="164">
        <v>9</v>
      </c>
      <c r="H58" s="164" t="s">
        <v>1498</v>
      </c>
    </row>
    <row r="59" ht="16" spans="1:8">
      <c r="A59" s="161" t="s">
        <v>163</v>
      </c>
      <c r="B59" s="161" t="s">
        <v>164</v>
      </c>
      <c r="C59" s="161" t="s">
        <v>13</v>
      </c>
      <c r="D59" s="162" t="s">
        <v>165</v>
      </c>
      <c r="E59" s="252">
        <v>46080</v>
      </c>
      <c r="F59" s="164">
        <v>6</v>
      </c>
      <c r="G59" s="164">
        <v>5</v>
      </c>
      <c r="H59" s="164" t="s">
        <v>1499</v>
      </c>
    </row>
    <row r="60" ht="16" spans="1:8">
      <c r="A60" s="161" t="s">
        <v>166</v>
      </c>
      <c r="B60" s="161" t="s">
        <v>167</v>
      </c>
      <c r="C60" s="161" t="s">
        <v>10</v>
      </c>
      <c r="D60" s="162" t="s">
        <v>168</v>
      </c>
      <c r="E60" s="252">
        <v>46081</v>
      </c>
      <c r="F60" s="164">
        <v>7</v>
      </c>
      <c r="G60" s="164">
        <v>3</v>
      </c>
      <c r="H60" s="164" t="s">
        <v>1500</v>
      </c>
    </row>
    <row r="61" ht="16" spans="1:8">
      <c r="A61" s="161" t="s">
        <v>169</v>
      </c>
      <c r="B61" s="161" t="s">
        <v>170</v>
      </c>
      <c r="C61" s="161" t="s">
        <v>33</v>
      </c>
      <c r="D61" s="162" t="s">
        <v>171</v>
      </c>
      <c r="E61" s="252">
        <v>46082</v>
      </c>
      <c r="F61" s="164">
        <v>8</v>
      </c>
      <c r="G61" s="164">
        <v>5</v>
      </c>
      <c r="H61" s="164" t="s">
        <v>1501</v>
      </c>
    </row>
    <row r="62" ht="16" spans="1:8">
      <c r="A62" s="161" t="s">
        <v>172</v>
      </c>
      <c r="B62" s="161" t="s">
        <v>173</v>
      </c>
      <c r="C62" s="161" t="s">
        <v>13</v>
      </c>
      <c r="D62" s="162" t="s">
        <v>174</v>
      </c>
      <c r="E62" s="252">
        <v>46083</v>
      </c>
      <c r="F62" s="164">
        <v>9</v>
      </c>
      <c r="G62" s="164">
        <v>7</v>
      </c>
      <c r="H62" s="164" t="s">
        <v>1495</v>
      </c>
    </row>
    <row r="63" ht="16" spans="1:8">
      <c r="A63" s="161" t="s">
        <v>175</v>
      </c>
      <c r="B63" s="161" t="s">
        <v>176</v>
      </c>
      <c r="C63" s="161" t="s">
        <v>10</v>
      </c>
      <c r="D63" s="162" t="s">
        <v>177</v>
      </c>
      <c r="E63" s="252">
        <v>46084</v>
      </c>
      <c r="F63" s="164">
        <v>4</v>
      </c>
      <c r="G63" s="164">
        <v>5</v>
      </c>
      <c r="H63" s="164" t="s">
        <v>1497</v>
      </c>
    </row>
    <row r="64" ht="16" spans="1:8">
      <c r="A64" s="161" t="s">
        <v>178</v>
      </c>
      <c r="B64" s="161" t="s">
        <v>179</v>
      </c>
      <c r="C64" s="161" t="s">
        <v>7</v>
      </c>
      <c r="D64" s="162" t="s">
        <v>180</v>
      </c>
      <c r="E64" s="252">
        <v>46085</v>
      </c>
      <c r="F64" s="164">
        <v>3</v>
      </c>
      <c r="G64" s="164">
        <v>6</v>
      </c>
      <c r="H64" s="164" t="s">
        <v>1498</v>
      </c>
    </row>
    <row r="65" ht="16" spans="1:8">
      <c r="A65" s="161" t="s">
        <v>181</v>
      </c>
      <c r="B65" s="161" t="s">
        <v>182</v>
      </c>
      <c r="C65" s="161" t="s">
        <v>33</v>
      </c>
      <c r="D65" s="162" t="s">
        <v>183</v>
      </c>
      <c r="E65" s="252">
        <v>46086</v>
      </c>
      <c r="F65" s="164">
        <v>8</v>
      </c>
      <c r="G65" s="164">
        <v>7</v>
      </c>
      <c r="H65" s="164" t="s">
        <v>1499</v>
      </c>
    </row>
    <row r="66" ht="16" spans="1:8">
      <c r="A66" s="161" t="s">
        <v>184</v>
      </c>
      <c r="B66" s="161" t="s">
        <v>185</v>
      </c>
      <c r="C66" s="161" t="s">
        <v>7</v>
      </c>
      <c r="D66" s="162" t="s">
        <v>186</v>
      </c>
      <c r="E66" s="252">
        <v>46087</v>
      </c>
      <c r="F66" s="164">
        <v>2</v>
      </c>
      <c r="G66" s="164">
        <v>8</v>
      </c>
      <c r="H66" s="164" t="s">
        <v>1500</v>
      </c>
    </row>
    <row r="67" ht="16" spans="1:8">
      <c r="A67" s="161" t="s">
        <v>187</v>
      </c>
      <c r="B67" s="161" t="s">
        <v>188</v>
      </c>
      <c r="C67" s="161" t="s">
        <v>44</v>
      </c>
      <c r="D67" s="162" t="s">
        <v>189</v>
      </c>
      <c r="E67" s="252">
        <v>46088</v>
      </c>
      <c r="F67" s="164">
        <v>9</v>
      </c>
      <c r="G67" s="164">
        <v>9</v>
      </c>
      <c r="H67" s="164" t="s">
        <v>1501</v>
      </c>
    </row>
    <row r="68" ht="16" spans="1:8">
      <c r="A68" s="161" t="s">
        <v>190</v>
      </c>
      <c r="B68" s="161" t="s">
        <v>191</v>
      </c>
      <c r="C68" s="161" t="s">
        <v>13</v>
      </c>
      <c r="D68" s="162" t="s">
        <v>192</v>
      </c>
      <c r="E68" s="252">
        <v>46089</v>
      </c>
      <c r="F68" s="164">
        <v>5</v>
      </c>
      <c r="G68" s="164">
        <v>4</v>
      </c>
      <c r="H68" s="164" t="s">
        <v>1495</v>
      </c>
    </row>
    <row r="69" ht="16" spans="1:8">
      <c r="A69" s="161" t="s">
        <v>193</v>
      </c>
      <c r="B69" s="161" t="s">
        <v>194</v>
      </c>
      <c r="C69" s="161" t="s">
        <v>10</v>
      </c>
      <c r="D69" s="162" t="s">
        <v>195</v>
      </c>
      <c r="E69" s="252">
        <v>46090</v>
      </c>
      <c r="F69" s="164">
        <v>3</v>
      </c>
      <c r="G69" s="164">
        <v>3</v>
      </c>
      <c r="H69" s="164" t="s">
        <v>1497</v>
      </c>
    </row>
    <row r="70" ht="16" spans="1:8">
      <c r="A70" s="161" t="s">
        <v>196</v>
      </c>
      <c r="B70" s="161" t="s">
        <v>197</v>
      </c>
      <c r="C70" s="161" t="s">
        <v>44</v>
      </c>
      <c r="D70" s="162" t="s">
        <v>198</v>
      </c>
      <c r="E70" s="252">
        <v>46091</v>
      </c>
      <c r="F70" s="164">
        <v>5</v>
      </c>
      <c r="G70" s="164">
        <v>8</v>
      </c>
      <c r="H70" s="164" t="s">
        <v>1498</v>
      </c>
    </row>
    <row r="71" ht="16" spans="1:8">
      <c r="A71" s="161" t="s">
        <v>199</v>
      </c>
      <c r="B71" s="161" t="s">
        <v>200</v>
      </c>
      <c r="C71" s="161" t="s">
        <v>33</v>
      </c>
      <c r="D71" s="162" t="s">
        <v>201</v>
      </c>
      <c r="E71" s="252">
        <v>46092</v>
      </c>
      <c r="F71" s="164">
        <v>7</v>
      </c>
      <c r="G71" s="164">
        <v>2</v>
      </c>
      <c r="H71" s="164" t="s">
        <v>1499</v>
      </c>
    </row>
    <row r="72" ht="16" spans="1:8">
      <c r="A72" s="161" t="s">
        <v>202</v>
      </c>
      <c r="B72" s="161" t="s">
        <v>203</v>
      </c>
      <c r="C72" s="161" t="s">
        <v>44</v>
      </c>
      <c r="D72" s="162" t="s">
        <v>204</v>
      </c>
      <c r="E72" s="252">
        <v>46093</v>
      </c>
      <c r="F72" s="164">
        <v>5</v>
      </c>
      <c r="G72" s="164">
        <v>9</v>
      </c>
      <c r="H72" s="164" t="s">
        <v>1500</v>
      </c>
    </row>
    <row r="73" ht="16" spans="1:8">
      <c r="A73" s="161" t="s">
        <v>205</v>
      </c>
      <c r="B73" s="161" t="s">
        <v>206</v>
      </c>
      <c r="C73" s="161" t="s">
        <v>13</v>
      </c>
      <c r="D73" s="162" t="s">
        <v>207</v>
      </c>
      <c r="E73" s="252">
        <v>46094</v>
      </c>
      <c r="F73" s="164">
        <v>6</v>
      </c>
      <c r="G73" s="164">
        <v>5</v>
      </c>
      <c r="H73" s="164" t="s">
        <v>1501</v>
      </c>
    </row>
    <row r="74" ht="16" spans="1:8">
      <c r="A74" s="161" t="s">
        <v>208</v>
      </c>
      <c r="B74" s="161" t="s">
        <v>209</v>
      </c>
      <c r="C74" s="161" t="s">
        <v>33</v>
      </c>
      <c r="D74" s="162" t="s">
        <v>210</v>
      </c>
      <c r="E74" s="252">
        <v>46095</v>
      </c>
      <c r="F74" s="164">
        <v>7</v>
      </c>
      <c r="G74" s="164">
        <v>3</v>
      </c>
      <c r="H74" s="164" t="s">
        <v>1495</v>
      </c>
    </row>
    <row r="75" ht="16" spans="1:8">
      <c r="A75" s="161" t="s">
        <v>211</v>
      </c>
      <c r="B75" s="161" t="s">
        <v>212</v>
      </c>
      <c r="C75" s="161" t="s">
        <v>10</v>
      </c>
      <c r="D75" s="162" t="s">
        <v>213</v>
      </c>
      <c r="E75" s="252">
        <v>46096</v>
      </c>
      <c r="F75" s="164">
        <v>8</v>
      </c>
      <c r="G75" s="164">
        <v>5</v>
      </c>
      <c r="H75" s="164" t="s">
        <v>1497</v>
      </c>
    </row>
    <row r="76" ht="16" spans="1:8">
      <c r="A76" s="161" t="s">
        <v>214</v>
      </c>
      <c r="B76" s="161" t="s">
        <v>215</v>
      </c>
      <c r="C76" s="161" t="s">
        <v>44</v>
      </c>
      <c r="D76" s="162" t="s">
        <v>216</v>
      </c>
      <c r="E76" s="252">
        <v>46097</v>
      </c>
      <c r="F76" s="164">
        <v>9</v>
      </c>
      <c r="G76" s="164">
        <v>7</v>
      </c>
      <c r="H76" s="164" t="s">
        <v>1498</v>
      </c>
    </row>
    <row r="77" ht="16" spans="1:8">
      <c r="A77" s="161" t="s">
        <v>217</v>
      </c>
      <c r="B77" s="161" t="s">
        <v>218</v>
      </c>
      <c r="C77" s="161" t="s">
        <v>33</v>
      </c>
      <c r="D77" s="162" t="s">
        <v>219</v>
      </c>
      <c r="E77" s="252">
        <v>46098</v>
      </c>
      <c r="F77" s="164">
        <v>4</v>
      </c>
      <c r="G77" s="164">
        <v>5</v>
      </c>
      <c r="H77" s="164" t="s">
        <v>1499</v>
      </c>
    </row>
    <row r="78" ht="16" spans="1:8">
      <c r="A78" s="161" t="s">
        <v>220</v>
      </c>
      <c r="B78" s="161" t="s">
        <v>221</v>
      </c>
      <c r="C78" s="161" t="s">
        <v>13</v>
      </c>
      <c r="D78" s="162" t="s">
        <v>222</v>
      </c>
      <c r="E78" s="252">
        <v>46099</v>
      </c>
      <c r="F78" s="164">
        <v>3</v>
      </c>
      <c r="G78" s="164">
        <v>6</v>
      </c>
      <c r="H78" s="164" t="s">
        <v>1500</v>
      </c>
    </row>
    <row r="79" ht="16" spans="1:8">
      <c r="A79" s="161" t="s">
        <v>223</v>
      </c>
      <c r="B79" s="161" t="s">
        <v>224</v>
      </c>
      <c r="C79" s="161" t="s">
        <v>33</v>
      </c>
      <c r="D79" s="162" t="s">
        <v>225</v>
      </c>
      <c r="E79" s="252">
        <v>46100</v>
      </c>
      <c r="F79" s="164">
        <v>8</v>
      </c>
      <c r="G79" s="164">
        <v>7</v>
      </c>
      <c r="H79" s="164" t="s">
        <v>1501</v>
      </c>
    </row>
    <row r="80" ht="16" spans="1:8">
      <c r="A80" s="161" t="s">
        <v>226</v>
      </c>
      <c r="B80" s="161" t="s">
        <v>227</v>
      </c>
      <c r="C80" s="161" t="s">
        <v>13</v>
      </c>
      <c r="D80" s="162" t="s">
        <v>228</v>
      </c>
      <c r="E80" s="252">
        <v>46101</v>
      </c>
      <c r="F80" s="164">
        <v>2</v>
      </c>
      <c r="G80" s="164">
        <v>8</v>
      </c>
      <c r="H80" s="164" t="s">
        <v>1495</v>
      </c>
    </row>
    <row r="81" ht="16" spans="1:8">
      <c r="A81" s="161" t="s">
        <v>229</v>
      </c>
      <c r="B81" s="161" t="s">
        <v>230</v>
      </c>
      <c r="C81" s="161" t="s">
        <v>7</v>
      </c>
      <c r="D81" s="162" t="s">
        <v>231</v>
      </c>
      <c r="E81" s="252">
        <v>46102</v>
      </c>
      <c r="F81" s="164">
        <v>9</v>
      </c>
      <c r="G81" s="164">
        <v>9</v>
      </c>
      <c r="H81" s="164" t="s">
        <v>1497</v>
      </c>
    </row>
    <row r="82" ht="16" spans="1:8">
      <c r="A82" s="161" t="s">
        <v>232</v>
      </c>
      <c r="B82" s="161" t="s">
        <v>233</v>
      </c>
      <c r="C82" s="161" t="s">
        <v>10</v>
      </c>
      <c r="D82" s="162" t="s">
        <v>234</v>
      </c>
      <c r="E82" s="252">
        <v>46103</v>
      </c>
      <c r="F82" s="164">
        <v>5</v>
      </c>
      <c r="G82" s="164">
        <v>4</v>
      </c>
      <c r="H82" s="164" t="s">
        <v>1498</v>
      </c>
    </row>
    <row r="83" ht="16" spans="1:8">
      <c r="A83" s="161" t="s">
        <v>235</v>
      </c>
      <c r="B83" s="161" t="s">
        <v>236</v>
      </c>
      <c r="C83" s="161" t="s">
        <v>7</v>
      </c>
      <c r="D83" s="162" t="s">
        <v>237</v>
      </c>
      <c r="E83" s="252">
        <v>46104</v>
      </c>
      <c r="F83" s="164">
        <v>3</v>
      </c>
      <c r="G83" s="164">
        <v>3</v>
      </c>
      <c r="H83" s="164" t="s">
        <v>1499</v>
      </c>
    </row>
    <row r="84" ht="16" spans="1:8">
      <c r="A84" s="161" t="s">
        <v>238</v>
      </c>
      <c r="B84" s="161" t="s">
        <v>239</v>
      </c>
      <c r="C84" s="161" t="s">
        <v>44</v>
      </c>
      <c r="D84" s="162" t="s">
        <v>240</v>
      </c>
      <c r="E84" s="252">
        <v>46105</v>
      </c>
      <c r="F84" s="164">
        <v>5</v>
      </c>
      <c r="G84" s="164">
        <v>8</v>
      </c>
      <c r="H84" s="164" t="s">
        <v>1500</v>
      </c>
    </row>
    <row r="85" ht="16" spans="1:8">
      <c r="A85" s="161" t="s">
        <v>241</v>
      </c>
      <c r="B85" s="161" t="s">
        <v>242</v>
      </c>
      <c r="C85" s="161" t="s">
        <v>7</v>
      </c>
      <c r="D85" s="162" t="s">
        <v>243</v>
      </c>
      <c r="E85" s="252">
        <v>46106</v>
      </c>
      <c r="F85" s="164">
        <v>7</v>
      </c>
      <c r="G85" s="164">
        <v>2</v>
      </c>
      <c r="H85" s="164" t="s">
        <v>1501</v>
      </c>
    </row>
    <row r="86" ht="16" spans="1:8">
      <c r="A86" s="161" t="s">
        <v>244</v>
      </c>
      <c r="B86" s="161" t="s">
        <v>245</v>
      </c>
      <c r="C86" s="161" t="s">
        <v>10</v>
      </c>
      <c r="D86" s="162" t="s">
        <v>246</v>
      </c>
      <c r="E86" s="252">
        <v>46107</v>
      </c>
      <c r="F86" s="164">
        <v>5</v>
      </c>
      <c r="G86" s="164">
        <v>9</v>
      </c>
      <c r="H86" s="164" t="s">
        <v>1495</v>
      </c>
    </row>
    <row r="87" ht="16" spans="1:8">
      <c r="A87" s="161" t="s">
        <v>247</v>
      </c>
      <c r="B87" s="161" t="s">
        <v>248</v>
      </c>
      <c r="C87" s="161" t="s">
        <v>44</v>
      </c>
      <c r="D87" s="162" t="s">
        <v>249</v>
      </c>
      <c r="E87" s="252">
        <v>46108</v>
      </c>
      <c r="F87" s="164">
        <v>6</v>
      </c>
      <c r="G87" s="164">
        <v>5</v>
      </c>
      <c r="H87" s="164" t="s">
        <v>1497</v>
      </c>
    </row>
    <row r="88" ht="16" spans="1:8">
      <c r="A88" s="161" t="s">
        <v>250</v>
      </c>
      <c r="B88" s="161" t="s">
        <v>251</v>
      </c>
      <c r="C88" s="161" t="s">
        <v>7</v>
      </c>
      <c r="D88" s="162" t="s">
        <v>252</v>
      </c>
      <c r="E88" s="252">
        <v>46109</v>
      </c>
      <c r="F88" s="164">
        <v>7</v>
      </c>
      <c r="G88" s="164">
        <v>3</v>
      </c>
      <c r="H88" s="164" t="s">
        <v>1498</v>
      </c>
    </row>
    <row r="89" ht="16" spans="1:8">
      <c r="A89" s="161" t="s">
        <v>253</v>
      </c>
      <c r="B89" s="161" t="s">
        <v>254</v>
      </c>
      <c r="C89" s="161" t="s">
        <v>7</v>
      </c>
      <c r="D89" s="162" t="s">
        <v>255</v>
      </c>
      <c r="E89" s="252">
        <v>46110</v>
      </c>
      <c r="F89" s="164">
        <v>8</v>
      </c>
      <c r="G89" s="164">
        <v>5</v>
      </c>
      <c r="H89" s="164" t="s">
        <v>1499</v>
      </c>
    </row>
    <row r="90" ht="16" spans="1:8">
      <c r="A90" s="161" t="s">
        <v>256</v>
      </c>
      <c r="B90" s="161" t="s">
        <v>257</v>
      </c>
      <c r="C90" s="161" t="s">
        <v>33</v>
      </c>
      <c r="D90" s="162" t="s">
        <v>258</v>
      </c>
      <c r="E90" s="252">
        <v>46111</v>
      </c>
      <c r="F90" s="164">
        <v>9</v>
      </c>
      <c r="G90" s="164">
        <v>7</v>
      </c>
      <c r="H90" s="164" t="s">
        <v>1500</v>
      </c>
    </row>
    <row r="91" ht="16" spans="1:8">
      <c r="A91" s="161" t="s">
        <v>259</v>
      </c>
      <c r="B91" s="161" t="s">
        <v>260</v>
      </c>
      <c r="C91" s="161" t="s">
        <v>7</v>
      </c>
      <c r="D91" s="162" t="s">
        <v>261</v>
      </c>
      <c r="E91" s="252">
        <v>46112</v>
      </c>
      <c r="F91" s="164">
        <v>4</v>
      </c>
      <c r="G91" s="164">
        <v>5</v>
      </c>
      <c r="H91" s="164" t="s">
        <v>1501</v>
      </c>
    </row>
    <row r="92" ht="16" spans="1:8">
      <c r="A92" s="161" t="s">
        <v>262</v>
      </c>
      <c r="B92" s="161" t="s">
        <v>263</v>
      </c>
      <c r="C92" s="161" t="s">
        <v>7</v>
      </c>
      <c r="D92" s="162" t="s">
        <v>264</v>
      </c>
      <c r="E92" s="252">
        <v>46113</v>
      </c>
      <c r="F92" s="164">
        <v>3</v>
      </c>
      <c r="G92" s="164">
        <v>6</v>
      </c>
      <c r="H92" s="164" t="s">
        <v>1495</v>
      </c>
    </row>
    <row r="93" ht="16" spans="1:8">
      <c r="A93" s="161" t="s">
        <v>265</v>
      </c>
      <c r="B93" s="161" t="s">
        <v>266</v>
      </c>
      <c r="C93" s="161" t="s">
        <v>44</v>
      </c>
      <c r="D93" s="162" t="s">
        <v>267</v>
      </c>
      <c r="E93" s="252">
        <v>46114</v>
      </c>
      <c r="F93" s="164">
        <v>8</v>
      </c>
      <c r="G93" s="164">
        <v>7</v>
      </c>
      <c r="H93" s="164" t="s">
        <v>1497</v>
      </c>
    </row>
    <row r="94" ht="16" spans="1:8">
      <c r="A94" s="161" t="s">
        <v>268</v>
      </c>
      <c r="B94" s="161" t="s">
        <v>269</v>
      </c>
      <c r="C94" s="161" t="s">
        <v>13</v>
      </c>
      <c r="D94" s="162" t="s">
        <v>270</v>
      </c>
      <c r="E94" s="252">
        <v>46115</v>
      </c>
      <c r="F94" s="164">
        <v>2</v>
      </c>
      <c r="G94" s="164">
        <v>8</v>
      </c>
      <c r="H94" s="164" t="s">
        <v>1498</v>
      </c>
    </row>
    <row r="95" ht="16" spans="1:8">
      <c r="A95" s="161" t="s">
        <v>271</v>
      </c>
      <c r="B95" s="161" t="s">
        <v>272</v>
      </c>
      <c r="C95" s="161" t="s">
        <v>13</v>
      </c>
      <c r="D95" s="162" t="s">
        <v>273</v>
      </c>
      <c r="E95" s="252">
        <v>46116</v>
      </c>
      <c r="F95" s="164">
        <v>9</v>
      </c>
      <c r="G95" s="164">
        <v>9</v>
      </c>
      <c r="H95" s="164" t="s">
        <v>1499</v>
      </c>
    </row>
    <row r="96" ht="16" spans="1:8">
      <c r="A96" s="161" t="s">
        <v>274</v>
      </c>
      <c r="B96" s="161" t="s">
        <v>275</v>
      </c>
      <c r="C96" s="161" t="s">
        <v>33</v>
      </c>
      <c r="D96" s="162" t="s">
        <v>276</v>
      </c>
      <c r="E96" s="252">
        <v>46117</v>
      </c>
      <c r="F96" s="164">
        <v>5</v>
      </c>
      <c r="G96" s="164">
        <v>4</v>
      </c>
      <c r="H96" s="164" t="s">
        <v>1500</v>
      </c>
    </row>
    <row r="97" ht="16" spans="1:8">
      <c r="A97" s="161" t="s">
        <v>277</v>
      </c>
      <c r="B97" s="161" t="s">
        <v>278</v>
      </c>
      <c r="C97" s="161" t="s">
        <v>33</v>
      </c>
      <c r="D97" s="162" t="s">
        <v>279</v>
      </c>
      <c r="E97" s="252">
        <v>46118</v>
      </c>
      <c r="F97" s="164">
        <v>3</v>
      </c>
      <c r="G97" s="164">
        <v>3</v>
      </c>
      <c r="H97" s="164" t="s">
        <v>1501</v>
      </c>
    </row>
    <row r="98" ht="16" spans="1:8">
      <c r="A98" s="161" t="s">
        <v>280</v>
      </c>
      <c r="B98" s="161" t="s">
        <v>281</v>
      </c>
      <c r="C98" s="161" t="s">
        <v>44</v>
      </c>
      <c r="D98" s="162" t="s">
        <v>282</v>
      </c>
      <c r="E98" s="252">
        <v>46119</v>
      </c>
      <c r="F98" s="164">
        <v>5</v>
      </c>
      <c r="G98" s="164">
        <v>8</v>
      </c>
      <c r="H98" s="164" t="s">
        <v>1495</v>
      </c>
    </row>
    <row r="99" ht="16" spans="1:8">
      <c r="A99" s="161" t="s">
        <v>283</v>
      </c>
      <c r="B99" s="161" t="s">
        <v>284</v>
      </c>
      <c r="C99" s="161" t="s">
        <v>33</v>
      </c>
      <c r="D99" s="162" t="s">
        <v>285</v>
      </c>
      <c r="E99" s="252">
        <v>46120</v>
      </c>
      <c r="F99" s="164">
        <v>7</v>
      </c>
      <c r="G99" s="164">
        <v>2</v>
      </c>
      <c r="H99" s="164" t="s">
        <v>1497</v>
      </c>
    </row>
    <row r="100" ht="16" spans="1:8">
      <c r="A100" s="161" t="s">
        <v>286</v>
      </c>
      <c r="B100" s="161" t="s">
        <v>287</v>
      </c>
      <c r="C100" s="161" t="s">
        <v>44</v>
      </c>
      <c r="D100" s="162" t="s">
        <v>288</v>
      </c>
      <c r="E100" s="252">
        <v>46121</v>
      </c>
      <c r="F100" s="164">
        <v>5</v>
      </c>
      <c r="G100" s="164">
        <v>9</v>
      </c>
      <c r="H100" s="164" t="s">
        <v>1498</v>
      </c>
    </row>
    <row r="101" ht="16" spans="1:8">
      <c r="A101" s="161" t="s">
        <v>289</v>
      </c>
      <c r="B101" s="161" t="s">
        <v>290</v>
      </c>
      <c r="C101" s="161" t="s">
        <v>44</v>
      </c>
      <c r="D101" s="162" t="s">
        <v>291</v>
      </c>
      <c r="E101" s="252">
        <v>46122</v>
      </c>
      <c r="F101" s="164">
        <v>6</v>
      </c>
      <c r="G101" s="164">
        <v>5</v>
      </c>
      <c r="H101" s="164" t="s">
        <v>1499</v>
      </c>
    </row>
    <row r="102" ht="16" spans="1:8">
      <c r="A102" s="161" t="s">
        <v>292</v>
      </c>
      <c r="B102" s="161" t="s">
        <v>293</v>
      </c>
      <c r="C102" s="161" t="s">
        <v>13</v>
      </c>
      <c r="D102" s="162" t="s">
        <v>294</v>
      </c>
      <c r="E102" s="252">
        <v>46123</v>
      </c>
      <c r="F102" s="164">
        <v>7</v>
      </c>
      <c r="G102" s="164">
        <v>3</v>
      </c>
      <c r="H102" s="164" t="s">
        <v>1500</v>
      </c>
    </row>
    <row r="103" ht="16" spans="1:8">
      <c r="A103" s="161" t="s">
        <v>295</v>
      </c>
      <c r="B103" s="161" t="s">
        <v>296</v>
      </c>
      <c r="C103" s="161" t="s">
        <v>44</v>
      </c>
      <c r="D103" s="162" t="s">
        <v>297</v>
      </c>
      <c r="E103" s="252">
        <v>46124</v>
      </c>
      <c r="F103" s="164">
        <v>8</v>
      </c>
      <c r="G103" s="164">
        <v>5</v>
      </c>
      <c r="H103" s="164" t="s">
        <v>1501</v>
      </c>
    </row>
    <row r="104" ht="16" spans="1:8">
      <c r="A104" s="161" t="s">
        <v>298</v>
      </c>
      <c r="B104" s="161" t="s">
        <v>299</v>
      </c>
      <c r="C104" s="161" t="s">
        <v>13</v>
      </c>
      <c r="D104" s="162" t="s">
        <v>300</v>
      </c>
      <c r="E104" s="252">
        <v>46125</v>
      </c>
      <c r="F104" s="164">
        <v>9</v>
      </c>
      <c r="G104" s="164">
        <v>7</v>
      </c>
      <c r="H104" s="164" t="s">
        <v>1495</v>
      </c>
    </row>
    <row r="105" ht="16" spans="1:8">
      <c r="A105" s="161" t="s">
        <v>301</v>
      </c>
      <c r="B105" s="161" t="s">
        <v>302</v>
      </c>
      <c r="C105" s="161" t="s">
        <v>7</v>
      </c>
      <c r="D105" s="162" t="s">
        <v>303</v>
      </c>
      <c r="E105" s="252">
        <v>46126</v>
      </c>
      <c r="F105" s="164">
        <v>4</v>
      </c>
      <c r="G105" s="164">
        <v>5</v>
      </c>
      <c r="H105" s="164" t="s">
        <v>1497</v>
      </c>
    </row>
    <row r="106" ht="16" spans="1:8">
      <c r="A106" s="161" t="s">
        <v>304</v>
      </c>
      <c r="B106" s="161" t="s">
        <v>305</v>
      </c>
      <c r="C106" s="161" t="s">
        <v>13</v>
      </c>
      <c r="D106" s="162" t="s">
        <v>306</v>
      </c>
      <c r="E106" s="252">
        <v>46127</v>
      </c>
      <c r="F106" s="164">
        <v>3</v>
      </c>
      <c r="G106" s="164">
        <v>6</v>
      </c>
      <c r="H106" s="164" t="s">
        <v>1498</v>
      </c>
    </row>
    <row r="107" ht="16" spans="1:8">
      <c r="A107" s="161" t="s">
        <v>307</v>
      </c>
      <c r="B107" s="161" t="s">
        <v>308</v>
      </c>
      <c r="C107" s="161" t="s">
        <v>44</v>
      </c>
      <c r="D107" s="162" t="s">
        <v>309</v>
      </c>
      <c r="E107" s="252">
        <v>46128</v>
      </c>
      <c r="F107" s="164">
        <v>8</v>
      </c>
      <c r="G107" s="164">
        <v>7</v>
      </c>
      <c r="H107" s="164" t="s">
        <v>1499</v>
      </c>
    </row>
    <row r="108" ht="16" spans="1:8">
      <c r="A108" s="161" t="s">
        <v>310</v>
      </c>
      <c r="B108" s="161" t="s">
        <v>311</v>
      </c>
      <c r="C108" s="161" t="s">
        <v>13</v>
      </c>
      <c r="D108" s="162" t="s">
        <v>312</v>
      </c>
      <c r="E108" s="252">
        <v>46129</v>
      </c>
      <c r="F108" s="164">
        <v>2</v>
      </c>
      <c r="G108" s="164">
        <v>8</v>
      </c>
      <c r="H108" s="164" t="s">
        <v>1500</v>
      </c>
    </row>
    <row r="109" ht="16" spans="1:8">
      <c r="A109" s="161" t="s">
        <v>313</v>
      </c>
      <c r="B109" s="161" t="s">
        <v>314</v>
      </c>
      <c r="C109" s="161" t="s">
        <v>7</v>
      </c>
      <c r="D109" s="162" t="s">
        <v>315</v>
      </c>
      <c r="E109" s="252">
        <v>46130</v>
      </c>
      <c r="F109" s="164">
        <v>9</v>
      </c>
      <c r="G109" s="164">
        <v>9</v>
      </c>
      <c r="H109" s="164" t="s">
        <v>1501</v>
      </c>
    </row>
    <row r="110" ht="16" spans="1:8">
      <c r="A110" s="161" t="s">
        <v>316</v>
      </c>
      <c r="B110" s="161" t="s">
        <v>317</v>
      </c>
      <c r="C110" s="161" t="s">
        <v>7</v>
      </c>
      <c r="D110" s="162" t="s">
        <v>318</v>
      </c>
      <c r="E110" s="252">
        <v>46131</v>
      </c>
      <c r="F110" s="164">
        <v>5</v>
      </c>
      <c r="G110" s="164">
        <v>4</v>
      </c>
      <c r="H110" s="164" t="s">
        <v>1495</v>
      </c>
    </row>
    <row r="111" ht="16" spans="1:8">
      <c r="A111" s="161" t="s">
        <v>319</v>
      </c>
      <c r="B111" s="161" t="s">
        <v>320</v>
      </c>
      <c r="C111" s="161" t="s">
        <v>33</v>
      </c>
      <c r="D111" s="162" t="s">
        <v>321</v>
      </c>
      <c r="E111" s="252">
        <v>46132</v>
      </c>
      <c r="F111" s="164">
        <v>3</v>
      </c>
      <c r="G111" s="164">
        <v>3</v>
      </c>
      <c r="H111" s="164" t="s">
        <v>1497</v>
      </c>
    </row>
    <row r="112" ht="16" spans="1:8">
      <c r="A112" s="161" t="s">
        <v>322</v>
      </c>
      <c r="B112" s="161" t="s">
        <v>323</v>
      </c>
      <c r="C112" s="161" t="s">
        <v>44</v>
      </c>
      <c r="D112" s="162" t="s">
        <v>324</v>
      </c>
      <c r="E112" s="252">
        <v>46133</v>
      </c>
      <c r="F112" s="164">
        <v>5</v>
      </c>
      <c r="G112" s="164">
        <v>8</v>
      </c>
      <c r="H112" s="164" t="s">
        <v>1498</v>
      </c>
    </row>
    <row r="113" ht="16" spans="1:8">
      <c r="A113" s="161" t="s">
        <v>325</v>
      </c>
      <c r="B113" s="161" t="s">
        <v>326</v>
      </c>
      <c r="C113" s="161" t="s">
        <v>13</v>
      </c>
      <c r="D113" s="162" t="s">
        <v>327</v>
      </c>
      <c r="E113" s="252">
        <v>46134</v>
      </c>
      <c r="F113" s="164">
        <v>7</v>
      </c>
      <c r="G113" s="164">
        <v>2</v>
      </c>
      <c r="H113" s="164" t="s">
        <v>1499</v>
      </c>
    </row>
    <row r="114" ht="16" spans="1:8">
      <c r="A114" s="161" t="s">
        <v>328</v>
      </c>
      <c r="B114" s="161" t="s">
        <v>329</v>
      </c>
      <c r="C114" s="161" t="s">
        <v>44</v>
      </c>
      <c r="D114" s="162" t="s">
        <v>330</v>
      </c>
      <c r="E114" s="252">
        <v>46135</v>
      </c>
      <c r="F114" s="164">
        <v>5</v>
      </c>
      <c r="G114" s="164">
        <v>9</v>
      </c>
      <c r="H114" s="164" t="s">
        <v>1500</v>
      </c>
    </row>
    <row r="115" ht="16" spans="1:8">
      <c r="A115" s="161" t="s">
        <v>331</v>
      </c>
      <c r="B115" s="161" t="s">
        <v>332</v>
      </c>
      <c r="C115" s="161" t="s">
        <v>7</v>
      </c>
      <c r="D115" s="162" t="s">
        <v>333</v>
      </c>
      <c r="E115" s="252">
        <v>46136</v>
      </c>
      <c r="F115" s="164">
        <v>6</v>
      </c>
      <c r="G115" s="164">
        <v>5</v>
      </c>
      <c r="H115" s="164" t="s">
        <v>1501</v>
      </c>
    </row>
    <row r="116" ht="16" spans="1:8">
      <c r="A116" s="161" t="s">
        <v>334</v>
      </c>
      <c r="B116" s="161" t="s">
        <v>335</v>
      </c>
      <c r="C116" s="161" t="s">
        <v>7</v>
      </c>
      <c r="D116" s="162" t="s">
        <v>336</v>
      </c>
      <c r="E116" s="252">
        <v>46137</v>
      </c>
      <c r="F116" s="164">
        <v>7</v>
      </c>
      <c r="G116" s="164">
        <v>3</v>
      </c>
      <c r="H116" s="164" t="s">
        <v>1495</v>
      </c>
    </row>
    <row r="117" ht="16" spans="1:8">
      <c r="A117" s="161" t="s">
        <v>337</v>
      </c>
      <c r="B117" s="161" t="s">
        <v>338</v>
      </c>
      <c r="C117" s="161" t="s">
        <v>44</v>
      </c>
      <c r="D117" s="162" t="s">
        <v>339</v>
      </c>
      <c r="E117" s="252">
        <v>46138</v>
      </c>
      <c r="F117" s="164">
        <v>8</v>
      </c>
      <c r="G117" s="164">
        <v>5</v>
      </c>
      <c r="H117" s="164" t="s">
        <v>1497</v>
      </c>
    </row>
    <row r="118" ht="16" spans="1:8">
      <c r="A118" s="161" t="s">
        <v>340</v>
      </c>
      <c r="B118" s="161" t="s">
        <v>341</v>
      </c>
      <c r="C118" s="161" t="s">
        <v>13</v>
      </c>
      <c r="D118" s="162" t="s">
        <v>342</v>
      </c>
      <c r="E118" s="252">
        <v>46139</v>
      </c>
      <c r="F118" s="164">
        <v>9</v>
      </c>
      <c r="G118" s="164">
        <v>7</v>
      </c>
      <c r="H118" s="164" t="s">
        <v>1498</v>
      </c>
    </row>
    <row r="119" ht="16" spans="1:8">
      <c r="A119" s="161" t="s">
        <v>343</v>
      </c>
      <c r="B119" s="161" t="s">
        <v>344</v>
      </c>
      <c r="C119" s="161" t="s">
        <v>44</v>
      </c>
      <c r="D119" s="162" t="s">
        <v>345</v>
      </c>
      <c r="E119" s="252">
        <v>46140</v>
      </c>
      <c r="F119" s="164">
        <v>4</v>
      </c>
      <c r="G119" s="164">
        <v>5</v>
      </c>
      <c r="H119" s="164" t="s">
        <v>1499</v>
      </c>
    </row>
    <row r="120" ht="16" spans="1:8">
      <c r="A120" s="161" t="s">
        <v>346</v>
      </c>
      <c r="B120" s="161" t="s">
        <v>347</v>
      </c>
      <c r="C120" s="161" t="s">
        <v>33</v>
      </c>
      <c r="D120" s="162" t="s">
        <v>348</v>
      </c>
      <c r="E120" s="252">
        <v>46141</v>
      </c>
      <c r="F120" s="164">
        <v>3</v>
      </c>
      <c r="G120" s="164">
        <v>6</v>
      </c>
      <c r="H120" s="164" t="s">
        <v>1500</v>
      </c>
    </row>
    <row r="121" ht="16" spans="1:8">
      <c r="A121" s="161" t="s">
        <v>349</v>
      </c>
      <c r="B121" s="161" t="s">
        <v>350</v>
      </c>
      <c r="C121" s="161" t="s">
        <v>33</v>
      </c>
      <c r="D121" s="162" t="s">
        <v>351</v>
      </c>
      <c r="E121" s="252">
        <v>46142</v>
      </c>
      <c r="F121" s="164">
        <v>8</v>
      </c>
      <c r="G121" s="164">
        <v>7</v>
      </c>
      <c r="H121" s="164" t="s">
        <v>1501</v>
      </c>
    </row>
    <row r="122" ht="16" spans="1:8">
      <c r="A122" s="161" t="s">
        <v>352</v>
      </c>
      <c r="B122" s="161" t="s">
        <v>353</v>
      </c>
      <c r="C122" s="161" t="s">
        <v>44</v>
      </c>
      <c r="D122" s="162" t="s">
        <v>354</v>
      </c>
      <c r="E122" s="252">
        <v>46143</v>
      </c>
      <c r="F122" s="164">
        <v>2</v>
      </c>
      <c r="G122" s="164">
        <v>8</v>
      </c>
      <c r="H122" s="164" t="s">
        <v>1495</v>
      </c>
    </row>
    <row r="123" ht="16" spans="1:8">
      <c r="A123" s="161" t="s">
        <v>355</v>
      </c>
      <c r="B123" s="161" t="s">
        <v>356</v>
      </c>
      <c r="C123" s="161" t="s">
        <v>33</v>
      </c>
      <c r="D123" s="162" t="s">
        <v>357</v>
      </c>
      <c r="E123" s="252">
        <v>46144</v>
      </c>
      <c r="F123" s="164">
        <v>9</v>
      </c>
      <c r="G123" s="164">
        <v>9</v>
      </c>
      <c r="H123" s="164" t="s">
        <v>1497</v>
      </c>
    </row>
    <row r="124" ht="16" spans="1:8">
      <c r="A124" s="161" t="s">
        <v>358</v>
      </c>
      <c r="B124" s="161" t="s">
        <v>359</v>
      </c>
      <c r="C124" s="161" t="s">
        <v>13</v>
      </c>
      <c r="D124" s="162" t="s">
        <v>360</v>
      </c>
      <c r="E124" s="252">
        <v>46145</v>
      </c>
      <c r="F124" s="164">
        <v>5</v>
      </c>
      <c r="G124" s="164">
        <v>4</v>
      </c>
      <c r="H124" s="164" t="s">
        <v>1498</v>
      </c>
    </row>
    <row r="125" ht="16" spans="1:8">
      <c r="A125" s="161" t="s">
        <v>361</v>
      </c>
      <c r="B125" s="161" t="s">
        <v>362</v>
      </c>
      <c r="C125" s="161" t="s">
        <v>7</v>
      </c>
      <c r="D125" s="162" t="s">
        <v>363</v>
      </c>
      <c r="E125" s="252">
        <v>46146</v>
      </c>
      <c r="F125" s="164">
        <v>3</v>
      </c>
      <c r="G125" s="164">
        <v>3</v>
      </c>
      <c r="H125" s="164" t="s">
        <v>1499</v>
      </c>
    </row>
    <row r="126" ht="16" spans="1:8">
      <c r="A126" s="161" t="s">
        <v>364</v>
      </c>
      <c r="B126" s="161" t="s">
        <v>365</v>
      </c>
      <c r="C126" s="161" t="s">
        <v>44</v>
      </c>
      <c r="D126" s="162" t="s">
        <v>366</v>
      </c>
      <c r="E126" s="252">
        <v>46147</v>
      </c>
      <c r="F126" s="164">
        <v>5</v>
      </c>
      <c r="G126" s="164">
        <v>8</v>
      </c>
      <c r="H126" s="164" t="s">
        <v>1500</v>
      </c>
    </row>
    <row r="127" ht="16" spans="1:8">
      <c r="A127" s="161" t="s">
        <v>367</v>
      </c>
      <c r="B127" s="161" t="s">
        <v>368</v>
      </c>
      <c r="C127" s="161" t="s">
        <v>33</v>
      </c>
      <c r="D127" s="162" t="s">
        <v>369</v>
      </c>
      <c r="E127" s="252">
        <v>46148</v>
      </c>
      <c r="F127" s="164">
        <v>7</v>
      </c>
      <c r="G127" s="164">
        <v>2</v>
      </c>
      <c r="H127" s="164" t="s">
        <v>1501</v>
      </c>
    </row>
    <row r="128" ht="16" spans="1:8">
      <c r="A128" s="161" t="s">
        <v>370</v>
      </c>
      <c r="B128" s="161" t="s">
        <v>371</v>
      </c>
      <c r="C128" s="161" t="s">
        <v>7</v>
      </c>
      <c r="D128" s="162" t="s">
        <v>372</v>
      </c>
      <c r="E128" s="252">
        <v>46149</v>
      </c>
      <c r="F128" s="164">
        <v>5</v>
      </c>
      <c r="G128" s="164">
        <v>9</v>
      </c>
      <c r="H128" s="164" t="s">
        <v>1495</v>
      </c>
    </row>
    <row r="129" ht="16" spans="1:8">
      <c r="A129" s="161" t="s">
        <v>373</v>
      </c>
      <c r="B129" s="161" t="s">
        <v>374</v>
      </c>
      <c r="C129" s="161" t="s">
        <v>10</v>
      </c>
      <c r="D129" s="162" t="s">
        <v>375</v>
      </c>
      <c r="E129" s="252">
        <v>46150</v>
      </c>
      <c r="F129" s="164">
        <v>6</v>
      </c>
      <c r="G129" s="164">
        <v>5</v>
      </c>
      <c r="H129" s="164" t="s">
        <v>1497</v>
      </c>
    </row>
    <row r="130" ht="16" spans="1:8">
      <c r="A130" s="161" t="s">
        <v>376</v>
      </c>
      <c r="B130" s="161" t="s">
        <v>377</v>
      </c>
      <c r="C130" s="161" t="s">
        <v>44</v>
      </c>
      <c r="D130" s="162" t="s">
        <v>378</v>
      </c>
      <c r="E130" s="252">
        <v>46151</v>
      </c>
      <c r="F130" s="164">
        <v>7</v>
      </c>
      <c r="G130" s="164">
        <v>3</v>
      </c>
      <c r="H130" s="164" t="s">
        <v>1498</v>
      </c>
    </row>
    <row r="131" ht="16" spans="1:8">
      <c r="A131" s="161" t="s">
        <v>379</v>
      </c>
      <c r="B131" s="161" t="s">
        <v>380</v>
      </c>
      <c r="C131" s="161" t="s">
        <v>10</v>
      </c>
      <c r="D131" s="162" t="s">
        <v>381</v>
      </c>
      <c r="E131" s="252">
        <v>46152</v>
      </c>
      <c r="F131" s="164">
        <v>8</v>
      </c>
      <c r="G131" s="164">
        <v>5</v>
      </c>
      <c r="H131" s="164" t="s">
        <v>1499</v>
      </c>
    </row>
    <row r="132" ht="16" spans="1:8">
      <c r="A132" s="161" t="s">
        <v>382</v>
      </c>
      <c r="B132" s="161" t="s">
        <v>383</v>
      </c>
      <c r="C132" s="161" t="s">
        <v>33</v>
      </c>
      <c r="D132" s="162" t="s">
        <v>384</v>
      </c>
      <c r="E132" s="252">
        <v>46153</v>
      </c>
      <c r="F132" s="164">
        <v>9</v>
      </c>
      <c r="G132" s="164">
        <v>7</v>
      </c>
      <c r="H132" s="164" t="s">
        <v>1500</v>
      </c>
    </row>
    <row r="133" ht="16" spans="1:8">
      <c r="A133" s="161" t="s">
        <v>385</v>
      </c>
      <c r="B133" s="161" t="s">
        <v>386</v>
      </c>
      <c r="C133" s="161" t="s">
        <v>44</v>
      </c>
      <c r="D133" s="162" t="s">
        <v>387</v>
      </c>
      <c r="E133" s="252">
        <v>46154</v>
      </c>
      <c r="F133" s="164">
        <v>4</v>
      </c>
      <c r="G133" s="164">
        <v>5</v>
      </c>
      <c r="H133" s="164" t="s">
        <v>1501</v>
      </c>
    </row>
    <row r="134" ht="16" spans="1:8">
      <c r="A134" s="161" t="s">
        <v>388</v>
      </c>
      <c r="B134" s="161" t="s">
        <v>389</v>
      </c>
      <c r="C134" s="161" t="s">
        <v>44</v>
      </c>
      <c r="D134" s="162" t="s">
        <v>390</v>
      </c>
      <c r="E134" s="252">
        <v>46155</v>
      </c>
      <c r="F134" s="164">
        <v>3</v>
      </c>
      <c r="G134" s="164">
        <v>6</v>
      </c>
      <c r="H134" s="164" t="s">
        <v>1495</v>
      </c>
    </row>
    <row r="135" ht="16" spans="1:8">
      <c r="A135" s="161" t="s">
        <v>391</v>
      </c>
      <c r="B135" s="161" t="s">
        <v>392</v>
      </c>
      <c r="C135" s="161" t="s">
        <v>7</v>
      </c>
      <c r="D135" s="162" t="s">
        <v>393</v>
      </c>
      <c r="E135" s="252">
        <v>46156</v>
      </c>
      <c r="F135" s="164">
        <v>8</v>
      </c>
      <c r="G135" s="164">
        <v>7</v>
      </c>
      <c r="H135" s="164" t="s">
        <v>1497</v>
      </c>
    </row>
    <row r="136" ht="16" spans="1:8">
      <c r="A136" s="161" t="s">
        <v>394</v>
      </c>
      <c r="B136" s="161" t="s">
        <v>395</v>
      </c>
      <c r="C136" s="161" t="s">
        <v>44</v>
      </c>
      <c r="D136" s="162" t="s">
        <v>396</v>
      </c>
      <c r="E136" s="252">
        <v>46157</v>
      </c>
      <c r="F136" s="164">
        <v>2</v>
      </c>
      <c r="G136" s="164">
        <v>8</v>
      </c>
      <c r="H136" s="164" t="s">
        <v>1498</v>
      </c>
    </row>
    <row r="137" ht="16" spans="1:8">
      <c r="A137" s="161" t="s">
        <v>397</v>
      </c>
      <c r="B137" s="161" t="s">
        <v>398</v>
      </c>
      <c r="C137" s="161" t="s">
        <v>44</v>
      </c>
      <c r="D137" s="162" t="s">
        <v>399</v>
      </c>
      <c r="E137" s="252">
        <v>46158</v>
      </c>
      <c r="F137" s="164">
        <v>9</v>
      </c>
      <c r="G137" s="164">
        <v>9</v>
      </c>
      <c r="H137" s="164" t="s">
        <v>1499</v>
      </c>
    </row>
    <row r="138" ht="16" spans="1:8">
      <c r="A138" s="161" t="s">
        <v>400</v>
      </c>
      <c r="B138" s="161" t="s">
        <v>401</v>
      </c>
      <c r="C138" s="161" t="s">
        <v>13</v>
      </c>
      <c r="D138" s="162" t="s">
        <v>402</v>
      </c>
      <c r="E138" s="252">
        <v>46159</v>
      </c>
      <c r="F138" s="164">
        <v>5</v>
      </c>
      <c r="G138" s="164">
        <v>4</v>
      </c>
      <c r="H138" s="164" t="s">
        <v>1500</v>
      </c>
    </row>
    <row r="139" ht="16" spans="1:8">
      <c r="A139" s="161" t="s">
        <v>403</v>
      </c>
      <c r="B139" s="161" t="s">
        <v>404</v>
      </c>
      <c r="C139" s="161" t="s">
        <v>13</v>
      </c>
      <c r="D139" s="162" t="s">
        <v>405</v>
      </c>
      <c r="E139" s="252">
        <v>46160</v>
      </c>
      <c r="F139" s="164">
        <v>3</v>
      </c>
      <c r="G139" s="164">
        <v>3</v>
      </c>
      <c r="H139" s="164" t="s">
        <v>1501</v>
      </c>
    </row>
    <row r="140" ht="16" spans="1:8">
      <c r="A140" s="161" t="s">
        <v>406</v>
      </c>
      <c r="B140" s="161" t="s">
        <v>407</v>
      </c>
      <c r="C140" s="161" t="s">
        <v>10</v>
      </c>
      <c r="D140" s="162" t="s">
        <v>408</v>
      </c>
      <c r="E140" s="252">
        <v>46161</v>
      </c>
      <c r="F140" s="164">
        <v>5</v>
      </c>
      <c r="G140" s="164">
        <v>8</v>
      </c>
      <c r="H140" s="164" t="s">
        <v>1495</v>
      </c>
    </row>
    <row r="141" ht="16" spans="1:8">
      <c r="A141" s="161" t="s">
        <v>409</v>
      </c>
      <c r="B141" s="161" t="s">
        <v>410</v>
      </c>
      <c r="C141" s="161" t="s">
        <v>10</v>
      </c>
      <c r="D141" s="162" t="s">
        <v>411</v>
      </c>
      <c r="E141" s="252">
        <v>46162</v>
      </c>
      <c r="F141" s="164">
        <v>7</v>
      </c>
      <c r="G141" s="164">
        <v>2</v>
      </c>
      <c r="H141" s="164" t="s">
        <v>1497</v>
      </c>
    </row>
    <row r="142" ht="16" spans="1:8">
      <c r="A142" s="161" t="s">
        <v>412</v>
      </c>
      <c r="B142" s="161" t="s">
        <v>413</v>
      </c>
      <c r="C142" s="161" t="s">
        <v>13</v>
      </c>
      <c r="D142" s="162" t="s">
        <v>414</v>
      </c>
      <c r="E142" s="252">
        <v>46163</v>
      </c>
      <c r="F142" s="164">
        <v>5</v>
      </c>
      <c r="G142" s="164">
        <v>9</v>
      </c>
      <c r="H142" s="164" t="s">
        <v>1498</v>
      </c>
    </row>
    <row r="143" ht="16" spans="1:8">
      <c r="A143" s="161" t="s">
        <v>415</v>
      </c>
      <c r="B143" s="161" t="s">
        <v>416</v>
      </c>
      <c r="C143" s="161" t="s">
        <v>13</v>
      </c>
      <c r="D143" s="162" t="s">
        <v>417</v>
      </c>
      <c r="E143" s="252">
        <v>46164</v>
      </c>
      <c r="F143" s="164">
        <v>6</v>
      </c>
      <c r="G143" s="164">
        <v>5</v>
      </c>
      <c r="H143" s="164" t="s">
        <v>1499</v>
      </c>
    </row>
    <row r="144" ht="16" spans="1:8">
      <c r="A144" s="161" t="s">
        <v>418</v>
      </c>
      <c r="B144" s="161" t="s">
        <v>419</v>
      </c>
      <c r="C144" s="161" t="s">
        <v>44</v>
      </c>
      <c r="D144" s="162" t="s">
        <v>420</v>
      </c>
      <c r="E144" s="252">
        <v>46165</v>
      </c>
      <c r="F144" s="164">
        <v>7</v>
      </c>
      <c r="G144" s="164">
        <v>3</v>
      </c>
      <c r="H144" s="164" t="s">
        <v>1500</v>
      </c>
    </row>
    <row r="145" ht="16" spans="1:8">
      <c r="A145" s="161" t="s">
        <v>421</v>
      </c>
      <c r="B145" s="161" t="s">
        <v>422</v>
      </c>
      <c r="C145" s="161" t="s">
        <v>7</v>
      </c>
      <c r="D145" s="162" t="s">
        <v>423</v>
      </c>
      <c r="E145" s="252">
        <v>46166</v>
      </c>
      <c r="F145" s="164">
        <v>8</v>
      </c>
      <c r="G145" s="164">
        <v>5</v>
      </c>
      <c r="H145" s="164" t="s">
        <v>1501</v>
      </c>
    </row>
    <row r="146" ht="16" spans="1:8">
      <c r="A146" s="161" t="s">
        <v>424</v>
      </c>
      <c r="B146" s="161" t="s">
        <v>425</v>
      </c>
      <c r="C146" s="161" t="s">
        <v>33</v>
      </c>
      <c r="D146" s="162" t="s">
        <v>426</v>
      </c>
      <c r="E146" s="252">
        <v>46167</v>
      </c>
      <c r="F146" s="164">
        <v>9</v>
      </c>
      <c r="G146" s="164">
        <v>7</v>
      </c>
      <c r="H146" s="164" t="s">
        <v>1495</v>
      </c>
    </row>
    <row r="147" ht="16" spans="1:8">
      <c r="A147" s="161" t="s">
        <v>427</v>
      </c>
      <c r="B147" s="161" t="s">
        <v>428</v>
      </c>
      <c r="C147" s="161" t="s">
        <v>44</v>
      </c>
      <c r="D147" s="162" t="s">
        <v>429</v>
      </c>
      <c r="E147" s="252">
        <v>46168</v>
      </c>
      <c r="F147" s="164">
        <v>4</v>
      </c>
      <c r="G147" s="164">
        <v>5</v>
      </c>
      <c r="H147" s="164" t="s">
        <v>1497</v>
      </c>
    </row>
    <row r="148" ht="16" spans="1:8">
      <c r="A148" s="161" t="s">
        <v>430</v>
      </c>
      <c r="B148" s="161" t="s">
        <v>431</v>
      </c>
      <c r="C148" s="161" t="s">
        <v>13</v>
      </c>
      <c r="D148" s="162" t="s">
        <v>432</v>
      </c>
      <c r="E148" s="252">
        <v>46169</v>
      </c>
      <c r="F148" s="164">
        <v>3</v>
      </c>
      <c r="G148" s="164">
        <v>6</v>
      </c>
      <c r="H148" s="164" t="s">
        <v>1498</v>
      </c>
    </row>
    <row r="149" ht="16" spans="1:8">
      <c r="A149" s="161" t="s">
        <v>433</v>
      </c>
      <c r="B149" s="161" t="s">
        <v>434</v>
      </c>
      <c r="C149" s="161" t="s">
        <v>13</v>
      </c>
      <c r="D149" s="162" t="s">
        <v>435</v>
      </c>
      <c r="E149" s="252">
        <v>46170</v>
      </c>
      <c r="F149" s="164">
        <v>8</v>
      </c>
      <c r="G149" s="164">
        <v>7</v>
      </c>
      <c r="H149" s="164" t="s">
        <v>1499</v>
      </c>
    </row>
    <row r="150" ht="16" spans="1:8">
      <c r="A150" s="161" t="s">
        <v>436</v>
      </c>
      <c r="B150" s="161" t="s">
        <v>437</v>
      </c>
      <c r="C150" s="161" t="s">
        <v>7</v>
      </c>
      <c r="D150" s="162" t="s">
        <v>438</v>
      </c>
      <c r="E150" s="252">
        <v>46171</v>
      </c>
      <c r="F150" s="164">
        <v>2</v>
      </c>
      <c r="G150" s="164">
        <v>8</v>
      </c>
      <c r="H150" s="164" t="s">
        <v>1500</v>
      </c>
    </row>
    <row r="151" ht="16" spans="1:8">
      <c r="A151" s="161" t="s">
        <v>439</v>
      </c>
      <c r="B151" s="161" t="s">
        <v>440</v>
      </c>
      <c r="C151" s="161" t="s">
        <v>44</v>
      </c>
      <c r="D151" s="162" t="s">
        <v>441</v>
      </c>
      <c r="E151" s="252">
        <v>46172</v>
      </c>
      <c r="F151" s="164">
        <v>9</v>
      </c>
      <c r="G151" s="164">
        <v>9</v>
      </c>
      <c r="H151" s="164" t="s">
        <v>1501</v>
      </c>
    </row>
    <row r="152" ht="16" spans="1:8">
      <c r="A152" s="161" t="s">
        <v>442</v>
      </c>
      <c r="B152" s="161" t="s">
        <v>443</v>
      </c>
      <c r="C152" s="161" t="s">
        <v>10</v>
      </c>
      <c r="D152" s="162" t="s">
        <v>444</v>
      </c>
      <c r="E152" s="252">
        <v>46173</v>
      </c>
      <c r="F152" s="164">
        <v>5</v>
      </c>
      <c r="G152" s="164">
        <v>4</v>
      </c>
      <c r="H152" s="164" t="s">
        <v>1495</v>
      </c>
    </row>
    <row r="153" ht="16" spans="1:8">
      <c r="A153" s="161" t="s">
        <v>445</v>
      </c>
      <c r="B153" s="161" t="s">
        <v>446</v>
      </c>
      <c r="C153" s="161" t="s">
        <v>13</v>
      </c>
      <c r="D153" s="162" t="s">
        <v>447</v>
      </c>
      <c r="E153" s="252">
        <v>46174</v>
      </c>
      <c r="F153" s="164">
        <v>3</v>
      </c>
      <c r="G153" s="164">
        <v>3</v>
      </c>
      <c r="H153" s="164" t="s">
        <v>1497</v>
      </c>
    </row>
    <row r="154" ht="16" spans="1:8">
      <c r="A154" s="161" t="s">
        <v>448</v>
      </c>
      <c r="B154" s="161" t="s">
        <v>449</v>
      </c>
      <c r="C154" s="161" t="s">
        <v>13</v>
      </c>
      <c r="D154" s="162" t="s">
        <v>450</v>
      </c>
      <c r="E154" s="252">
        <v>46175</v>
      </c>
      <c r="F154" s="164">
        <v>5</v>
      </c>
      <c r="G154" s="164">
        <v>8</v>
      </c>
      <c r="H154" s="164" t="s">
        <v>1498</v>
      </c>
    </row>
    <row r="155" ht="16" spans="1:8">
      <c r="A155" s="161" t="s">
        <v>451</v>
      </c>
      <c r="B155" s="161" t="s">
        <v>452</v>
      </c>
      <c r="C155" s="161" t="s">
        <v>33</v>
      </c>
      <c r="D155" s="162" t="s">
        <v>453</v>
      </c>
      <c r="E155" s="252">
        <v>46176</v>
      </c>
      <c r="F155" s="164">
        <v>7</v>
      </c>
      <c r="G155" s="164">
        <v>2</v>
      </c>
      <c r="H155" s="164" t="s">
        <v>1499</v>
      </c>
    </row>
    <row r="156" ht="16" spans="1:8">
      <c r="A156" s="161" t="s">
        <v>454</v>
      </c>
      <c r="B156" s="161" t="s">
        <v>455</v>
      </c>
      <c r="C156" s="161" t="s">
        <v>7</v>
      </c>
      <c r="D156" s="162" t="s">
        <v>456</v>
      </c>
      <c r="E156" s="252">
        <v>46177</v>
      </c>
      <c r="F156" s="164">
        <v>5</v>
      </c>
      <c r="G156" s="164">
        <v>9</v>
      </c>
      <c r="H156" s="164" t="s">
        <v>1500</v>
      </c>
    </row>
    <row r="157" ht="16" spans="1:8">
      <c r="A157" s="161" t="s">
        <v>457</v>
      </c>
      <c r="B157" s="161" t="s">
        <v>458</v>
      </c>
      <c r="C157" s="161" t="s">
        <v>10</v>
      </c>
      <c r="D157" s="162" t="s">
        <v>459</v>
      </c>
      <c r="E157" s="252">
        <v>46178</v>
      </c>
      <c r="F157" s="164">
        <v>6</v>
      </c>
      <c r="G157" s="164">
        <v>5</v>
      </c>
      <c r="H157" s="164" t="s">
        <v>1501</v>
      </c>
    </row>
    <row r="158" ht="16" spans="1:8">
      <c r="A158" s="161" t="s">
        <v>460</v>
      </c>
      <c r="B158" s="161" t="s">
        <v>461</v>
      </c>
      <c r="C158" s="161" t="s">
        <v>44</v>
      </c>
      <c r="D158" s="162" t="s">
        <v>462</v>
      </c>
      <c r="E158" s="252">
        <v>46179</v>
      </c>
      <c r="F158" s="164">
        <v>7</v>
      </c>
      <c r="G158" s="164">
        <v>3</v>
      </c>
      <c r="H158" s="164" t="s">
        <v>1495</v>
      </c>
    </row>
    <row r="159" ht="16" spans="1:8">
      <c r="A159" s="161" t="s">
        <v>463</v>
      </c>
      <c r="B159" s="161" t="s">
        <v>464</v>
      </c>
      <c r="C159" s="161" t="s">
        <v>44</v>
      </c>
      <c r="D159" s="162" t="s">
        <v>465</v>
      </c>
      <c r="E159" s="252">
        <v>46180</v>
      </c>
      <c r="F159" s="164">
        <v>8</v>
      </c>
      <c r="G159" s="164">
        <v>5</v>
      </c>
      <c r="H159" s="164" t="s">
        <v>1497</v>
      </c>
    </row>
    <row r="160" ht="16" spans="1:8">
      <c r="A160" s="161" t="s">
        <v>466</v>
      </c>
      <c r="B160" s="161" t="s">
        <v>467</v>
      </c>
      <c r="C160" s="161" t="s">
        <v>10</v>
      </c>
      <c r="D160" s="162" t="s">
        <v>468</v>
      </c>
      <c r="E160" s="252">
        <v>46181</v>
      </c>
      <c r="F160" s="164">
        <v>9</v>
      </c>
      <c r="G160" s="164">
        <v>7</v>
      </c>
      <c r="H160" s="164" t="s">
        <v>1498</v>
      </c>
    </row>
    <row r="161" ht="16" spans="1:8">
      <c r="A161" s="161" t="s">
        <v>469</v>
      </c>
      <c r="B161" s="161" t="s">
        <v>470</v>
      </c>
      <c r="C161" s="161" t="s">
        <v>13</v>
      </c>
      <c r="D161" s="162" t="s">
        <v>471</v>
      </c>
      <c r="E161" s="252">
        <v>46182</v>
      </c>
      <c r="F161" s="164">
        <v>4</v>
      </c>
      <c r="G161" s="164">
        <v>5</v>
      </c>
      <c r="H161" s="164" t="s">
        <v>1499</v>
      </c>
    </row>
    <row r="162" ht="16" spans="1:8">
      <c r="A162" s="161" t="s">
        <v>472</v>
      </c>
      <c r="B162" s="161" t="s">
        <v>473</v>
      </c>
      <c r="C162" s="161" t="s">
        <v>44</v>
      </c>
      <c r="D162" s="162" t="s">
        <v>474</v>
      </c>
      <c r="E162" s="252">
        <v>46183</v>
      </c>
      <c r="F162" s="164">
        <v>3</v>
      </c>
      <c r="G162" s="164">
        <v>6</v>
      </c>
      <c r="H162" s="164" t="s">
        <v>1500</v>
      </c>
    </row>
    <row r="163" ht="16" spans="1:8">
      <c r="A163" s="161" t="s">
        <v>475</v>
      </c>
      <c r="B163" s="161" t="s">
        <v>476</v>
      </c>
      <c r="C163" s="161" t="s">
        <v>7</v>
      </c>
      <c r="D163" s="162" t="s">
        <v>477</v>
      </c>
      <c r="E163" s="252">
        <v>46184</v>
      </c>
      <c r="F163" s="164">
        <v>8</v>
      </c>
      <c r="G163" s="164">
        <v>7</v>
      </c>
      <c r="H163" s="164" t="s">
        <v>1501</v>
      </c>
    </row>
    <row r="164" ht="16" spans="1:8">
      <c r="A164" s="161" t="s">
        <v>478</v>
      </c>
      <c r="B164" s="161" t="s">
        <v>479</v>
      </c>
      <c r="C164" s="161" t="s">
        <v>7</v>
      </c>
      <c r="D164" s="162" t="s">
        <v>480</v>
      </c>
      <c r="E164" s="252">
        <v>46185</v>
      </c>
      <c r="F164" s="164">
        <v>2</v>
      </c>
      <c r="G164" s="164">
        <v>8</v>
      </c>
      <c r="H164" s="164" t="s">
        <v>1495</v>
      </c>
    </row>
    <row r="165" ht="16" spans="1:8">
      <c r="A165" s="161" t="s">
        <v>481</v>
      </c>
      <c r="B165" s="161" t="s">
        <v>482</v>
      </c>
      <c r="C165" s="161" t="s">
        <v>13</v>
      </c>
      <c r="D165" s="162" t="s">
        <v>483</v>
      </c>
      <c r="E165" s="252">
        <v>46186</v>
      </c>
      <c r="F165" s="164">
        <v>9</v>
      </c>
      <c r="G165" s="164">
        <v>9</v>
      </c>
      <c r="H165" s="164" t="s">
        <v>1497</v>
      </c>
    </row>
    <row r="166" ht="16" spans="1:8">
      <c r="A166" s="161" t="s">
        <v>484</v>
      </c>
      <c r="B166" s="161" t="s">
        <v>485</v>
      </c>
      <c r="C166" s="161" t="s">
        <v>10</v>
      </c>
      <c r="D166" s="162" t="s">
        <v>486</v>
      </c>
      <c r="E166" s="252">
        <v>46187</v>
      </c>
      <c r="F166" s="164">
        <v>5</v>
      </c>
      <c r="G166" s="164">
        <v>4</v>
      </c>
      <c r="H166" s="164" t="s">
        <v>1498</v>
      </c>
    </row>
    <row r="167" ht="16" spans="1:8">
      <c r="A167" s="161" t="s">
        <v>487</v>
      </c>
      <c r="B167" s="161" t="s">
        <v>488</v>
      </c>
      <c r="C167" s="161" t="s">
        <v>13</v>
      </c>
      <c r="D167" s="162" t="s">
        <v>489</v>
      </c>
      <c r="E167" s="252">
        <v>46188</v>
      </c>
      <c r="F167" s="164">
        <v>3</v>
      </c>
      <c r="G167" s="164">
        <v>3</v>
      </c>
      <c r="H167" s="164" t="s">
        <v>1499</v>
      </c>
    </row>
    <row r="168" ht="16" spans="1:8">
      <c r="A168" s="161" t="s">
        <v>490</v>
      </c>
      <c r="B168" s="161" t="s">
        <v>491</v>
      </c>
      <c r="C168" s="161" t="s">
        <v>44</v>
      </c>
      <c r="D168" s="162" t="s">
        <v>492</v>
      </c>
      <c r="E168" s="252">
        <v>46189</v>
      </c>
      <c r="F168" s="164">
        <v>5</v>
      </c>
      <c r="G168" s="164">
        <v>8</v>
      </c>
      <c r="H168" s="164" t="s">
        <v>1500</v>
      </c>
    </row>
    <row r="169" ht="16" spans="1:8">
      <c r="A169" s="161" t="s">
        <v>493</v>
      </c>
      <c r="B169" s="161" t="s">
        <v>494</v>
      </c>
      <c r="C169" s="161" t="s">
        <v>10</v>
      </c>
      <c r="D169" s="162" t="s">
        <v>495</v>
      </c>
      <c r="E169" s="252">
        <v>46190</v>
      </c>
      <c r="F169" s="164">
        <v>7</v>
      </c>
      <c r="G169" s="164">
        <v>2</v>
      </c>
      <c r="H169" s="164" t="s">
        <v>1501</v>
      </c>
    </row>
    <row r="170" ht="16" spans="1:8">
      <c r="A170" s="161" t="s">
        <v>496</v>
      </c>
      <c r="B170" s="161" t="s">
        <v>497</v>
      </c>
      <c r="C170" s="161" t="s">
        <v>13</v>
      </c>
      <c r="D170" s="162" t="s">
        <v>498</v>
      </c>
      <c r="E170" s="252">
        <v>46191</v>
      </c>
      <c r="F170" s="164">
        <v>5</v>
      </c>
      <c r="G170" s="164">
        <v>9</v>
      </c>
      <c r="H170" s="164" t="s">
        <v>1495</v>
      </c>
    </row>
    <row r="171" ht="16" spans="1:8">
      <c r="A171" s="161" t="s">
        <v>499</v>
      </c>
      <c r="B171" s="161" t="s">
        <v>500</v>
      </c>
      <c r="C171" s="161" t="s">
        <v>44</v>
      </c>
      <c r="D171" s="162" t="s">
        <v>501</v>
      </c>
      <c r="E171" s="252">
        <v>46192</v>
      </c>
      <c r="F171" s="164">
        <v>6</v>
      </c>
      <c r="G171" s="164">
        <v>5</v>
      </c>
      <c r="H171" s="164" t="s">
        <v>1497</v>
      </c>
    </row>
    <row r="172" ht="16" spans="1:8">
      <c r="A172" s="161" t="s">
        <v>502</v>
      </c>
      <c r="B172" s="161" t="s">
        <v>503</v>
      </c>
      <c r="C172" s="161" t="s">
        <v>44</v>
      </c>
      <c r="D172" s="162" t="s">
        <v>504</v>
      </c>
      <c r="E172" s="252">
        <v>46193</v>
      </c>
      <c r="F172" s="164">
        <v>7</v>
      </c>
      <c r="G172" s="164">
        <v>3</v>
      </c>
      <c r="H172" s="164" t="s">
        <v>1498</v>
      </c>
    </row>
    <row r="173" ht="16" spans="1:8">
      <c r="A173" s="161" t="s">
        <v>505</v>
      </c>
      <c r="B173" s="161" t="s">
        <v>506</v>
      </c>
      <c r="C173" s="161" t="s">
        <v>7</v>
      </c>
      <c r="D173" s="162" t="s">
        <v>507</v>
      </c>
      <c r="E173" s="252">
        <v>46194</v>
      </c>
      <c r="F173" s="164">
        <v>8</v>
      </c>
      <c r="G173" s="164">
        <v>5</v>
      </c>
      <c r="H173" s="164" t="s">
        <v>1499</v>
      </c>
    </row>
    <row r="174" ht="16" spans="1:8">
      <c r="A174" s="161" t="s">
        <v>508</v>
      </c>
      <c r="B174" s="161" t="s">
        <v>509</v>
      </c>
      <c r="C174" s="161" t="s">
        <v>7</v>
      </c>
      <c r="D174" s="162" t="s">
        <v>510</v>
      </c>
      <c r="E174" s="252">
        <v>46195</v>
      </c>
      <c r="F174" s="164">
        <v>9</v>
      </c>
      <c r="G174" s="164">
        <v>7</v>
      </c>
      <c r="H174" s="164" t="s">
        <v>1500</v>
      </c>
    </row>
    <row r="175" ht="16" spans="1:8">
      <c r="A175" s="161" t="s">
        <v>511</v>
      </c>
      <c r="B175" s="161" t="s">
        <v>512</v>
      </c>
      <c r="C175" s="161" t="s">
        <v>44</v>
      </c>
      <c r="D175" s="162" t="s">
        <v>513</v>
      </c>
      <c r="E175" s="252">
        <v>46196</v>
      </c>
      <c r="F175" s="164">
        <v>4</v>
      </c>
      <c r="G175" s="164">
        <v>5</v>
      </c>
      <c r="H175" s="164" t="s">
        <v>1501</v>
      </c>
    </row>
    <row r="176" ht="16" spans="1:8">
      <c r="A176" s="161" t="s">
        <v>514</v>
      </c>
      <c r="B176" s="161" t="s">
        <v>515</v>
      </c>
      <c r="C176" s="161" t="s">
        <v>10</v>
      </c>
      <c r="D176" s="162" t="s">
        <v>516</v>
      </c>
      <c r="E176" s="252">
        <v>46197</v>
      </c>
      <c r="F176" s="164">
        <v>3</v>
      </c>
      <c r="G176" s="164">
        <v>6</v>
      </c>
      <c r="H176" s="164" t="s">
        <v>1495</v>
      </c>
    </row>
    <row r="177" ht="16" spans="1:8">
      <c r="A177" s="161" t="s">
        <v>517</v>
      </c>
      <c r="B177" s="161" t="s">
        <v>518</v>
      </c>
      <c r="C177" s="161" t="s">
        <v>33</v>
      </c>
      <c r="D177" s="162" t="s">
        <v>519</v>
      </c>
      <c r="E177" s="252">
        <v>46198</v>
      </c>
      <c r="F177" s="164">
        <v>8</v>
      </c>
      <c r="G177" s="164">
        <v>7</v>
      </c>
      <c r="H177" s="164" t="s">
        <v>1497</v>
      </c>
    </row>
    <row r="178" ht="16" spans="1:8">
      <c r="A178" s="161" t="s">
        <v>520</v>
      </c>
      <c r="B178" s="161" t="s">
        <v>521</v>
      </c>
      <c r="C178" s="161" t="s">
        <v>44</v>
      </c>
      <c r="D178" s="162" t="s">
        <v>522</v>
      </c>
      <c r="E178" s="252">
        <v>46199</v>
      </c>
      <c r="F178" s="164">
        <v>2</v>
      </c>
      <c r="G178" s="164">
        <v>8</v>
      </c>
      <c r="H178" s="164" t="s">
        <v>1498</v>
      </c>
    </row>
    <row r="179" ht="16" spans="1:8">
      <c r="A179" s="161" t="s">
        <v>523</v>
      </c>
      <c r="B179" s="161" t="s">
        <v>524</v>
      </c>
      <c r="C179" s="161" t="s">
        <v>7</v>
      </c>
      <c r="D179" s="162" t="s">
        <v>525</v>
      </c>
      <c r="E179" s="252">
        <v>46200</v>
      </c>
      <c r="F179" s="164">
        <v>9</v>
      </c>
      <c r="G179" s="164">
        <v>9</v>
      </c>
      <c r="H179" s="164" t="s">
        <v>1499</v>
      </c>
    </row>
    <row r="180" ht="16" spans="1:8">
      <c r="A180" s="161" t="s">
        <v>526</v>
      </c>
      <c r="B180" s="161" t="s">
        <v>527</v>
      </c>
      <c r="C180" s="161" t="s">
        <v>33</v>
      </c>
      <c r="D180" s="162" t="s">
        <v>528</v>
      </c>
      <c r="E180" s="252">
        <v>46201</v>
      </c>
      <c r="F180" s="164">
        <v>5</v>
      </c>
      <c r="G180" s="164">
        <v>4</v>
      </c>
      <c r="H180" s="164" t="s">
        <v>1500</v>
      </c>
    </row>
    <row r="181" ht="16" spans="1:8">
      <c r="A181" s="161" t="s">
        <v>529</v>
      </c>
      <c r="B181" s="161" t="s">
        <v>530</v>
      </c>
      <c r="C181" s="161" t="s">
        <v>44</v>
      </c>
      <c r="D181" s="162" t="s">
        <v>531</v>
      </c>
      <c r="E181" s="252">
        <v>46202</v>
      </c>
      <c r="F181" s="164">
        <v>3</v>
      </c>
      <c r="G181" s="164">
        <v>3</v>
      </c>
      <c r="H181" s="164" t="s">
        <v>1501</v>
      </c>
    </row>
    <row r="182" ht="16" spans="1:8">
      <c r="A182" s="161" t="s">
        <v>532</v>
      </c>
      <c r="B182" s="161" t="s">
        <v>533</v>
      </c>
      <c r="C182" s="161" t="s">
        <v>44</v>
      </c>
      <c r="D182" s="162" t="s">
        <v>534</v>
      </c>
      <c r="E182" s="252">
        <v>46203</v>
      </c>
      <c r="F182" s="164">
        <v>5</v>
      </c>
      <c r="G182" s="164">
        <v>8</v>
      </c>
      <c r="H182" s="164" t="s">
        <v>1495</v>
      </c>
    </row>
    <row r="183" ht="16" spans="1:8">
      <c r="A183" s="161" t="s">
        <v>535</v>
      </c>
      <c r="B183" s="161" t="s">
        <v>536</v>
      </c>
      <c r="C183" s="161" t="s">
        <v>7</v>
      </c>
      <c r="D183" s="162" t="s">
        <v>537</v>
      </c>
      <c r="E183" s="252">
        <v>46204</v>
      </c>
      <c r="F183" s="164">
        <v>7</v>
      </c>
      <c r="G183" s="164">
        <v>2</v>
      </c>
      <c r="H183" s="164" t="s">
        <v>1497</v>
      </c>
    </row>
    <row r="184" ht="16" spans="1:8">
      <c r="A184" s="161" t="s">
        <v>538</v>
      </c>
      <c r="B184" s="161" t="s">
        <v>539</v>
      </c>
      <c r="C184" s="161" t="s">
        <v>13</v>
      </c>
      <c r="D184" s="162" t="s">
        <v>540</v>
      </c>
      <c r="E184" s="252">
        <v>46205</v>
      </c>
      <c r="F184" s="164">
        <v>5</v>
      </c>
      <c r="G184" s="164">
        <v>9</v>
      </c>
      <c r="H184" s="164" t="s">
        <v>1498</v>
      </c>
    </row>
    <row r="185" ht="16" spans="1:8">
      <c r="A185" s="161" t="s">
        <v>541</v>
      </c>
      <c r="B185" s="161" t="s">
        <v>542</v>
      </c>
      <c r="C185" s="161" t="s">
        <v>44</v>
      </c>
      <c r="D185" s="162" t="s">
        <v>543</v>
      </c>
      <c r="E185" s="252">
        <v>46206</v>
      </c>
      <c r="F185" s="164">
        <v>6</v>
      </c>
      <c r="G185" s="164">
        <v>5</v>
      </c>
      <c r="H185" s="164" t="s">
        <v>1499</v>
      </c>
    </row>
    <row r="186" ht="16" spans="1:8">
      <c r="A186" s="161" t="s">
        <v>544</v>
      </c>
      <c r="B186" s="161" t="s">
        <v>545</v>
      </c>
      <c r="C186" s="161" t="s">
        <v>44</v>
      </c>
      <c r="D186" s="162" t="s">
        <v>546</v>
      </c>
      <c r="E186" s="252">
        <v>46207</v>
      </c>
      <c r="F186" s="164">
        <v>7</v>
      </c>
      <c r="G186" s="164">
        <v>3</v>
      </c>
      <c r="H186" s="164" t="s">
        <v>1500</v>
      </c>
    </row>
    <row r="187" ht="16" spans="1:8">
      <c r="A187" s="161" t="s">
        <v>547</v>
      </c>
      <c r="B187" s="161" t="s">
        <v>548</v>
      </c>
      <c r="C187" s="161" t="s">
        <v>33</v>
      </c>
      <c r="D187" s="162" t="s">
        <v>549</v>
      </c>
      <c r="E187" s="252">
        <v>46208</v>
      </c>
      <c r="F187" s="164">
        <v>8</v>
      </c>
      <c r="G187" s="164">
        <v>5</v>
      </c>
      <c r="H187" s="164" t="s">
        <v>1501</v>
      </c>
    </row>
    <row r="188" ht="16" spans="1:8">
      <c r="A188" s="161" t="s">
        <v>550</v>
      </c>
      <c r="B188" s="161" t="s">
        <v>551</v>
      </c>
      <c r="C188" s="161" t="s">
        <v>44</v>
      </c>
      <c r="D188" s="162" t="s">
        <v>552</v>
      </c>
      <c r="E188" s="252">
        <v>46209</v>
      </c>
      <c r="F188" s="164">
        <v>9</v>
      </c>
      <c r="G188" s="164">
        <v>7</v>
      </c>
      <c r="H188" s="164" t="s">
        <v>1495</v>
      </c>
    </row>
    <row r="189" ht="16" spans="1:8">
      <c r="A189" s="161" t="s">
        <v>553</v>
      </c>
      <c r="B189" s="161" t="s">
        <v>554</v>
      </c>
      <c r="C189" s="161" t="s">
        <v>13</v>
      </c>
      <c r="D189" s="162" t="s">
        <v>555</v>
      </c>
      <c r="E189" s="252">
        <v>46210</v>
      </c>
      <c r="F189" s="164">
        <v>4</v>
      </c>
      <c r="G189" s="164">
        <v>5</v>
      </c>
      <c r="H189" s="164" t="s">
        <v>1497</v>
      </c>
    </row>
    <row r="190" ht="16" spans="1:8">
      <c r="A190" s="161" t="s">
        <v>556</v>
      </c>
      <c r="B190" s="161" t="s">
        <v>557</v>
      </c>
      <c r="C190" s="161" t="s">
        <v>33</v>
      </c>
      <c r="D190" s="162" t="s">
        <v>558</v>
      </c>
      <c r="E190" s="252">
        <v>46211</v>
      </c>
      <c r="F190" s="164">
        <v>3</v>
      </c>
      <c r="G190" s="164">
        <v>6</v>
      </c>
      <c r="H190" s="164" t="s">
        <v>1498</v>
      </c>
    </row>
    <row r="191" ht="16" spans="1:8">
      <c r="A191" s="161" t="s">
        <v>559</v>
      </c>
      <c r="B191" s="161" t="s">
        <v>560</v>
      </c>
      <c r="C191" s="161" t="s">
        <v>7</v>
      </c>
      <c r="D191" s="162" t="s">
        <v>561</v>
      </c>
      <c r="E191" s="252">
        <v>46212</v>
      </c>
      <c r="F191" s="164">
        <v>8</v>
      </c>
      <c r="G191" s="164">
        <v>7</v>
      </c>
      <c r="H191" s="164" t="s">
        <v>1499</v>
      </c>
    </row>
    <row r="192" ht="16" spans="1:8">
      <c r="A192" s="161" t="s">
        <v>562</v>
      </c>
      <c r="B192" s="161" t="s">
        <v>563</v>
      </c>
      <c r="C192" s="161" t="s">
        <v>13</v>
      </c>
      <c r="D192" s="162" t="s">
        <v>564</v>
      </c>
      <c r="E192" s="252">
        <v>46213</v>
      </c>
      <c r="F192" s="164">
        <v>2</v>
      </c>
      <c r="G192" s="164">
        <v>8</v>
      </c>
      <c r="H192" s="164" t="s">
        <v>1500</v>
      </c>
    </row>
    <row r="193" ht="16" spans="1:8">
      <c r="A193" s="161" t="s">
        <v>565</v>
      </c>
      <c r="B193" s="161" t="s">
        <v>566</v>
      </c>
      <c r="C193" s="161" t="s">
        <v>33</v>
      </c>
      <c r="D193" s="162" t="s">
        <v>567</v>
      </c>
      <c r="E193" s="252">
        <v>46214</v>
      </c>
      <c r="F193" s="164">
        <v>9</v>
      </c>
      <c r="G193" s="164">
        <v>9</v>
      </c>
      <c r="H193" s="164" t="s">
        <v>1501</v>
      </c>
    </row>
    <row r="194" ht="16" spans="1:8">
      <c r="A194" s="161" t="s">
        <v>568</v>
      </c>
      <c r="B194" s="161" t="s">
        <v>569</v>
      </c>
      <c r="C194" s="161" t="s">
        <v>33</v>
      </c>
      <c r="D194" s="162" t="s">
        <v>570</v>
      </c>
      <c r="E194" s="252">
        <v>46215</v>
      </c>
      <c r="F194" s="164">
        <v>5</v>
      </c>
      <c r="G194" s="164">
        <v>4</v>
      </c>
      <c r="H194" s="164" t="s">
        <v>1495</v>
      </c>
    </row>
    <row r="195" ht="16" spans="1:8">
      <c r="A195" s="161" t="s">
        <v>571</v>
      </c>
      <c r="B195" s="161" t="s">
        <v>572</v>
      </c>
      <c r="C195" s="161" t="s">
        <v>33</v>
      </c>
      <c r="D195" s="162" t="s">
        <v>573</v>
      </c>
      <c r="E195" s="252">
        <v>46216</v>
      </c>
      <c r="F195" s="164">
        <v>3</v>
      </c>
      <c r="G195" s="164">
        <v>3</v>
      </c>
      <c r="H195" s="164" t="s">
        <v>1497</v>
      </c>
    </row>
    <row r="196" ht="16" spans="1:8">
      <c r="A196" s="161" t="s">
        <v>574</v>
      </c>
      <c r="B196" s="161" t="s">
        <v>575</v>
      </c>
      <c r="C196" s="161" t="s">
        <v>7</v>
      </c>
      <c r="D196" s="162" t="s">
        <v>576</v>
      </c>
      <c r="E196" s="252">
        <v>46217</v>
      </c>
      <c r="F196" s="164">
        <v>5</v>
      </c>
      <c r="G196" s="164">
        <v>8</v>
      </c>
      <c r="H196" s="164" t="s">
        <v>1498</v>
      </c>
    </row>
    <row r="197" ht="16" spans="1:8">
      <c r="A197" s="161" t="s">
        <v>577</v>
      </c>
      <c r="B197" s="161" t="s">
        <v>578</v>
      </c>
      <c r="C197" s="161" t="s">
        <v>7</v>
      </c>
      <c r="D197" s="162" t="s">
        <v>579</v>
      </c>
      <c r="E197" s="252">
        <v>46218</v>
      </c>
      <c r="F197" s="164">
        <v>7</v>
      </c>
      <c r="G197" s="164">
        <v>2</v>
      </c>
      <c r="H197" s="164" t="s">
        <v>1499</v>
      </c>
    </row>
    <row r="198" ht="16" spans="1:8">
      <c r="A198" s="161" t="s">
        <v>580</v>
      </c>
      <c r="B198" s="161" t="s">
        <v>581</v>
      </c>
      <c r="C198" s="161" t="s">
        <v>33</v>
      </c>
      <c r="D198" s="162" t="s">
        <v>582</v>
      </c>
      <c r="E198" s="252">
        <v>46219</v>
      </c>
      <c r="F198" s="164">
        <v>5</v>
      </c>
      <c r="G198" s="164">
        <v>9</v>
      </c>
      <c r="H198" s="164" t="s">
        <v>1500</v>
      </c>
    </row>
    <row r="199" ht="16" spans="1:8">
      <c r="A199" s="161" t="s">
        <v>583</v>
      </c>
      <c r="B199" s="161" t="s">
        <v>584</v>
      </c>
      <c r="C199" s="161" t="s">
        <v>33</v>
      </c>
      <c r="D199" s="162" t="s">
        <v>585</v>
      </c>
      <c r="E199" s="252">
        <v>46220</v>
      </c>
      <c r="F199" s="164">
        <v>6</v>
      </c>
      <c r="G199" s="164">
        <v>5</v>
      </c>
      <c r="H199" s="164" t="s">
        <v>1501</v>
      </c>
    </row>
    <row r="200" ht="16" spans="1:8">
      <c r="A200" s="161" t="s">
        <v>586</v>
      </c>
      <c r="B200" s="161" t="s">
        <v>587</v>
      </c>
      <c r="C200" s="161" t="s">
        <v>10</v>
      </c>
      <c r="D200" s="162" t="s">
        <v>588</v>
      </c>
      <c r="E200" s="252">
        <v>46221</v>
      </c>
      <c r="F200" s="164">
        <v>7</v>
      </c>
      <c r="G200" s="164">
        <v>3</v>
      </c>
      <c r="H200" s="164" t="s">
        <v>1495</v>
      </c>
    </row>
    <row r="201" ht="16" spans="1:8">
      <c r="A201" s="161" t="s">
        <v>589</v>
      </c>
      <c r="B201" s="161" t="s">
        <v>590</v>
      </c>
      <c r="C201" s="161" t="s">
        <v>10</v>
      </c>
      <c r="D201" s="162" t="s">
        <v>591</v>
      </c>
      <c r="E201" s="252">
        <v>46222</v>
      </c>
      <c r="F201" s="164">
        <v>8</v>
      </c>
      <c r="G201" s="164">
        <v>5</v>
      </c>
      <c r="H201" s="164" t="s">
        <v>1497</v>
      </c>
    </row>
    <row r="202" ht="16" spans="1:8">
      <c r="A202" s="161" t="s">
        <v>592</v>
      </c>
      <c r="B202" s="161" t="s">
        <v>593</v>
      </c>
      <c r="C202" s="161" t="s">
        <v>33</v>
      </c>
      <c r="D202" s="162" t="s">
        <v>594</v>
      </c>
      <c r="E202" s="252">
        <v>46223</v>
      </c>
      <c r="F202" s="164">
        <v>9</v>
      </c>
      <c r="G202" s="164">
        <v>7</v>
      </c>
      <c r="H202" s="164" t="s">
        <v>1498</v>
      </c>
    </row>
    <row r="203" ht="16" spans="1:8">
      <c r="A203" s="161" t="s">
        <v>595</v>
      </c>
      <c r="B203" s="161" t="s">
        <v>596</v>
      </c>
      <c r="C203" s="161" t="s">
        <v>13</v>
      </c>
      <c r="D203" s="162" t="s">
        <v>597</v>
      </c>
      <c r="E203" s="252">
        <v>46224</v>
      </c>
      <c r="F203" s="164">
        <v>4</v>
      </c>
      <c r="G203" s="164">
        <v>5</v>
      </c>
      <c r="H203" s="164" t="s">
        <v>1499</v>
      </c>
    </row>
    <row r="204" ht="16" spans="1:8">
      <c r="A204" s="161" t="s">
        <v>598</v>
      </c>
      <c r="B204" s="161" t="s">
        <v>599</v>
      </c>
      <c r="C204" s="161" t="s">
        <v>33</v>
      </c>
      <c r="D204" s="162" t="s">
        <v>600</v>
      </c>
      <c r="E204" s="252">
        <v>46225</v>
      </c>
      <c r="F204" s="164">
        <v>3</v>
      </c>
      <c r="G204" s="164">
        <v>6</v>
      </c>
      <c r="H204" s="164" t="s">
        <v>1500</v>
      </c>
    </row>
    <row r="205" ht="16" spans="1:8">
      <c r="A205" s="161" t="s">
        <v>601</v>
      </c>
      <c r="B205" s="161" t="s">
        <v>602</v>
      </c>
      <c r="C205" s="161" t="s">
        <v>33</v>
      </c>
      <c r="D205" s="162" t="s">
        <v>603</v>
      </c>
      <c r="E205" s="252">
        <v>46226</v>
      </c>
      <c r="F205" s="164">
        <v>8</v>
      </c>
      <c r="G205" s="164">
        <v>7</v>
      </c>
      <c r="H205" s="164" t="s">
        <v>1501</v>
      </c>
    </row>
    <row r="206" ht="16" spans="1:8">
      <c r="A206" s="161" t="s">
        <v>604</v>
      </c>
      <c r="B206" s="161" t="s">
        <v>605</v>
      </c>
      <c r="C206" s="161" t="s">
        <v>10</v>
      </c>
      <c r="D206" s="162" t="s">
        <v>606</v>
      </c>
      <c r="E206" s="252">
        <v>46227</v>
      </c>
      <c r="F206" s="164">
        <v>2</v>
      </c>
      <c r="G206" s="164">
        <v>8</v>
      </c>
      <c r="H206" s="164" t="s">
        <v>1495</v>
      </c>
    </row>
    <row r="207" ht="16" spans="1:8">
      <c r="A207" s="161" t="s">
        <v>607</v>
      </c>
      <c r="B207" s="161" t="s">
        <v>608</v>
      </c>
      <c r="C207" s="161" t="s">
        <v>13</v>
      </c>
      <c r="D207" s="162" t="s">
        <v>609</v>
      </c>
      <c r="E207" s="252">
        <v>46228</v>
      </c>
      <c r="F207" s="164">
        <v>9</v>
      </c>
      <c r="G207" s="164">
        <v>9</v>
      </c>
      <c r="H207" s="164" t="s">
        <v>1497</v>
      </c>
    </row>
    <row r="208" ht="16" spans="1:8">
      <c r="A208" s="161" t="s">
        <v>610</v>
      </c>
      <c r="B208" s="161" t="s">
        <v>611</v>
      </c>
      <c r="C208" s="161" t="s">
        <v>10</v>
      </c>
      <c r="D208" s="162" t="s">
        <v>612</v>
      </c>
      <c r="E208" s="252">
        <v>46229</v>
      </c>
      <c r="F208" s="164">
        <v>5</v>
      </c>
      <c r="G208" s="164">
        <v>4</v>
      </c>
      <c r="H208" s="164" t="s">
        <v>1498</v>
      </c>
    </row>
    <row r="209" ht="16" spans="1:8">
      <c r="A209" s="161" t="s">
        <v>613</v>
      </c>
      <c r="B209" s="161" t="s">
        <v>614</v>
      </c>
      <c r="C209" s="161" t="s">
        <v>7</v>
      </c>
      <c r="D209" s="162" t="s">
        <v>615</v>
      </c>
      <c r="E209" s="252">
        <v>46230</v>
      </c>
      <c r="F209" s="164">
        <v>3</v>
      </c>
      <c r="G209" s="164">
        <v>3</v>
      </c>
      <c r="H209" s="164" t="s">
        <v>1499</v>
      </c>
    </row>
    <row r="210" ht="16" spans="1:8">
      <c r="A210" s="161" t="s">
        <v>616</v>
      </c>
      <c r="B210" s="161" t="s">
        <v>617</v>
      </c>
      <c r="C210" s="161" t="s">
        <v>33</v>
      </c>
      <c r="D210" s="162" t="s">
        <v>618</v>
      </c>
      <c r="E210" s="252">
        <v>46231</v>
      </c>
      <c r="F210" s="164">
        <v>5</v>
      </c>
      <c r="G210" s="164">
        <v>8</v>
      </c>
      <c r="H210" s="164" t="s">
        <v>1500</v>
      </c>
    </row>
    <row r="211" ht="16" spans="1:8">
      <c r="A211" s="161" t="s">
        <v>619</v>
      </c>
      <c r="B211" s="161" t="s">
        <v>620</v>
      </c>
      <c r="C211" s="161" t="s">
        <v>7</v>
      </c>
      <c r="D211" s="162" t="s">
        <v>621</v>
      </c>
      <c r="E211" s="252">
        <v>46232</v>
      </c>
      <c r="F211" s="164">
        <v>7</v>
      </c>
      <c r="G211" s="164">
        <v>2</v>
      </c>
      <c r="H211" s="164" t="s">
        <v>1501</v>
      </c>
    </row>
    <row r="212" ht="16" spans="1:8">
      <c r="A212" s="161" t="s">
        <v>622</v>
      </c>
      <c r="B212" s="161" t="s">
        <v>623</v>
      </c>
      <c r="C212" s="161" t="s">
        <v>44</v>
      </c>
      <c r="D212" s="162" t="s">
        <v>624</v>
      </c>
      <c r="E212" s="252">
        <v>46233</v>
      </c>
      <c r="F212" s="164">
        <v>5</v>
      </c>
      <c r="G212" s="164">
        <v>9</v>
      </c>
      <c r="H212" s="164" t="s">
        <v>1495</v>
      </c>
    </row>
    <row r="213" ht="16" spans="1:8">
      <c r="A213" s="161" t="s">
        <v>625</v>
      </c>
      <c r="B213" s="161" t="s">
        <v>626</v>
      </c>
      <c r="C213" s="161" t="s">
        <v>44</v>
      </c>
      <c r="D213" s="162" t="s">
        <v>627</v>
      </c>
      <c r="E213" s="252">
        <v>46234</v>
      </c>
      <c r="F213" s="164">
        <v>6</v>
      </c>
      <c r="G213" s="164">
        <v>5</v>
      </c>
      <c r="H213" s="164" t="s">
        <v>1497</v>
      </c>
    </row>
    <row r="214" ht="16" spans="1:8">
      <c r="A214" s="161" t="s">
        <v>628</v>
      </c>
      <c r="B214" s="161" t="s">
        <v>629</v>
      </c>
      <c r="C214" s="161" t="s">
        <v>44</v>
      </c>
      <c r="D214" s="162" t="s">
        <v>630</v>
      </c>
      <c r="E214" s="252">
        <v>46235</v>
      </c>
      <c r="F214" s="164">
        <v>7</v>
      </c>
      <c r="G214" s="164">
        <v>3</v>
      </c>
      <c r="H214" s="164" t="s">
        <v>1498</v>
      </c>
    </row>
    <row r="215" ht="16" spans="1:8">
      <c r="A215" s="161" t="s">
        <v>631</v>
      </c>
      <c r="B215" s="161" t="s">
        <v>632</v>
      </c>
      <c r="C215" s="161" t="s">
        <v>10</v>
      </c>
      <c r="D215" s="162" t="s">
        <v>633</v>
      </c>
      <c r="E215" s="252">
        <v>46236</v>
      </c>
      <c r="F215" s="164">
        <v>8</v>
      </c>
      <c r="G215" s="164">
        <v>5</v>
      </c>
      <c r="H215" s="164" t="s">
        <v>1499</v>
      </c>
    </row>
    <row r="216" ht="16" spans="1:8">
      <c r="A216" s="161" t="s">
        <v>634</v>
      </c>
      <c r="B216" s="161" t="s">
        <v>635</v>
      </c>
      <c r="C216" s="161" t="s">
        <v>33</v>
      </c>
      <c r="D216" s="162" t="s">
        <v>636</v>
      </c>
      <c r="E216" s="252">
        <v>46237</v>
      </c>
      <c r="F216" s="164">
        <v>9</v>
      </c>
      <c r="G216" s="164">
        <v>7</v>
      </c>
      <c r="H216" s="164" t="s">
        <v>1500</v>
      </c>
    </row>
    <row r="217" ht="16" spans="1:8">
      <c r="A217" s="161" t="s">
        <v>637</v>
      </c>
      <c r="B217" s="161" t="s">
        <v>638</v>
      </c>
      <c r="C217" s="161" t="s">
        <v>44</v>
      </c>
      <c r="D217" s="162" t="s">
        <v>639</v>
      </c>
      <c r="E217" s="252">
        <v>46238</v>
      </c>
      <c r="F217" s="164">
        <v>4</v>
      </c>
      <c r="G217" s="164">
        <v>5</v>
      </c>
      <c r="H217" s="164" t="s">
        <v>1501</v>
      </c>
    </row>
    <row r="218" ht="16" spans="1:8">
      <c r="A218" s="161" t="s">
        <v>640</v>
      </c>
      <c r="B218" s="161" t="s">
        <v>641</v>
      </c>
      <c r="C218" s="161" t="s">
        <v>44</v>
      </c>
      <c r="D218" s="162" t="s">
        <v>642</v>
      </c>
      <c r="E218" s="252">
        <v>46239</v>
      </c>
      <c r="F218" s="164">
        <v>3</v>
      </c>
      <c r="G218" s="164">
        <v>6</v>
      </c>
      <c r="H218" s="164" t="s">
        <v>1495</v>
      </c>
    </row>
    <row r="219" ht="16" spans="1:8">
      <c r="A219" s="161" t="s">
        <v>643</v>
      </c>
      <c r="B219" s="161" t="s">
        <v>644</v>
      </c>
      <c r="C219" s="161" t="s">
        <v>10</v>
      </c>
      <c r="D219" s="162" t="s">
        <v>645</v>
      </c>
      <c r="E219" s="252">
        <v>46240</v>
      </c>
      <c r="F219" s="164">
        <v>8</v>
      </c>
      <c r="G219" s="164">
        <v>7</v>
      </c>
      <c r="H219" s="164" t="s">
        <v>1497</v>
      </c>
    </row>
    <row r="220" ht="16" spans="1:8">
      <c r="A220" s="161" t="s">
        <v>646</v>
      </c>
      <c r="B220" s="161" t="s">
        <v>647</v>
      </c>
      <c r="C220" s="161" t="s">
        <v>33</v>
      </c>
      <c r="D220" s="162" t="s">
        <v>648</v>
      </c>
      <c r="E220" s="252">
        <v>46241</v>
      </c>
      <c r="F220" s="164">
        <v>2</v>
      </c>
      <c r="G220" s="164">
        <v>8</v>
      </c>
      <c r="H220" s="164" t="s">
        <v>1498</v>
      </c>
    </row>
    <row r="221" ht="16" spans="1:8">
      <c r="A221" s="161" t="s">
        <v>649</v>
      </c>
      <c r="B221" s="161" t="s">
        <v>650</v>
      </c>
      <c r="C221" s="161" t="s">
        <v>33</v>
      </c>
      <c r="D221" s="162" t="s">
        <v>651</v>
      </c>
      <c r="E221" s="252">
        <v>46242</v>
      </c>
      <c r="F221" s="164">
        <v>9</v>
      </c>
      <c r="G221" s="164">
        <v>9</v>
      </c>
      <c r="H221" s="164" t="s">
        <v>1499</v>
      </c>
    </row>
    <row r="222" ht="16" spans="1:8">
      <c r="A222" s="161" t="s">
        <v>652</v>
      </c>
      <c r="B222" s="161" t="s">
        <v>653</v>
      </c>
      <c r="C222" s="161" t="s">
        <v>44</v>
      </c>
      <c r="D222" s="162" t="s">
        <v>654</v>
      </c>
      <c r="E222" s="252">
        <v>46243</v>
      </c>
      <c r="F222" s="164">
        <v>5</v>
      </c>
      <c r="G222" s="164">
        <v>4</v>
      </c>
      <c r="H222" s="164" t="s">
        <v>1500</v>
      </c>
    </row>
    <row r="223" ht="16" spans="1:8">
      <c r="A223" s="161" t="s">
        <v>655</v>
      </c>
      <c r="B223" s="161" t="s">
        <v>656</v>
      </c>
      <c r="C223" s="161" t="s">
        <v>10</v>
      </c>
      <c r="D223" s="162" t="s">
        <v>657</v>
      </c>
      <c r="E223" s="252">
        <v>46244</v>
      </c>
      <c r="F223" s="164">
        <v>3</v>
      </c>
      <c r="G223" s="164">
        <v>3</v>
      </c>
      <c r="H223" s="164" t="s">
        <v>1501</v>
      </c>
    </row>
    <row r="224" ht="16" spans="1:8">
      <c r="A224" s="161" t="s">
        <v>658</v>
      </c>
      <c r="B224" s="161" t="s">
        <v>659</v>
      </c>
      <c r="C224" s="161" t="s">
        <v>44</v>
      </c>
      <c r="D224" s="162" t="s">
        <v>660</v>
      </c>
      <c r="E224" s="252">
        <v>46245</v>
      </c>
      <c r="F224" s="164">
        <v>5</v>
      </c>
      <c r="G224" s="164">
        <v>8</v>
      </c>
      <c r="H224" s="164" t="s">
        <v>1495</v>
      </c>
    </row>
    <row r="225" ht="16" spans="1:8">
      <c r="A225" s="161" t="s">
        <v>661</v>
      </c>
      <c r="B225" s="161" t="s">
        <v>662</v>
      </c>
      <c r="C225" s="161" t="s">
        <v>7</v>
      </c>
      <c r="D225" s="162" t="s">
        <v>663</v>
      </c>
      <c r="E225" s="252">
        <v>46246</v>
      </c>
      <c r="F225" s="164">
        <v>7</v>
      </c>
      <c r="G225" s="164">
        <v>2</v>
      </c>
      <c r="H225" s="164" t="s">
        <v>1497</v>
      </c>
    </row>
    <row r="226" ht="16" spans="1:8">
      <c r="A226" s="161" t="s">
        <v>664</v>
      </c>
      <c r="B226" s="161" t="s">
        <v>665</v>
      </c>
      <c r="C226" s="161" t="s">
        <v>13</v>
      </c>
      <c r="D226" s="162" t="s">
        <v>666</v>
      </c>
      <c r="E226" s="252">
        <v>46247</v>
      </c>
      <c r="F226" s="164">
        <v>5</v>
      </c>
      <c r="G226" s="164">
        <v>9</v>
      </c>
      <c r="H226" s="164" t="s">
        <v>1498</v>
      </c>
    </row>
    <row r="227" ht="16" spans="1:8">
      <c r="A227" s="161" t="s">
        <v>667</v>
      </c>
      <c r="B227" s="161" t="s">
        <v>668</v>
      </c>
      <c r="C227" s="161" t="s">
        <v>33</v>
      </c>
      <c r="D227" s="162" t="s">
        <v>669</v>
      </c>
      <c r="E227" s="252">
        <v>46248</v>
      </c>
      <c r="F227" s="164">
        <v>6</v>
      </c>
      <c r="G227" s="164">
        <v>5</v>
      </c>
      <c r="H227" s="164" t="s">
        <v>1499</v>
      </c>
    </row>
    <row r="228" ht="16" spans="1:8">
      <c r="A228" s="161" t="s">
        <v>670</v>
      </c>
      <c r="B228" s="161" t="s">
        <v>671</v>
      </c>
      <c r="C228" s="161" t="s">
        <v>33</v>
      </c>
      <c r="D228" s="162" t="s">
        <v>672</v>
      </c>
      <c r="E228" s="252">
        <v>46249</v>
      </c>
      <c r="F228" s="164">
        <v>7</v>
      </c>
      <c r="G228" s="164">
        <v>3</v>
      </c>
      <c r="H228" s="164" t="s">
        <v>1500</v>
      </c>
    </row>
    <row r="229" ht="16" spans="1:8">
      <c r="A229" s="161" t="s">
        <v>673</v>
      </c>
      <c r="B229" s="161" t="s">
        <v>674</v>
      </c>
      <c r="C229" s="161" t="s">
        <v>44</v>
      </c>
      <c r="D229" s="162" t="s">
        <v>675</v>
      </c>
      <c r="E229" s="252">
        <v>46250</v>
      </c>
      <c r="F229" s="164">
        <v>8</v>
      </c>
      <c r="G229" s="164">
        <v>5</v>
      </c>
      <c r="H229" s="164" t="s">
        <v>1501</v>
      </c>
    </row>
    <row r="230" ht="16" spans="1:8">
      <c r="A230" s="161" t="s">
        <v>676</v>
      </c>
      <c r="B230" s="161" t="s">
        <v>677</v>
      </c>
      <c r="C230" s="161" t="s">
        <v>10</v>
      </c>
      <c r="D230" s="162" t="s">
        <v>678</v>
      </c>
      <c r="E230" s="252">
        <v>46251</v>
      </c>
      <c r="F230" s="164">
        <v>9</v>
      </c>
      <c r="G230" s="164">
        <v>7</v>
      </c>
      <c r="H230" s="164" t="s">
        <v>1495</v>
      </c>
    </row>
    <row r="231" ht="16" spans="1:8">
      <c r="A231" s="161" t="s">
        <v>679</v>
      </c>
      <c r="B231" s="161" t="s">
        <v>680</v>
      </c>
      <c r="C231" s="161" t="s">
        <v>10</v>
      </c>
      <c r="D231" s="162" t="s">
        <v>681</v>
      </c>
      <c r="E231" s="252">
        <v>46252</v>
      </c>
      <c r="F231" s="164">
        <v>4</v>
      </c>
      <c r="G231" s="164">
        <v>5</v>
      </c>
      <c r="H231" s="164" t="s">
        <v>1497</v>
      </c>
    </row>
    <row r="232" ht="16" spans="1:8">
      <c r="A232" s="161" t="s">
        <v>682</v>
      </c>
      <c r="B232" s="161" t="s">
        <v>683</v>
      </c>
      <c r="C232" s="161" t="s">
        <v>13</v>
      </c>
      <c r="D232" s="162" t="s">
        <v>684</v>
      </c>
      <c r="E232" s="252">
        <v>46253</v>
      </c>
      <c r="F232" s="164">
        <v>3</v>
      </c>
      <c r="G232" s="164">
        <v>6</v>
      </c>
      <c r="H232" s="164" t="s">
        <v>1498</v>
      </c>
    </row>
    <row r="233" ht="16" spans="1:8">
      <c r="A233" s="161" t="s">
        <v>685</v>
      </c>
      <c r="B233" s="161" t="s">
        <v>686</v>
      </c>
      <c r="C233" s="161" t="s">
        <v>10</v>
      </c>
      <c r="D233" s="162" t="s">
        <v>687</v>
      </c>
      <c r="E233" s="252">
        <v>46254</v>
      </c>
      <c r="F233" s="164">
        <v>8</v>
      </c>
      <c r="G233" s="164">
        <v>7</v>
      </c>
      <c r="H233" s="164" t="s">
        <v>1499</v>
      </c>
    </row>
    <row r="234" ht="16" spans="1:8">
      <c r="A234" s="161" t="s">
        <v>688</v>
      </c>
      <c r="B234" s="161" t="s">
        <v>689</v>
      </c>
      <c r="C234" s="161" t="s">
        <v>33</v>
      </c>
      <c r="D234" s="162" t="s">
        <v>690</v>
      </c>
      <c r="E234" s="252">
        <v>46255</v>
      </c>
      <c r="F234" s="164">
        <v>2</v>
      </c>
      <c r="G234" s="164">
        <v>8</v>
      </c>
      <c r="H234" s="164" t="s">
        <v>1500</v>
      </c>
    </row>
    <row r="235" ht="16" spans="1:8">
      <c r="A235" s="161" t="s">
        <v>691</v>
      </c>
      <c r="B235" s="161" t="s">
        <v>692</v>
      </c>
      <c r="C235" s="161" t="s">
        <v>13</v>
      </c>
      <c r="D235" s="162" t="s">
        <v>693</v>
      </c>
      <c r="E235" s="252">
        <v>46256</v>
      </c>
      <c r="F235" s="164">
        <v>9</v>
      </c>
      <c r="G235" s="164">
        <v>9</v>
      </c>
      <c r="H235" s="164" t="s">
        <v>1501</v>
      </c>
    </row>
    <row r="236" ht="16" spans="1:8">
      <c r="A236" s="161" t="s">
        <v>694</v>
      </c>
      <c r="B236" s="161" t="s">
        <v>695</v>
      </c>
      <c r="C236" s="161" t="s">
        <v>10</v>
      </c>
      <c r="D236" s="162" t="s">
        <v>696</v>
      </c>
      <c r="E236" s="252">
        <v>46257</v>
      </c>
      <c r="F236" s="164">
        <v>5</v>
      </c>
      <c r="G236" s="164">
        <v>4</v>
      </c>
      <c r="H236" s="164" t="s">
        <v>1495</v>
      </c>
    </row>
    <row r="237" ht="16" spans="1:8">
      <c r="A237" s="161" t="s">
        <v>697</v>
      </c>
      <c r="B237" s="161" t="s">
        <v>698</v>
      </c>
      <c r="C237" s="161" t="s">
        <v>10</v>
      </c>
      <c r="D237" s="162" t="s">
        <v>699</v>
      </c>
      <c r="E237" s="252">
        <v>46258</v>
      </c>
      <c r="F237" s="164">
        <v>3</v>
      </c>
      <c r="G237" s="164">
        <v>3</v>
      </c>
      <c r="H237" s="164" t="s">
        <v>1497</v>
      </c>
    </row>
    <row r="238" ht="16" spans="1:8">
      <c r="A238" s="161" t="s">
        <v>700</v>
      </c>
      <c r="B238" s="161" t="s">
        <v>701</v>
      </c>
      <c r="C238" s="161" t="s">
        <v>7</v>
      </c>
      <c r="D238" s="162" t="s">
        <v>702</v>
      </c>
      <c r="E238" s="252">
        <v>46259</v>
      </c>
      <c r="F238" s="164">
        <v>5</v>
      </c>
      <c r="G238" s="164">
        <v>8</v>
      </c>
      <c r="H238" s="164" t="s">
        <v>1498</v>
      </c>
    </row>
    <row r="239" ht="16" spans="1:8">
      <c r="A239" s="161" t="s">
        <v>703</v>
      </c>
      <c r="B239" s="161" t="s">
        <v>704</v>
      </c>
      <c r="C239" s="161" t="s">
        <v>10</v>
      </c>
      <c r="D239" s="162" t="s">
        <v>705</v>
      </c>
      <c r="E239" s="252">
        <v>46260</v>
      </c>
      <c r="F239" s="164">
        <v>7</v>
      </c>
      <c r="G239" s="164">
        <v>2</v>
      </c>
      <c r="H239" s="164" t="s">
        <v>1499</v>
      </c>
    </row>
    <row r="240" ht="16" spans="1:8">
      <c r="A240" s="161" t="s">
        <v>706</v>
      </c>
      <c r="B240" s="161" t="s">
        <v>707</v>
      </c>
      <c r="C240" s="161" t="s">
        <v>7</v>
      </c>
      <c r="D240" s="162" t="s">
        <v>708</v>
      </c>
      <c r="E240" s="252">
        <v>46261</v>
      </c>
      <c r="F240" s="164">
        <v>5</v>
      </c>
      <c r="G240" s="164">
        <v>9</v>
      </c>
      <c r="H240" s="164" t="s">
        <v>1500</v>
      </c>
    </row>
    <row r="241" ht="16" spans="1:8">
      <c r="A241" s="161" t="s">
        <v>709</v>
      </c>
      <c r="B241" s="161" t="s">
        <v>710</v>
      </c>
      <c r="C241" s="161" t="s">
        <v>13</v>
      </c>
      <c r="D241" s="162" t="s">
        <v>711</v>
      </c>
      <c r="E241" s="252">
        <v>46262</v>
      </c>
      <c r="F241" s="164">
        <v>6</v>
      </c>
      <c r="G241" s="164">
        <v>5</v>
      </c>
      <c r="H241" s="164" t="s">
        <v>1501</v>
      </c>
    </row>
    <row r="242" ht="16" spans="1:8">
      <c r="A242" s="161" t="s">
        <v>712</v>
      </c>
      <c r="B242" s="161" t="s">
        <v>713</v>
      </c>
      <c r="C242" s="161" t="s">
        <v>44</v>
      </c>
      <c r="D242" s="162" t="s">
        <v>714</v>
      </c>
      <c r="E242" s="252">
        <v>46263</v>
      </c>
      <c r="F242" s="164">
        <v>7</v>
      </c>
      <c r="G242" s="164">
        <v>3</v>
      </c>
      <c r="H242" s="164" t="s">
        <v>1495</v>
      </c>
    </row>
    <row r="243" ht="16" spans="1:8">
      <c r="A243" s="161" t="s">
        <v>715</v>
      </c>
      <c r="B243" s="161" t="s">
        <v>716</v>
      </c>
      <c r="C243" s="161" t="s">
        <v>44</v>
      </c>
      <c r="D243" s="162" t="s">
        <v>717</v>
      </c>
      <c r="E243" s="252">
        <v>46264</v>
      </c>
      <c r="F243" s="164">
        <v>8</v>
      </c>
      <c r="G243" s="164">
        <v>5</v>
      </c>
      <c r="H243" s="164" t="s">
        <v>1497</v>
      </c>
    </row>
    <row r="244" ht="16" spans="1:8">
      <c r="A244" s="161" t="s">
        <v>718</v>
      </c>
      <c r="B244" s="161" t="s">
        <v>719</v>
      </c>
      <c r="C244" s="161" t="s">
        <v>44</v>
      </c>
      <c r="D244" s="162" t="s">
        <v>720</v>
      </c>
      <c r="E244" s="252">
        <v>46265</v>
      </c>
      <c r="F244" s="164">
        <v>9</v>
      </c>
      <c r="G244" s="164">
        <v>7</v>
      </c>
      <c r="H244" s="164" t="s">
        <v>1498</v>
      </c>
    </row>
    <row r="245" ht="16" spans="1:8">
      <c r="A245" s="161" t="s">
        <v>721</v>
      </c>
      <c r="B245" s="161" t="s">
        <v>722</v>
      </c>
      <c r="C245" s="161" t="s">
        <v>13</v>
      </c>
      <c r="D245" s="162" t="s">
        <v>723</v>
      </c>
      <c r="E245" s="252">
        <v>46266</v>
      </c>
      <c r="F245" s="164">
        <v>4</v>
      </c>
      <c r="G245" s="164">
        <v>5</v>
      </c>
      <c r="H245" s="164" t="s">
        <v>1499</v>
      </c>
    </row>
    <row r="246" ht="16" spans="1:8">
      <c r="A246" s="161" t="s">
        <v>724</v>
      </c>
      <c r="B246" s="161" t="s">
        <v>725</v>
      </c>
      <c r="C246" s="161" t="s">
        <v>7</v>
      </c>
      <c r="D246" s="162" t="s">
        <v>726</v>
      </c>
      <c r="E246" s="252">
        <v>46267</v>
      </c>
      <c r="F246" s="164">
        <v>3</v>
      </c>
      <c r="G246" s="164">
        <v>6</v>
      </c>
      <c r="H246" s="164" t="s">
        <v>1500</v>
      </c>
    </row>
    <row r="247" ht="16" spans="1:8">
      <c r="A247" s="161" t="s">
        <v>727</v>
      </c>
      <c r="B247" s="161" t="s">
        <v>728</v>
      </c>
      <c r="C247" s="161" t="s">
        <v>33</v>
      </c>
      <c r="D247" s="162" t="s">
        <v>729</v>
      </c>
      <c r="E247" s="252">
        <v>46268</v>
      </c>
      <c r="F247" s="164">
        <v>8</v>
      </c>
      <c r="G247" s="164">
        <v>7</v>
      </c>
      <c r="H247" s="164" t="s">
        <v>1501</v>
      </c>
    </row>
    <row r="248" ht="16" spans="1:8">
      <c r="A248" s="161" t="s">
        <v>730</v>
      </c>
      <c r="B248" s="161" t="s">
        <v>731</v>
      </c>
      <c r="C248" s="161" t="s">
        <v>13</v>
      </c>
      <c r="D248" s="162" t="s">
        <v>732</v>
      </c>
      <c r="E248" s="252">
        <v>46269</v>
      </c>
      <c r="F248" s="164">
        <v>2</v>
      </c>
      <c r="G248" s="164">
        <v>8</v>
      </c>
      <c r="H248" s="164" t="s">
        <v>1495</v>
      </c>
    </row>
    <row r="249" ht="16" spans="1:8">
      <c r="A249" s="161" t="s">
        <v>733</v>
      </c>
      <c r="B249" s="161" t="s">
        <v>734</v>
      </c>
      <c r="C249" s="161" t="s">
        <v>33</v>
      </c>
      <c r="D249" s="162" t="s">
        <v>735</v>
      </c>
      <c r="E249" s="252">
        <v>46270</v>
      </c>
      <c r="F249" s="164">
        <v>9</v>
      </c>
      <c r="G249" s="164">
        <v>9</v>
      </c>
      <c r="H249" s="164" t="s">
        <v>1497</v>
      </c>
    </row>
    <row r="250" ht="16" spans="1:8">
      <c r="A250" s="161" t="s">
        <v>736</v>
      </c>
      <c r="B250" s="161" t="s">
        <v>737</v>
      </c>
      <c r="C250" s="161" t="s">
        <v>33</v>
      </c>
      <c r="D250" s="162" t="s">
        <v>738</v>
      </c>
      <c r="E250" s="252">
        <v>46271</v>
      </c>
      <c r="F250" s="164">
        <v>5</v>
      </c>
      <c r="G250" s="164">
        <v>4</v>
      </c>
      <c r="H250" s="164" t="s">
        <v>1498</v>
      </c>
    </row>
    <row r="251" ht="16" spans="1:8">
      <c r="A251" s="161" t="s">
        <v>739</v>
      </c>
      <c r="B251" s="161" t="s">
        <v>740</v>
      </c>
      <c r="C251" s="161" t="s">
        <v>44</v>
      </c>
      <c r="D251" s="162" t="s">
        <v>741</v>
      </c>
      <c r="E251" s="252">
        <v>46272</v>
      </c>
      <c r="F251" s="164">
        <v>3</v>
      </c>
      <c r="G251" s="164">
        <v>3</v>
      </c>
      <c r="H251" s="164" t="s">
        <v>1499</v>
      </c>
    </row>
    <row r="252" ht="16" spans="1:8">
      <c r="A252" s="161" t="s">
        <v>742</v>
      </c>
      <c r="B252" s="161" t="s">
        <v>743</v>
      </c>
      <c r="C252" s="161" t="s">
        <v>7</v>
      </c>
      <c r="D252" s="162" t="s">
        <v>744</v>
      </c>
      <c r="E252" s="252">
        <v>46273</v>
      </c>
      <c r="F252" s="164">
        <v>5</v>
      </c>
      <c r="G252" s="164">
        <v>8</v>
      </c>
      <c r="H252" s="164" t="s">
        <v>1500</v>
      </c>
    </row>
    <row r="253" ht="16" spans="1:8">
      <c r="A253" s="161" t="s">
        <v>745</v>
      </c>
      <c r="B253" s="161" t="s">
        <v>746</v>
      </c>
      <c r="C253" s="161" t="s">
        <v>44</v>
      </c>
      <c r="D253" s="162" t="s">
        <v>747</v>
      </c>
      <c r="E253" s="252">
        <v>46274</v>
      </c>
      <c r="F253" s="164">
        <v>7</v>
      </c>
      <c r="G253" s="164">
        <v>2</v>
      </c>
      <c r="H253" s="164" t="s">
        <v>1501</v>
      </c>
    </row>
    <row r="254" ht="16" spans="1:8">
      <c r="A254" s="161" t="s">
        <v>748</v>
      </c>
      <c r="B254" s="161" t="s">
        <v>749</v>
      </c>
      <c r="C254" s="161" t="s">
        <v>10</v>
      </c>
      <c r="D254" s="162" t="s">
        <v>750</v>
      </c>
      <c r="E254" s="252">
        <v>46275</v>
      </c>
      <c r="F254" s="164">
        <v>5</v>
      </c>
      <c r="G254" s="164">
        <v>9</v>
      </c>
      <c r="H254" s="164" t="s">
        <v>1495</v>
      </c>
    </row>
    <row r="255" ht="16" spans="1:8">
      <c r="A255" s="161" t="s">
        <v>751</v>
      </c>
      <c r="B255" s="161" t="s">
        <v>752</v>
      </c>
      <c r="C255" s="161" t="s">
        <v>44</v>
      </c>
      <c r="D255" s="162" t="s">
        <v>753</v>
      </c>
      <c r="E255" s="252">
        <v>46276</v>
      </c>
      <c r="F255" s="164">
        <v>6</v>
      </c>
      <c r="G255" s="164">
        <v>5</v>
      </c>
      <c r="H255" s="164" t="s">
        <v>1497</v>
      </c>
    </row>
    <row r="256" ht="16" spans="1:8">
      <c r="A256" s="161" t="s">
        <v>754</v>
      </c>
      <c r="B256" s="161" t="s">
        <v>755</v>
      </c>
      <c r="C256" s="161" t="s">
        <v>33</v>
      </c>
      <c r="D256" s="162" t="s">
        <v>756</v>
      </c>
      <c r="E256" s="252">
        <v>46277</v>
      </c>
      <c r="F256" s="164">
        <v>7</v>
      </c>
      <c r="G256" s="164">
        <v>3</v>
      </c>
      <c r="H256" s="164" t="s">
        <v>1498</v>
      </c>
    </row>
    <row r="257" ht="16" spans="1:8">
      <c r="A257" s="161" t="s">
        <v>757</v>
      </c>
      <c r="B257" s="161" t="s">
        <v>758</v>
      </c>
      <c r="C257" s="161" t="s">
        <v>44</v>
      </c>
      <c r="D257" s="162" t="s">
        <v>759</v>
      </c>
      <c r="E257" s="252">
        <v>46278</v>
      </c>
      <c r="F257" s="164">
        <v>8</v>
      </c>
      <c r="G257" s="164">
        <v>5</v>
      </c>
      <c r="H257" s="164" t="s">
        <v>1499</v>
      </c>
    </row>
    <row r="258" ht="16" spans="1:8">
      <c r="A258" s="161" t="s">
        <v>760</v>
      </c>
      <c r="B258" s="161" t="s">
        <v>761</v>
      </c>
      <c r="C258" s="161" t="s">
        <v>44</v>
      </c>
      <c r="D258" s="162" t="s">
        <v>762</v>
      </c>
      <c r="E258" s="252">
        <v>46279</v>
      </c>
      <c r="F258" s="164">
        <v>9</v>
      </c>
      <c r="G258" s="164">
        <v>7</v>
      </c>
      <c r="H258" s="164" t="s">
        <v>1500</v>
      </c>
    </row>
    <row r="259" ht="16" spans="1:8">
      <c r="A259" s="161" t="s">
        <v>763</v>
      </c>
      <c r="B259" s="161" t="s">
        <v>764</v>
      </c>
      <c r="C259" s="161" t="s">
        <v>44</v>
      </c>
      <c r="D259" s="162" t="s">
        <v>765</v>
      </c>
      <c r="E259" s="252">
        <v>46280</v>
      </c>
      <c r="F259" s="164">
        <v>4</v>
      </c>
      <c r="G259" s="164">
        <v>5</v>
      </c>
      <c r="H259" s="164" t="s">
        <v>1501</v>
      </c>
    </row>
    <row r="260" ht="16" spans="1:8">
      <c r="A260" s="161" t="s">
        <v>766</v>
      </c>
      <c r="B260" s="161" t="s">
        <v>767</v>
      </c>
      <c r="C260" s="161" t="s">
        <v>13</v>
      </c>
      <c r="D260" s="162" t="s">
        <v>768</v>
      </c>
      <c r="E260" s="252">
        <v>46281</v>
      </c>
      <c r="F260" s="164">
        <v>3</v>
      </c>
      <c r="G260" s="164">
        <v>6</v>
      </c>
      <c r="H260" s="164" t="s">
        <v>1495</v>
      </c>
    </row>
    <row r="261" ht="16" spans="1:8">
      <c r="A261" s="161" t="s">
        <v>769</v>
      </c>
      <c r="B261" s="161" t="s">
        <v>770</v>
      </c>
      <c r="C261" s="161" t="s">
        <v>10</v>
      </c>
      <c r="D261" s="162" t="s">
        <v>771</v>
      </c>
      <c r="E261" s="252">
        <v>46282</v>
      </c>
      <c r="F261" s="164">
        <v>8</v>
      </c>
      <c r="G261" s="164">
        <v>7</v>
      </c>
      <c r="H261" s="164" t="s">
        <v>1497</v>
      </c>
    </row>
    <row r="262" ht="16" spans="1:8">
      <c r="A262" s="161" t="s">
        <v>772</v>
      </c>
      <c r="B262" s="161" t="s">
        <v>773</v>
      </c>
      <c r="C262" s="161" t="s">
        <v>33</v>
      </c>
      <c r="D262" s="162" t="s">
        <v>774</v>
      </c>
      <c r="E262" s="252">
        <v>46283</v>
      </c>
      <c r="F262" s="164">
        <v>2</v>
      </c>
      <c r="G262" s="164">
        <v>8</v>
      </c>
      <c r="H262" s="164" t="s">
        <v>1498</v>
      </c>
    </row>
    <row r="263" ht="16" spans="1:8">
      <c r="A263" s="161" t="s">
        <v>775</v>
      </c>
      <c r="B263" s="161" t="s">
        <v>776</v>
      </c>
      <c r="C263" s="161" t="s">
        <v>44</v>
      </c>
      <c r="D263" s="162" t="s">
        <v>777</v>
      </c>
      <c r="E263" s="252">
        <v>46284</v>
      </c>
      <c r="F263" s="164">
        <v>9</v>
      </c>
      <c r="G263" s="164">
        <v>9</v>
      </c>
      <c r="H263" s="164" t="s">
        <v>1499</v>
      </c>
    </row>
    <row r="264" ht="16" spans="1:8">
      <c r="A264" s="161" t="s">
        <v>778</v>
      </c>
      <c r="B264" s="161" t="s">
        <v>779</v>
      </c>
      <c r="C264" s="161" t="s">
        <v>44</v>
      </c>
      <c r="D264" s="162" t="s">
        <v>780</v>
      </c>
      <c r="E264" s="252">
        <v>46285</v>
      </c>
      <c r="F264" s="164">
        <v>5</v>
      </c>
      <c r="G264" s="164">
        <v>4</v>
      </c>
      <c r="H264" s="164" t="s">
        <v>1500</v>
      </c>
    </row>
    <row r="265" ht="16" spans="1:8">
      <c r="A265" s="161" t="s">
        <v>781</v>
      </c>
      <c r="B265" s="161" t="s">
        <v>782</v>
      </c>
      <c r="C265" s="161" t="s">
        <v>44</v>
      </c>
      <c r="D265" s="162" t="s">
        <v>783</v>
      </c>
      <c r="E265" s="252">
        <v>46286</v>
      </c>
      <c r="F265" s="164">
        <v>3</v>
      </c>
      <c r="G265" s="164">
        <v>3</v>
      </c>
      <c r="H265" s="164" t="s">
        <v>1501</v>
      </c>
    </row>
    <row r="266" ht="16" spans="1:8">
      <c r="A266" s="161" t="s">
        <v>784</v>
      </c>
      <c r="B266" s="161" t="s">
        <v>785</v>
      </c>
      <c r="C266" s="161" t="s">
        <v>33</v>
      </c>
      <c r="D266" s="162" t="s">
        <v>786</v>
      </c>
      <c r="E266" s="252">
        <v>46287</v>
      </c>
      <c r="F266" s="164">
        <v>5</v>
      </c>
      <c r="G266" s="164">
        <v>8</v>
      </c>
      <c r="H266" s="164" t="s">
        <v>1495</v>
      </c>
    </row>
    <row r="267" ht="16" spans="1:8">
      <c r="A267" s="161" t="s">
        <v>787</v>
      </c>
      <c r="B267" s="161" t="s">
        <v>788</v>
      </c>
      <c r="C267" s="161" t="s">
        <v>10</v>
      </c>
      <c r="D267" s="162" t="s">
        <v>789</v>
      </c>
      <c r="E267" s="252">
        <v>46288</v>
      </c>
      <c r="F267" s="164">
        <v>7</v>
      </c>
      <c r="G267" s="164">
        <v>2</v>
      </c>
      <c r="H267" s="164" t="s">
        <v>1497</v>
      </c>
    </row>
    <row r="268" ht="16" spans="1:8">
      <c r="A268" s="161" t="s">
        <v>790</v>
      </c>
      <c r="B268" s="161" t="s">
        <v>791</v>
      </c>
      <c r="C268" s="161" t="s">
        <v>10</v>
      </c>
      <c r="D268" s="162" t="s">
        <v>792</v>
      </c>
      <c r="E268" s="252">
        <v>46289</v>
      </c>
      <c r="F268" s="164">
        <v>5</v>
      </c>
      <c r="G268" s="164">
        <v>9</v>
      </c>
      <c r="H268" s="164" t="s">
        <v>1498</v>
      </c>
    </row>
    <row r="269" ht="16" spans="1:8">
      <c r="A269" s="161" t="s">
        <v>793</v>
      </c>
      <c r="B269" s="161" t="s">
        <v>794</v>
      </c>
      <c r="C269" s="161" t="s">
        <v>10</v>
      </c>
      <c r="D269" s="162" t="s">
        <v>795</v>
      </c>
      <c r="E269" s="252">
        <v>46290</v>
      </c>
      <c r="F269" s="164">
        <v>6</v>
      </c>
      <c r="G269" s="164">
        <v>5</v>
      </c>
      <c r="H269" s="164" t="s">
        <v>1499</v>
      </c>
    </row>
    <row r="270" ht="16" spans="1:8">
      <c r="A270" s="161" t="s">
        <v>796</v>
      </c>
      <c r="B270" s="161" t="s">
        <v>797</v>
      </c>
      <c r="C270" s="161" t="s">
        <v>44</v>
      </c>
      <c r="D270" s="162" t="s">
        <v>798</v>
      </c>
      <c r="E270" s="252">
        <v>46291</v>
      </c>
      <c r="F270" s="164">
        <v>7</v>
      </c>
      <c r="G270" s="164">
        <v>3</v>
      </c>
      <c r="H270" s="164" t="s">
        <v>1500</v>
      </c>
    </row>
    <row r="271" ht="16" spans="1:8">
      <c r="A271" s="161" t="s">
        <v>799</v>
      </c>
      <c r="B271" s="161" t="s">
        <v>800</v>
      </c>
      <c r="C271" s="161" t="s">
        <v>10</v>
      </c>
      <c r="D271" s="162" t="s">
        <v>801</v>
      </c>
      <c r="E271" s="252">
        <v>46292</v>
      </c>
      <c r="F271" s="164">
        <v>8</v>
      </c>
      <c r="G271" s="164">
        <v>5</v>
      </c>
      <c r="H271" s="164" t="s">
        <v>1501</v>
      </c>
    </row>
    <row r="272" ht="16" spans="1:8">
      <c r="A272" s="161" t="s">
        <v>802</v>
      </c>
      <c r="B272" s="161" t="s">
        <v>803</v>
      </c>
      <c r="C272" s="161" t="s">
        <v>33</v>
      </c>
      <c r="D272" s="162" t="s">
        <v>804</v>
      </c>
      <c r="E272" s="252">
        <v>46293</v>
      </c>
      <c r="F272" s="164">
        <v>9</v>
      </c>
      <c r="G272" s="164">
        <v>7</v>
      </c>
      <c r="H272" s="164" t="s">
        <v>1495</v>
      </c>
    </row>
    <row r="273" ht="16" spans="1:8">
      <c r="A273" s="161" t="s">
        <v>805</v>
      </c>
      <c r="B273" s="161" t="s">
        <v>806</v>
      </c>
      <c r="C273" s="161" t="s">
        <v>7</v>
      </c>
      <c r="D273" s="162" t="s">
        <v>807</v>
      </c>
      <c r="E273" s="252">
        <v>46294</v>
      </c>
      <c r="F273" s="164">
        <v>4</v>
      </c>
      <c r="G273" s="164">
        <v>5</v>
      </c>
      <c r="H273" s="164" t="s">
        <v>1497</v>
      </c>
    </row>
    <row r="274" ht="16" spans="1:8">
      <c r="A274" s="161" t="s">
        <v>808</v>
      </c>
      <c r="B274" s="161" t="s">
        <v>809</v>
      </c>
      <c r="C274" s="161" t="s">
        <v>7</v>
      </c>
      <c r="D274" s="162" t="s">
        <v>810</v>
      </c>
      <c r="E274" s="252">
        <v>46295</v>
      </c>
      <c r="F274" s="164">
        <v>3</v>
      </c>
      <c r="G274" s="164">
        <v>6</v>
      </c>
      <c r="H274" s="164" t="s">
        <v>1498</v>
      </c>
    </row>
    <row r="275" ht="16" spans="1:8">
      <c r="A275" s="161" t="s">
        <v>811</v>
      </c>
      <c r="B275" s="161" t="s">
        <v>812</v>
      </c>
      <c r="C275" s="161" t="s">
        <v>7</v>
      </c>
      <c r="D275" s="162" t="s">
        <v>813</v>
      </c>
      <c r="E275" s="252">
        <v>46296</v>
      </c>
      <c r="F275" s="164">
        <v>8</v>
      </c>
      <c r="G275" s="164">
        <v>7</v>
      </c>
      <c r="H275" s="164" t="s">
        <v>1499</v>
      </c>
    </row>
    <row r="276" ht="16" spans="1:8">
      <c r="A276" s="161" t="s">
        <v>814</v>
      </c>
      <c r="B276" s="161" t="s">
        <v>815</v>
      </c>
      <c r="C276" s="161" t="s">
        <v>10</v>
      </c>
      <c r="D276" s="162" t="s">
        <v>816</v>
      </c>
      <c r="E276" s="252">
        <v>46297</v>
      </c>
      <c r="F276" s="164">
        <v>2</v>
      </c>
      <c r="G276" s="164">
        <v>8</v>
      </c>
      <c r="H276" s="164" t="s">
        <v>1500</v>
      </c>
    </row>
    <row r="277" ht="16" spans="1:8">
      <c r="A277" s="161" t="s">
        <v>817</v>
      </c>
      <c r="B277" s="161" t="s">
        <v>818</v>
      </c>
      <c r="C277" s="161" t="s">
        <v>7</v>
      </c>
      <c r="D277" s="162" t="s">
        <v>819</v>
      </c>
      <c r="E277" s="252">
        <v>46298</v>
      </c>
      <c r="F277" s="164">
        <v>9</v>
      </c>
      <c r="G277" s="164">
        <v>9</v>
      </c>
      <c r="H277" s="164" t="s">
        <v>1501</v>
      </c>
    </row>
    <row r="278" ht="16" spans="1:8">
      <c r="A278" s="161" t="s">
        <v>820</v>
      </c>
      <c r="B278" s="161" t="s">
        <v>821</v>
      </c>
      <c r="C278" s="161" t="s">
        <v>13</v>
      </c>
      <c r="D278" s="162" t="s">
        <v>822</v>
      </c>
      <c r="E278" s="252">
        <v>46299</v>
      </c>
      <c r="F278" s="164">
        <v>5</v>
      </c>
      <c r="G278" s="164">
        <v>4</v>
      </c>
      <c r="H278" s="164" t="s">
        <v>1495</v>
      </c>
    </row>
    <row r="279" ht="16" spans="1:8">
      <c r="A279" s="161" t="s">
        <v>823</v>
      </c>
      <c r="B279" s="161" t="s">
        <v>824</v>
      </c>
      <c r="C279" s="161" t="s">
        <v>10</v>
      </c>
      <c r="D279" s="162" t="s">
        <v>825</v>
      </c>
      <c r="E279" s="252">
        <v>46300</v>
      </c>
      <c r="F279" s="164">
        <v>3</v>
      </c>
      <c r="G279" s="164">
        <v>3</v>
      </c>
      <c r="H279" s="164" t="s">
        <v>1497</v>
      </c>
    </row>
    <row r="280" ht="16" spans="1:8">
      <c r="A280" s="161" t="s">
        <v>826</v>
      </c>
      <c r="B280" s="161" t="s">
        <v>827</v>
      </c>
      <c r="C280" s="161" t="s">
        <v>13</v>
      </c>
      <c r="D280" s="162" t="s">
        <v>828</v>
      </c>
      <c r="E280" s="252">
        <v>46301</v>
      </c>
      <c r="F280" s="164">
        <v>5</v>
      </c>
      <c r="G280" s="164">
        <v>8</v>
      </c>
      <c r="H280" s="164" t="s">
        <v>1498</v>
      </c>
    </row>
    <row r="281" ht="16" spans="1:8">
      <c r="A281" s="161" t="s">
        <v>829</v>
      </c>
      <c r="B281" s="161" t="s">
        <v>830</v>
      </c>
      <c r="C281" s="161" t="s">
        <v>13</v>
      </c>
      <c r="D281" s="162" t="s">
        <v>831</v>
      </c>
      <c r="E281" s="252">
        <v>46302</v>
      </c>
      <c r="F281" s="164">
        <v>7</v>
      </c>
      <c r="G281" s="164">
        <v>2</v>
      </c>
      <c r="H281" s="164" t="s">
        <v>1499</v>
      </c>
    </row>
    <row r="282" ht="16" spans="1:8">
      <c r="A282" s="161" t="s">
        <v>832</v>
      </c>
      <c r="B282" s="161" t="s">
        <v>833</v>
      </c>
      <c r="C282" s="161" t="s">
        <v>7</v>
      </c>
      <c r="D282" s="162" t="s">
        <v>834</v>
      </c>
      <c r="E282" s="252">
        <v>46303</v>
      </c>
      <c r="F282" s="164">
        <v>5</v>
      </c>
      <c r="G282" s="164">
        <v>9</v>
      </c>
      <c r="H282" s="164" t="s">
        <v>1500</v>
      </c>
    </row>
    <row r="283" ht="16" spans="1:8">
      <c r="A283" s="161" t="s">
        <v>835</v>
      </c>
      <c r="B283" s="161" t="s">
        <v>836</v>
      </c>
      <c r="C283" s="161" t="s">
        <v>7</v>
      </c>
      <c r="D283" s="162" t="s">
        <v>837</v>
      </c>
      <c r="E283" s="252">
        <v>46304</v>
      </c>
      <c r="F283" s="164">
        <v>6</v>
      </c>
      <c r="G283" s="164">
        <v>5</v>
      </c>
      <c r="H283" s="164" t="s">
        <v>1501</v>
      </c>
    </row>
    <row r="284" ht="16" spans="1:8">
      <c r="A284" s="161" t="s">
        <v>838</v>
      </c>
      <c r="B284" s="161" t="s">
        <v>839</v>
      </c>
      <c r="C284" s="161" t="s">
        <v>33</v>
      </c>
      <c r="D284" s="162" t="s">
        <v>840</v>
      </c>
      <c r="E284" s="252">
        <v>46305</v>
      </c>
      <c r="F284" s="164">
        <v>7</v>
      </c>
      <c r="G284" s="164">
        <v>3</v>
      </c>
      <c r="H284" s="164" t="s">
        <v>1495</v>
      </c>
    </row>
    <row r="285" ht="16" spans="1:8">
      <c r="A285" s="161" t="s">
        <v>841</v>
      </c>
      <c r="B285" s="161" t="s">
        <v>842</v>
      </c>
      <c r="C285" s="161" t="s">
        <v>10</v>
      </c>
      <c r="D285" s="162" t="s">
        <v>843</v>
      </c>
      <c r="E285" s="252">
        <v>46306</v>
      </c>
      <c r="F285" s="164">
        <v>8</v>
      </c>
      <c r="G285" s="164">
        <v>5</v>
      </c>
      <c r="H285" s="164" t="s">
        <v>1497</v>
      </c>
    </row>
    <row r="286" ht="16" spans="1:8">
      <c r="A286" s="161" t="s">
        <v>844</v>
      </c>
      <c r="B286" s="161" t="s">
        <v>845</v>
      </c>
      <c r="C286" s="161" t="s">
        <v>7</v>
      </c>
      <c r="D286" s="162" t="s">
        <v>846</v>
      </c>
      <c r="E286" s="252">
        <v>46307</v>
      </c>
      <c r="F286" s="164">
        <v>9</v>
      </c>
      <c r="G286" s="164">
        <v>7</v>
      </c>
      <c r="H286" s="164" t="s">
        <v>1498</v>
      </c>
    </row>
    <row r="287" ht="16" spans="1:8">
      <c r="A287" s="161" t="s">
        <v>847</v>
      </c>
      <c r="B287" s="161" t="s">
        <v>848</v>
      </c>
      <c r="C287" s="161" t="s">
        <v>10</v>
      </c>
      <c r="D287" s="162" t="s">
        <v>849</v>
      </c>
      <c r="E287" s="252">
        <v>46308</v>
      </c>
      <c r="F287" s="164">
        <v>4</v>
      </c>
      <c r="G287" s="164">
        <v>5</v>
      </c>
      <c r="H287" s="164" t="s">
        <v>1499</v>
      </c>
    </row>
    <row r="288" ht="16" spans="1:8">
      <c r="A288" s="161" t="s">
        <v>850</v>
      </c>
      <c r="B288" s="161" t="s">
        <v>851</v>
      </c>
      <c r="C288" s="161" t="s">
        <v>7</v>
      </c>
      <c r="D288" s="162" t="s">
        <v>852</v>
      </c>
      <c r="E288" s="252">
        <v>46309</v>
      </c>
      <c r="F288" s="164">
        <v>3</v>
      </c>
      <c r="G288" s="164">
        <v>6</v>
      </c>
      <c r="H288" s="164" t="s">
        <v>1500</v>
      </c>
    </row>
    <row r="289" ht="16" spans="1:8">
      <c r="A289" s="161" t="s">
        <v>853</v>
      </c>
      <c r="B289" s="161" t="s">
        <v>854</v>
      </c>
      <c r="C289" s="161" t="s">
        <v>10</v>
      </c>
      <c r="D289" s="162" t="s">
        <v>855</v>
      </c>
      <c r="E289" s="252">
        <v>46310</v>
      </c>
      <c r="F289" s="164">
        <v>8</v>
      </c>
      <c r="G289" s="164">
        <v>7</v>
      </c>
      <c r="H289" s="164" t="s">
        <v>1501</v>
      </c>
    </row>
    <row r="290" ht="16" spans="1:8">
      <c r="A290" s="161" t="s">
        <v>856</v>
      </c>
      <c r="B290" s="161" t="s">
        <v>857</v>
      </c>
      <c r="C290" s="161" t="s">
        <v>7</v>
      </c>
      <c r="D290" s="162" t="s">
        <v>858</v>
      </c>
      <c r="E290" s="252">
        <v>46311</v>
      </c>
      <c r="F290" s="164">
        <v>2</v>
      </c>
      <c r="G290" s="164">
        <v>8</v>
      </c>
      <c r="H290" s="164" t="s">
        <v>1495</v>
      </c>
    </row>
    <row r="291" ht="16" spans="1:8">
      <c r="A291" s="161" t="s">
        <v>859</v>
      </c>
      <c r="B291" s="161" t="s">
        <v>860</v>
      </c>
      <c r="C291" s="161" t="s">
        <v>13</v>
      </c>
      <c r="D291" s="162" t="s">
        <v>861</v>
      </c>
      <c r="E291" s="252">
        <v>46312</v>
      </c>
      <c r="F291" s="164">
        <v>9</v>
      </c>
      <c r="G291" s="164">
        <v>9</v>
      </c>
      <c r="H291" s="164" t="s">
        <v>1497</v>
      </c>
    </row>
    <row r="292" ht="16" spans="1:8">
      <c r="A292" s="161" t="s">
        <v>862</v>
      </c>
      <c r="B292" s="161" t="s">
        <v>863</v>
      </c>
      <c r="C292" s="161" t="s">
        <v>7</v>
      </c>
      <c r="D292" s="162" t="s">
        <v>864</v>
      </c>
      <c r="E292" s="252">
        <v>46313</v>
      </c>
      <c r="F292" s="164">
        <v>5</v>
      </c>
      <c r="G292" s="164">
        <v>4</v>
      </c>
      <c r="H292" s="164" t="s">
        <v>1498</v>
      </c>
    </row>
    <row r="293" ht="16" spans="1:8">
      <c r="A293" s="161" t="s">
        <v>865</v>
      </c>
      <c r="B293" s="161" t="s">
        <v>866</v>
      </c>
      <c r="C293" s="161" t="s">
        <v>10</v>
      </c>
      <c r="D293" s="162" t="s">
        <v>867</v>
      </c>
      <c r="E293" s="252">
        <v>46314</v>
      </c>
      <c r="F293" s="164">
        <v>3</v>
      </c>
      <c r="G293" s="164">
        <v>3</v>
      </c>
      <c r="H293" s="164" t="s">
        <v>1499</v>
      </c>
    </row>
    <row r="294" ht="16" spans="1:8">
      <c r="A294" s="161" t="s">
        <v>868</v>
      </c>
      <c r="B294" s="161" t="s">
        <v>869</v>
      </c>
      <c r="C294" s="161" t="s">
        <v>7</v>
      </c>
      <c r="D294" s="162" t="s">
        <v>870</v>
      </c>
      <c r="E294" s="252">
        <v>46315</v>
      </c>
      <c r="F294" s="164">
        <v>5</v>
      </c>
      <c r="G294" s="164">
        <v>8</v>
      </c>
      <c r="H294" s="164" t="s">
        <v>1500</v>
      </c>
    </row>
    <row r="295" ht="16" spans="1:8">
      <c r="A295" s="161" t="s">
        <v>871</v>
      </c>
      <c r="B295" s="161" t="s">
        <v>872</v>
      </c>
      <c r="C295" s="161" t="s">
        <v>33</v>
      </c>
      <c r="D295" s="162" t="s">
        <v>873</v>
      </c>
      <c r="E295" s="252">
        <v>46316</v>
      </c>
      <c r="F295" s="164">
        <v>7</v>
      </c>
      <c r="G295" s="164">
        <v>2</v>
      </c>
      <c r="H295" s="164" t="s">
        <v>1501</v>
      </c>
    </row>
    <row r="296" ht="16" spans="1:8">
      <c r="A296" s="161" t="s">
        <v>874</v>
      </c>
      <c r="B296" s="161" t="s">
        <v>875</v>
      </c>
      <c r="C296" s="161" t="s">
        <v>7</v>
      </c>
      <c r="D296" s="162" t="s">
        <v>876</v>
      </c>
      <c r="E296" s="252">
        <v>46317</v>
      </c>
      <c r="F296" s="164">
        <v>5</v>
      </c>
      <c r="G296" s="164">
        <v>9</v>
      </c>
      <c r="H296" s="164" t="s">
        <v>1495</v>
      </c>
    </row>
    <row r="297" ht="16" spans="1:8">
      <c r="A297" s="161" t="s">
        <v>877</v>
      </c>
      <c r="B297" s="161" t="s">
        <v>878</v>
      </c>
      <c r="C297" s="161" t="s">
        <v>33</v>
      </c>
      <c r="D297" s="162" t="s">
        <v>879</v>
      </c>
      <c r="E297" s="252">
        <v>46318</v>
      </c>
      <c r="F297" s="164">
        <v>6</v>
      </c>
      <c r="G297" s="164">
        <v>5</v>
      </c>
      <c r="H297" s="164" t="s">
        <v>1497</v>
      </c>
    </row>
    <row r="298" ht="16" spans="1:8">
      <c r="A298" s="161" t="s">
        <v>880</v>
      </c>
      <c r="B298" s="161" t="s">
        <v>881</v>
      </c>
      <c r="C298" s="161" t="s">
        <v>44</v>
      </c>
      <c r="D298" s="162" t="s">
        <v>882</v>
      </c>
      <c r="E298" s="252">
        <v>46319</v>
      </c>
      <c r="F298" s="164">
        <v>7</v>
      </c>
      <c r="G298" s="164">
        <v>3</v>
      </c>
      <c r="H298" s="164" t="s">
        <v>1498</v>
      </c>
    </row>
    <row r="299" ht="16" spans="1:8">
      <c r="A299" s="161" t="s">
        <v>883</v>
      </c>
      <c r="B299" s="161" t="s">
        <v>884</v>
      </c>
      <c r="C299" s="161" t="s">
        <v>13</v>
      </c>
      <c r="D299" s="162" t="s">
        <v>885</v>
      </c>
      <c r="E299" s="252">
        <v>46320</v>
      </c>
      <c r="F299" s="164">
        <v>8</v>
      </c>
      <c r="G299" s="164">
        <v>5</v>
      </c>
      <c r="H299" s="164" t="s">
        <v>1499</v>
      </c>
    </row>
    <row r="300" ht="16" spans="1:8">
      <c r="A300" s="161" t="s">
        <v>886</v>
      </c>
      <c r="B300" s="161" t="s">
        <v>887</v>
      </c>
      <c r="C300" s="161" t="s">
        <v>10</v>
      </c>
      <c r="D300" s="162" t="s">
        <v>888</v>
      </c>
      <c r="E300" s="252">
        <v>46321</v>
      </c>
      <c r="F300" s="164">
        <v>9</v>
      </c>
      <c r="G300" s="164">
        <v>7</v>
      </c>
      <c r="H300" s="164" t="s">
        <v>1500</v>
      </c>
    </row>
    <row r="301" ht="16" spans="1:8">
      <c r="A301" s="161" t="s">
        <v>889</v>
      </c>
      <c r="B301" s="161" t="s">
        <v>890</v>
      </c>
      <c r="C301" s="161" t="s">
        <v>13</v>
      </c>
      <c r="D301" s="162" t="s">
        <v>891</v>
      </c>
      <c r="E301" s="252">
        <v>46322</v>
      </c>
      <c r="F301" s="164">
        <v>4</v>
      </c>
      <c r="G301" s="164">
        <v>5</v>
      </c>
      <c r="H301" s="164" t="s">
        <v>1501</v>
      </c>
    </row>
    <row r="302" ht="16" spans="1:8">
      <c r="A302" s="161" t="s">
        <v>892</v>
      </c>
      <c r="B302" s="161" t="s">
        <v>893</v>
      </c>
      <c r="C302" s="161" t="s">
        <v>33</v>
      </c>
      <c r="D302" s="162" t="s">
        <v>894</v>
      </c>
      <c r="E302" s="252">
        <v>46323</v>
      </c>
      <c r="F302" s="164">
        <v>3</v>
      </c>
      <c r="G302" s="164">
        <v>6</v>
      </c>
      <c r="H302" s="164" t="s">
        <v>1495</v>
      </c>
    </row>
    <row r="303" ht="16" spans="1:8">
      <c r="A303" s="161" t="s">
        <v>895</v>
      </c>
      <c r="B303" s="161" t="s">
        <v>896</v>
      </c>
      <c r="C303" s="161" t="s">
        <v>7</v>
      </c>
      <c r="D303" s="162" t="s">
        <v>897</v>
      </c>
      <c r="E303" s="252">
        <v>46324</v>
      </c>
      <c r="F303" s="164">
        <v>8</v>
      </c>
      <c r="G303" s="164">
        <v>7</v>
      </c>
      <c r="H303" s="164" t="s">
        <v>1497</v>
      </c>
    </row>
    <row r="304" ht="16" spans="1:8">
      <c r="A304" s="161" t="s">
        <v>898</v>
      </c>
      <c r="B304" s="161" t="s">
        <v>899</v>
      </c>
      <c r="C304" s="161" t="s">
        <v>13</v>
      </c>
      <c r="D304" s="162" t="s">
        <v>900</v>
      </c>
      <c r="E304" s="252">
        <v>46325</v>
      </c>
      <c r="F304" s="164">
        <v>2</v>
      </c>
      <c r="G304" s="164">
        <v>8</v>
      </c>
      <c r="H304" s="164" t="s">
        <v>1498</v>
      </c>
    </row>
    <row r="305" ht="16" spans="1:8">
      <c r="A305" s="161" t="s">
        <v>901</v>
      </c>
      <c r="B305" s="161" t="s">
        <v>902</v>
      </c>
      <c r="C305" s="161" t="s">
        <v>10</v>
      </c>
      <c r="D305" s="162" t="s">
        <v>903</v>
      </c>
      <c r="E305" s="252">
        <v>46326</v>
      </c>
      <c r="F305" s="164">
        <v>9</v>
      </c>
      <c r="G305" s="164">
        <v>9</v>
      </c>
      <c r="H305" s="164" t="s">
        <v>1499</v>
      </c>
    </row>
    <row r="306" ht="16" spans="1:8">
      <c r="A306" s="161" t="s">
        <v>904</v>
      </c>
      <c r="B306" s="161" t="s">
        <v>905</v>
      </c>
      <c r="C306" s="161" t="s">
        <v>7</v>
      </c>
      <c r="D306" s="162" t="s">
        <v>906</v>
      </c>
      <c r="E306" s="252">
        <v>46327</v>
      </c>
      <c r="F306" s="164">
        <v>5</v>
      </c>
      <c r="G306" s="164">
        <v>4</v>
      </c>
      <c r="H306" s="164" t="s">
        <v>1500</v>
      </c>
    </row>
    <row r="307" ht="16" spans="1:8">
      <c r="A307" s="161" t="s">
        <v>907</v>
      </c>
      <c r="B307" s="161" t="s">
        <v>908</v>
      </c>
      <c r="C307" s="161" t="s">
        <v>33</v>
      </c>
      <c r="D307" s="162" t="s">
        <v>909</v>
      </c>
      <c r="E307" s="252">
        <v>46328</v>
      </c>
      <c r="F307" s="164">
        <v>3</v>
      </c>
      <c r="G307" s="164">
        <v>3</v>
      </c>
      <c r="H307" s="164" t="s">
        <v>1501</v>
      </c>
    </row>
    <row r="308" ht="16" spans="1:8">
      <c r="A308" s="161" t="s">
        <v>910</v>
      </c>
      <c r="B308" s="161" t="s">
        <v>911</v>
      </c>
      <c r="C308" s="161" t="s">
        <v>44</v>
      </c>
      <c r="D308" s="162" t="s">
        <v>912</v>
      </c>
      <c r="E308" s="252">
        <v>46329</v>
      </c>
      <c r="F308" s="164">
        <v>5</v>
      </c>
      <c r="G308" s="164">
        <v>8</v>
      </c>
      <c r="H308" s="164" t="s">
        <v>1495</v>
      </c>
    </row>
    <row r="309" ht="16" spans="1:8">
      <c r="A309" s="161" t="s">
        <v>913</v>
      </c>
      <c r="B309" s="161" t="s">
        <v>914</v>
      </c>
      <c r="C309" s="161" t="s">
        <v>33</v>
      </c>
      <c r="D309" s="162" t="s">
        <v>915</v>
      </c>
      <c r="E309" s="252">
        <v>46330</v>
      </c>
      <c r="F309" s="164">
        <v>7</v>
      </c>
      <c r="G309" s="164">
        <v>2</v>
      </c>
      <c r="H309" s="164" t="s">
        <v>1497</v>
      </c>
    </row>
    <row r="310" ht="16" spans="1:8">
      <c r="A310" s="161" t="s">
        <v>916</v>
      </c>
      <c r="B310" s="161" t="s">
        <v>917</v>
      </c>
      <c r="C310" s="161" t="s">
        <v>33</v>
      </c>
      <c r="D310" s="162" t="s">
        <v>918</v>
      </c>
      <c r="E310" s="252">
        <v>46331</v>
      </c>
      <c r="F310" s="164">
        <v>5</v>
      </c>
      <c r="G310" s="164">
        <v>9</v>
      </c>
      <c r="H310" s="164" t="s">
        <v>1498</v>
      </c>
    </row>
    <row r="311" ht="16" spans="1:8">
      <c r="A311" s="161" t="s">
        <v>919</v>
      </c>
      <c r="B311" s="161" t="s">
        <v>920</v>
      </c>
      <c r="C311" s="161" t="s">
        <v>13</v>
      </c>
      <c r="D311" s="162" t="s">
        <v>921</v>
      </c>
      <c r="E311" s="252">
        <v>46332</v>
      </c>
      <c r="F311" s="164">
        <v>6</v>
      </c>
      <c r="G311" s="164">
        <v>5</v>
      </c>
      <c r="H311" s="164" t="s">
        <v>1499</v>
      </c>
    </row>
    <row r="312" ht="16" spans="1:8">
      <c r="A312" s="161" t="s">
        <v>922</v>
      </c>
      <c r="B312" s="161" t="s">
        <v>923</v>
      </c>
      <c r="C312" s="161" t="s">
        <v>7</v>
      </c>
      <c r="D312" s="162" t="s">
        <v>924</v>
      </c>
      <c r="E312" s="252">
        <v>46333</v>
      </c>
      <c r="F312" s="164">
        <v>7</v>
      </c>
      <c r="G312" s="164">
        <v>3</v>
      </c>
      <c r="H312" s="164" t="s">
        <v>1500</v>
      </c>
    </row>
    <row r="313" ht="16" spans="1:8">
      <c r="A313" s="161" t="s">
        <v>925</v>
      </c>
      <c r="B313" s="161" t="s">
        <v>926</v>
      </c>
      <c r="C313" s="161" t="s">
        <v>33</v>
      </c>
      <c r="D313" s="162" t="s">
        <v>927</v>
      </c>
      <c r="E313" s="252">
        <v>46334</v>
      </c>
      <c r="F313" s="164">
        <v>8</v>
      </c>
      <c r="G313" s="164">
        <v>5</v>
      </c>
      <c r="H313" s="164" t="s">
        <v>1501</v>
      </c>
    </row>
    <row r="314" ht="16" spans="1:8">
      <c r="A314" s="161" t="s">
        <v>928</v>
      </c>
      <c r="B314" s="161" t="s">
        <v>929</v>
      </c>
      <c r="C314" s="161" t="s">
        <v>10</v>
      </c>
      <c r="D314" s="162" t="s">
        <v>930</v>
      </c>
      <c r="E314" s="252">
        <v>46335</v>
      </c>
      <c r="F314" s="164">
        <v>9</v>
      </c>
      <c r="G314" s="164">
        <v>7</v>
      </c>
      <c r="H314" s="164" t="s">
        <v>1495</v>
      </c>
    </row>
    <row r="315" ht="16" spans="1:8">
      <c r="A315" s="161" t="s">
        <v>931</v>
      </c>
      <c r="B315" s="161" t="s">
        <v>932</v>
      </c>
      <c r="C315" s="161" t="s">
        <v>7</v>
      </c>
      <c r="D315" s="162" t="s">
        <v>933</v>
      </c>
      <c r="E315" s="252">
        <v>46336</v>
      </c>
      <c r="F315" s="164">
        <v>4</v>
      </c>
      <c r="G315" s="164">
        <v>5</v>
      </c>
      <c r="H315" s="164" t="s">
        <v>1497</v>
      </c>
    </row>
    <row r="316" ht="16" spans="1:8">
      <c r="A316" s="161" t="s">
        <v>934</v>
      </c>
      <c r="B316" s="161" t="s">
        <v>935</v>
      </c>
      <c r="C316" s="161" t="s">
        <v>33</v>
      </c>
      <c r="D316" s="162" t="s">
        <v>936</v>
      </c>
      <c r="E316" s="252">
        <v>46337</v>
      </c>
      <c r="F316" s="164">
        <v>3</v>
      </c>
      <c r="G316" s="164">
        <v>6</v>
      </c>
      <c r="H316" s="164" t="s">
        <v>1498</v>
      </c>
    </row>
    <row r="317" ht="16" spans="1:8">
      <c r="A317" s="161" t="s">
        <v>937</v>
      </c>
      <c r="B317" s="161" t="s">
        <v>938</v>
      </c>
      <c r="C317" s="161" t="s">
        <v>13</v>
      </c>
      <c r="D317" s="162" t="s">
        <v>939</v>
      </c>
      <c r="E317" s="252">
        <v>46338</v>
      </c>
      <c r="F317" s="164">
        <v>8</v>
      </c>
      <c r="G317" s="164">
        <v>7</v>
      </c>
      <c r="H317" s="164" t="s">
        <v>1499</v>
      </c>
    </row>
    <row r="318" ht="16" spans="1:8">
      <c r="A318" s="161" t="s">
        <v>940</v>
      </c>
      <c r="B318" s="161" t="s">
        <v>941</v>
      </c>
      <c r="C318" s="161" t="s">
        <v>33</v>
      </c>
      <c r="D318" s="162" t="s">
        <v>942</v>
      </c>
      <c r="E318" s="252">
        <v>46339</v>
      </c>
      <c r="F318" s="164">
        <v>2</v>
      </c>
      <c r="G318" s="164">
        <v>8</v>
      </c>
      <c r="H318" s="164" t="s">
        <v>1500</v>
      </c>
    </row>
    <row r="319" ht="16" spans="1:8">
      <c r="A319" s="161" t="s">
        <v>943</v>
      </c>
      <c r="B319" s="161" t="s">
        <v>944</v>
      </c>
      <c r="C319" s="161" t="s">
        <v>10</v>
      </c>
      <c r="D319" s="162" t="s">
        <v>945</v>
      </c>
      <c r="E319" s="252">
        <v>46340</v>
      </c>
      <c r="F319" s="164">
        <v>9</v>
      </c>
      <c r="G319" s="164">
        <v>9</v>
      </c>
      <c r="H319" s="164" t="s">
        <v>1501</v>
      </c>
    </row>
    <row r="320" ht="16" spans="1:8">
      <c r="A320" s="161" t="s">
        <v>946</v>
      </c>
      <c r="B320" s="161" t="s">
        <v>947</v>
      </c>
      <c r="C320" s="161" t="s">
        <v>10</v>
      </c>
      <c r="D320" s="162" t="s">
        <v>948</v>
      </c>
      <c r="E320" s="252">
        <v>46341</v>
      </c>
      <c r="F320" s="164">
        <v>5</v>
      </c>
      <c r="G320" s="164">
        <v>4</v>
      </c>
      <c r="H320" s="164" t="s">
        <v>1495</v>
      </c>
    </row>
    <row r="321" ht="16" spans="1:8">
      <c r="A321" s="161" t="s">
        <v>949</v>
      </c>
      <c r="B321" s="161" t="s">
        <v>950</v>
      </c>
      <c r="C321" s="161" t="s">
        <v>7</v>
      </c>
      <c r="D321" s="162" t="s">
        <v>951</v>
      </c>
      <c r="E321" s="252">
        <v>46342</v>
      </c>
      <c r="F321" s="164">
        <v>3</v>
      </c>
      <c r="G321" s="164">
        <v>3</v>
      </c>
      <c r="H321" s="164" t="s">
        <v>1497</v>
      </c>
    </row>
    <row r="322" ht="16" spans="1:8">
      <c r="A322" s="161" t="s">
        <v>952</v>
      </c>
      <c r="B322" s="161" t="s">
        <v>953</v>
      </c>
      <c r="C322" s="161" t="s">
        <v>7</v>
      </c>
      <c r="D322" s="162" t="s">
        <v>954</v>
      </c>
      <c r="E322" s="252">
        <v>46343</v>
      </c>
      <c r="F322" s="164">
        <v>5</v>
      </c>
      <c r="G322" s="164">
        <v>8</v>
      </c>
      <c r="H322" s="164" t="s">
        <v>1498</v>
      </c>
    </row>
    <row r="323" ht="16" spans="1:8">
      <c r="A323" s="161" t="s">
        <v>955</v>
      </c>
      <c r="B323" s="161" t="s">
        <v>956</v>
      </c>
      <c r="C323" s="161" t="s">
        <v>13</v>
      </c>
      <c r="D323" s="162" t="s">
        <v>957</v>
      </c>
      <c r="E323" s="252">
        <v>46344</v>
      </c>
      <c r="F323" s="164">
        <v>7</v>
      </c>
      <c r="G323" s="164">
        <v>2</v>
      </c>
      <c r="H323" s="164" t="s">
        <v>1499</v>
      </c>
    </row>
    <row r="324" ht="16" spans="1:8">
      <c r="A324" s="161" t="s">
        <v>958</v>
      </c>
      <c r="B324" s="161" t="s">
        <v>959</v>
      </c>
      <c r="C324" s="161" t="s">
        <v>10</v>
      </c>
      <c r="D324" s="162" t="s">
        <v>960</v>
      </c>
      <c r="E324" s="252">
        <v>46345</v>
      </c>
      <c r="F324" s="164">
        <v>5</v>
      </c>
      <c r="G324" s="164">
        <v>9</v>
      </c>
      <c r="H324" s="164" t="s">
        <v>1500</v>
      </c>
    </row>
    <row r="325" ht="16" spans="1:8">
      <c r="A325" s="161" t="s">
        <v>961</v>
      </c>
      <c r="B325" s="161" t="s">
        <v>962</v>
      </c>
      <c r="C325" s="161" t="s">
        <v>33</v>
      </c>
      <c r="D325" s="162" t="s">
        <v>963</v>
      </c>
      <c r="E325" s="252">
        <v>46346</v>
      </c>
      <c r="F325" s="164">
        <v>6</v>
      </c>
      <c r="G325" s="164">
        <v>5</v>
      </c>
      <c r="H325" s="164" t="s">
        <v>1501</v>
      </c>
    </row>
    <row r="326" ht="16" spans="1:8">
      <c r="A326" s="161" t="s">
        <v>964</v>
      </c>
      <c r="B326" s="161" t="s">
        <v>965</v>
      </c>
      <c r="C326" s="161" t="s">
        <v>13</v>
      </c>
      <c r="D326" s="162" t="s">
        <v>966</v>
      </c>
      <c r="E326" s="252">
        <v>46347</v>
      </c>
      <c r="F326" s="164">
        <v>7</v>
      </c>
      <c r="G326" s="164">
        <v>3</v>
      </c>
      <c r="H326" s="164" t="s">
        <v>1495</v>
      </c>
    </row>
    <row r="327" ht="16" spans="1:8">
      <c r="A327" s="161" t="s">
        <v>967</v>
      </c>
      <c r="B327" s="161" t="s">
        <v>968</v>
      </c>
      <c r="C327" s="161" t="s">
        <v>13</v>
      </c>
      <c r="D327" s="162" t="s">
        <v>969</v>
      </c>
      <c r="E327" s="252">
        <v>46348</v>
      </c>
      <c r="F327" s="164">
        <v>8</v>
      </c>
      <c r="G327" s="164">
        <v>5</v>
      </c>
      <c r="H327" s="164" t="s">
        <v>1497</v>
      </c>
    </row>
    <row r="328" ht="16" spans="1:8">
      <c r="A328" s="161" t="s">
        <v>970</v>
      </c>
      <c r="B328" s="161" t="s">
        <v>971</v>
      </c>
      <c r="C328" s="161" t="s">
        <v>10</v>
      </c>
      <c r="D328" s="162" t="s">
        <v>972</v>
      </c>
      <c r="E328" s="252">
        <v>46349</v>
      </c>
      <c r="F328" s="164">
        <v>9</v>
      </c>
      <c r="G328" s="164">
        <v>7</v>
      </c>
      <c r="H328" s="164" t="s">
        <v>1498</v>
      </c>
    </row>
    <row r="329" ht="16" spans="1:8">
      <c r="A329" s="161" t="s">
        <v>973</v>
      </c>
      <c r="B329" s="161" t="s">
        <v>974</v>
      </c>
      <c r="C329" s="161" t="s">
        <v>33</v>
      </c>
      <c r="D329" s="162" t="s">
        <v>975</v>
      </c>
      <c r="E329" s="252">
        <v>46350</v>
      </c>
      <c r="F329" s="164">
        <v>4</v>
      </c>
      <c r="G329" s="164">
        <v>5</v>
      </c>
      <c r="H329" s="164" t="s">
        <v>1499</v>
      </c>
    </row>
    <row r="330" ht="16" spans="1:8">
      <c r="A330" s="161" t="s">
        <v>976</v>
      </c>
      <c r="B330" s="161" t="s">
        <v>977</v>
      </c>
      <c r="C330" s="161" t="s">
        <v>44</v>
      </c>
      <c r="D330" s="162" t="s">
        <v>978</v>
      </c>
      <c r="E330" s="252">
        <v>46351</v>
      </c>
      <c r="F330" s="164">
        <v>3</v>
      </c>
      <c r="G330" s="164">
        <v>6</v>
      </c>
      <c r="H330" s="164" t="s">
        <v>1500</v>
      </c>
    </row>
    <row r="331" ht="16" spans="1:8">
      <c r="A331" s="161" t="s">
        <v>979</v>
      </c>
      <c r="B331" s="161" t="s">
        <v>980</v>
      </c>
      <c r="C331" s="161" t="s">
        <v>44</v>
      </c>
      <c r="D331" s="162" t="s">
        <v>981</v>
      </c>
      <c r="E331" s="252">
        <v>46352</v>
      </c>
      <c r="F331" s="164">
        <v>8</v>
      </c>
      <c r="G331" s="164">
        <v>7</v>
      </c>
      <c r="H331" s="164" t="s">
        <v>1501</v>
      </c>
    </row>
    <row r="332" ht="16" spans="1:8">
      <c r="A332" s="161" t="s">
        <v>982</v>
      </c>
      <c r="B332" s="161" t="s">
        <v>983</v>
      </c>
      <c r="C332" s="161" t="s">
        <v>33</v>
      </c>
      <c r="D332" s="162" t="s">
        <v>984</v>
      </c>
      <c r="E332" s="252">
        <v>46353</v>
      </c>
      <c r="F332" s="164">
        <v>2</v>
      </c>
      <c r="G332" s="164">
        <v>8</v>
      </c>
      <c r="H332" s="164" t="s">
        <v>1495</v>
      </c>
    </row>
    <row r="333" ht="16" spans="1:8">
      <c r="A333" s="161" t="s">
        <v>985</v>
      </c>
      <c r="B333" s="161" t="s">
        <v>986</v>
      </c>
      <c r="C333" s="161" t="s">
        <v>44</v>
      </c>
      <c r="D333" s="162" t="s">
        <v>987</v>
      </c>
      <c r="E333" s="252">
        <v>46354</v>
      </c>
      <c r="F333" s="164">
        <v>9</v>
      </c>
      <c r="G333" s="164">
        <v>9</v>
      </c>
      <c r="H333" s="164" t="s">
        <v>1497</v>
      </c>
    </row>
    <row r="334" ht="16" spans="1:8">
      <c r="A334" s="161" t="s">
        <v>988</v>
      </c>
      <c r="B334" s="161" t="s">
        <v>989</v>
      </c>
      <c r="C334" s="161" t="s">
        <v>7</v>
      </c>
      <c r="D334" s="162" t="s">
        <v>990</v>
      </c>
      <c r="E334" s="252">
        <v>46355</v>
      </c>
      <c r="F334" s="164">
        <v>5</v>
      </c>
      <c r="G334" s="164">
        <v>4</v>
      </c>
      <c r="H334" s="164" t="s">
        <v>1498</v>
      </c>
    </row>
    <row r="335" ht="16" spans="1:8">
      <c r="A335" s="161" t="s">
        <v>991</v>
      </c>
      <c r="B335" s="161" t="s">
        <v>992</v>
      </c>
      <c r="C335" s="161" t="s">
        <v>10</v>
      </c>
      <c r="D335" s="162" t="s">
        <v>993</v>
      </c>
      <c r="E335" s="252">
        <v>46356</v>
      </c>
      <c r="F335" s="164">
        <v>3</v>
      </c>
      <c r="G335" s="164">
        <v>3</v>
      </c>
      <c r="H335" s="164" t="s">
        <v>1499</v>
      </c>
    </row>
    <row r="336" ht="16" spans="1:8">
      <c r="A336" s="161" t="s">
        <v>994</v>
      </c>
      <c r="B336" s="161" t="s">
        <v>995</v>
      </c>
      <c r="C336" s="161" t="s">
        <v>44</v>
      </c>
      <c r="D336" s="162" t="s">
        <v>996</v>
      </c>
      <c r="E336" s="252">
        <v>46357</v>
      </c>
      <c r="F336" s="164">
        <v>5</v>
      </c>
      <c r="G336" s="164">
        <v>8</v>
      </c>
      <c r="H336" s="164" t="s">
        <v>1500</v>
      </c>
    </row>
    <row r="337" ht="16" spans="1:8">
      <c r="A337" s="161" t="s">
        <v>997</v>
      </c>
      <c r="B337" s="161" t="s">
        <v>998</v>
      </c>
      <c r="C337" s="161" t="s">
        <v>7</v>
      </c>
      <c r="D337" s="162" t="s">
        <v>999</v>
      </c>
      <c r="E337" s="252">
        <v>46358</v>
      </c>
      <c r="F337" s="164">
        <v>7</v>
      </c>
      <c r="G337" s="164">
        <v>2</v>
      </c>
      <c r="H337" s="164" t="s">
        <v>1501</v>
      </c>
    </row>
    <row r="338" ht="16" spans="1:8">
      <c r="A338" s="161" t="s">
        <v>1000</v>
      </c>
      <c r="B338" s="161" t="s">
        <v>1001</v>
      </c>
      <c r="C338" s="161" t="s">
        <v>7</v>
      </c>
      <c r="D338" s="162" t="s">
        <v>1002</v>
      </c>
      <c r="E338" s="252">
        <v>46359</v>
      </c>
      <c r="F338" s="164">
        <v>5</v>
      </c>
      <c r="G338" s="164">
        <v>9</v>
      </c>
      <c r="H338" s="164" t="s">
        <v>1495</v>
      </c>
    </row>
    <row r="339" ht="16" spans="1:8">
      <c r="A339" s="161" t="s">
        <v>1003</v>
      </c>
      <c r="B339" s="161" t="s">
        <v>1004</v>
      </c>
      <c r="C339" s="161" t="s">
        <v>33</v>
      </c>
      <c r="D339" s="162" t="s">
        <v>1005</v>
      </c>
      <c r="E339" s="252">
        <v>46360</v>
      </c>
      <c r="F339" s="164">
        <v>6</v>
      </c>
      <c r="G339" s="164">
        <v>5</v>
      </c>
      <c r="H339" s="164" t="s">
        <v>1497</v>
      </c>
    </row>
    <row r="340" ht="16" spans="1:8">
      <c r="A340" s="161" t="s">
        <v>1006</v>
      </c>
      <c r="B340" s="161" t="s">
        <v>1007</v>
      </c>
      <c r="C340" s="161" t="s">
        <v>13</v>
      </c>
      <c r="D340" s="162" t="s">
        <v>1008</v>
      </c>
      <c r="E340" s="252">
        <v>46361</v>
      </c>
      <c r="F340" s="164">
        <v>7</v>
      </c>
      <c r="G340" s="164">
        <v>3</v>
      </c>
      <c r="H340" s="164" t="s">
        <v>1498</v>
      </c>
    </row>
    <row r="341" ht="16" spans="1:8">
      <c r="A341" s="161" t="s">
        <v>1009</v>
      </c>
      <c r="B341" s="161" t="s">
        <v>1010</v>
      </c>
      <c r="C341" s="161" t="s">
        <v>10</v>
      </c>
      <c r="D341" s="162" t="s">
        <v>1011</v>
      </c>
      <c r="E341" s="252">
        <v>46362</v>
      </c>
      <c r="F341" s="164">
        <v>8</v>
      </c>
      <c r="G341" s="164">
        <v>5</v>
      </c>
      <c r="H341" s="164" t="s">
        <v>1499</v>
      </c>
    </row>
    <row r="342" ht="16" spans="1:8">
      <c r="A342" s="161" t="s">
        <v>1012</v>
      </c>
      <c r="B342" s="161" t="s">
        <v>1013</v>
      </c>
      <c r="C342" s="161" t="s">
        <v>10</v>
      </c>
      <c r="D342" s="162" t="s">
        <v>1014</v>
      </c>
      <c r="E342" s="252">
        <v>46363</v>
      </c>
      <c r="F342" s="164">
        <v>9</v>
      </c>
      <c r="G342" s="164">
        <v>7</v>
      </c>
      <c r="H342" s="164" t="s">
        <v>1500</v>
      </c>
    </row>
    <row r="343" ht="16" spans="1:8">
      <c r="A343" s="161" t="s">
        <v>1015</v>
      </c>
      <c r="B343" s="161" t="s">
        <v>1016</v>
      </c>
      <c r="C343" s="161" t="s">
        <v>33</v>
      </c>
      <c r="D343" s="162" t="s">
        <v>1017</v>
      </c>
      <c r="E343" s="252">
        <v>46364</v>
      </c>
      <c r="F343" s="164">
        <v>4</v>
      </c>
      <c r="G343" s="164">
        <v>5</v>
      </c>
      <c r="H343" s="164" t="s">
        <v>1501</v>
      </c>
    </row>
    <row r="344" ht="16" spans="1:8">
      <c r="A344" s="161" t="s">
        <v>1018</v>
      </c>
      <c r="B344" s="161" t="s">
        <v>1019</v>
      </c>
      <c r="C344" s="161" t="s">
        <v>33</v>
      </c>
      <c r="D344" s="162" t="s">
        <v>1020</v>
      </c>
      <c r="E344" s="252">
        <v>46365</v>
      </c>
      <c r="F344" s="164">
        <v>3</v>
      </c>
      <c r="G344" s="164">
        <v>6</v>
      </c>
      <c r="H344" s="164" t="s">
        <v>1495</v>
      </c>
    </row>
    <row r="345" ht="16" spans="1:8">
      <c r="A345" s="161" t="s">
        <v>1021</v>
      </c>
      <c r="B345" s="161" t="s">
        <v>1022</v>
      </c>
      <c r="C345" s="161" t="s">
        <v>7</v>
      </c>
      <c r="D345" s="162" t="s">
        <v>1023</v>
      </c>
      <c r="E345" s="252">
        <v>46366</v>
      </c>
      <c r="F345" s="164">
        <v>8</v>
      </c>
      <c r="G345" s="164">
        <v>7</v>
      </c>
      <c r="H345" s="164" t="s">
        <v>1497</v>
      </c>
    </row>
    <row r="346" ht="16" spans="1:8">
      <c r="A346" s="161" t="s">
        <v>1024</v>
      </c>
      <c r="B346" s="161" t="s">
        <v>1025</v>
      </c>
      <c r="C346" s="161" t="s">
        <v>13</v>
      </c>
      <c r="D346" s="162" t="s">
        <v>1026</v>
      </c>
      <c r="E346" s="252">
        <v>46367</v>
      </c>
      <c r="F346" s="164">
        <v>2</v>
      </c>
      <c r="G346" s="164">
        <v>8</v>
      </c>
      <c r="H346" s="164" t="s">
        <v>1498</v>
      </c>
    </row>
    <row r="347" ht="16" spans="1:8">
      <c r="A347" s="161" t="s">
        <v>1027</v>
      </c>
      <c r="B347" s="161" t="s">
        <v>1028</v>
      </c>
      <c r="C347" s="161" t="s">
        <v>44</v>
      </c>
      <c r="D347" s="162" t="s">
        <v>1029</v>
      </c>
      <c r="E347" s="252">
        <v>46368</v>
      </c>
      <c r="F347" s="164">
        <v>9</v>
      </c>
      <c r="G347" s="164">
        <v>9</v>
      </c>
      <c r="H347" s="164" t="s">
        <v>1499</v>
      </c>
    </row>
    <row r="348" ht="16" spans="1:8">
      <c r="A348" s="161" t="s">
        <v>1030</v>
      </c>
      <c r="B348" s="161" t="s">
        <v>1031</v>
      </c>
      <c r="C348" s="161" t="s">
        <v>7</v>
      </c>
      <c r="D348" s="162" t="s">
        <v>1032</v>
      </c>
      <c r="E348" s="252">
        <v>46369</v>
      </c>
      <c r="F348" s="164">
        <v>5</v>
      </c>
      <c r="G348" s="164">
        <v>4</v>
      </c>
      <c r="H348" s="164" t="s">
        <v>1500</v>
      </c>
    </row>
    <row r="349" ht="16" spans="1:8">
      <c r="A349" s="161" t="s">
        <v>1033</v>
      </c>
      <c r="B349" s="161" t="s">
        <v>1034</v>
      </c>
      <c r="C349" s="161" t="s">
        <v>13</v>
      </c>
      <c r="D349" s="162" t="s">
        <v>1035</v>
      </c>
      <c r="E349" s="252">
        <v>46370</v>
      </c>
      <c r="F349" s="164">
        <v>3</v>
      </c>
      <c r="G349" s="164">
        <v>3</v>
      </c>
      <c r="H349" s="164" t="s">
        <v>1501</v>
      </c>
    </row>
    <row r="350" ht="16" spans="1:8">
      <c r="A350" s="161" t="s">
        <v>1036</v>
      </c>
      <c r="B350" s="161" t="s">
        <v>1037</v>
      </c>
      <c r="C350" s="161" t="s">
        <v>44</v>
      </c>
      <c r="D350" s="162" t="s">
        <v>1038</v>
      </c>
      <c r="E350" s="252">
        <v>46371</v>
      </c>
      <c r="F350" s="164">
        <v>5</v>
      </c>
      <c r="G350" s="164">
        <v>8</v>
      </c>
      <c r="H350" s="164" t="s">
        <v>1495</v>
      </c>
    </row>
    <row r="351" ht="16" spans="1:8">
      <c r="A351" s="161" t="s">
        <v>1039</v>
      </c>
      <c r="B351" s="161" t="s">
        <v>1040</v>
      </c>
      <c r="C351" s="161" t="s">
        <v>33</v>
      </c>
      <c r="D351" s="162" t="s">
        <v>1041</v>
      </c>
      <c r="E351" s="252">
        <v>46372</v>
      </c>
      <c r="F351" s="164">
        <v>7</v>
      </c>
      <c r="G351" s="164">
        <v>2</v>
      </c>
      <c r="H351" s="164" t="s">
        <v>1497</v>
      </c>
    </row>
    <row r="352" ht="16" spans="1:8">
      <c r="A352" s="161" t="s">
        <v>1042</v>
      </c>
      <c r="B352" s="161" t="s">
        <v>1043</v>
      </c>
      <c r="C352" s="161" t="s">
        <v>10</v>
      </c>
      <c r="D352" s="162" t="s">
        <v>1044</v>
      </c>
      <c r="E352" s="252">
        <v>46373</v>
      </c>
      <c r="F352" s="164">
        <v>5</v>
      </c>
      <c r="G352" s="164">
        <v>9</v>
      </c>
      <c r="H352" s="164" t="s">
        <v>1498</v>
      </c>
    </row>
    <row r="353" ht="16" spans="1:8">
      <c r="A353" s="161" t="s">
        <v>1045</v>
      </c>
      <c r="B353" s="161" t="s">
        <v>1046</v>
      </c>
      <c r="C353" s="161" t="s">
        <v>7</v>
      </c>
      <c r="D353" s="162" t="s">
        <v>1047</v>
      </c>
      <c r="E353" s="252">
        <v>46374</v>
      </c>
      <c r="F353" s="164">
        <v>6</v>
      </c>
      <c r="G353" s="164">
        <v>5</v>
      </c>
      <c r="H353" s="164" t="s">
        <v>1499</v>
      </c>
    </row>
    <row r="354" ht="16" spans="1:8">
      <c r="A354" s="161" t="s">
        <v>1048</v>
      </c>
      <c r="B354" s="161" t="s">
        <v>1049</v>
      </c>
      <c r="C354" s="161" t="s">
        <v>10</v>
      </c>
      <c r="D354" s="162" t="s">
        <v>1050</v>
      </c>
      <c r="E354" s="252">
        <v>46375</v>
      </c>
      <c r="F354" s="164">
        <v>7</v>
      </c>
      <c r="G354" s="164">
        <v>3</v>
      </c>
      <c r="H354" s="164" t="s">
        <v>1500</v>
      </c>
    </row>
    <row r="355" ht="16" spans="1:8">
      <c r="A355" s="161" t="s">
        <v>1051</v>
      </c>
      <c r="B355" s="161" t="s">
        <v>1052</v>
      </c>
      <c r="C355" s="161" t="s">
        <v>13</v>
      </c>
      <c r="D355" s="162" t="s">
        <v>1053</v>
      </c>
      <c r="E355" s="252">
        <v>46376</v>
      </c>
      <c r="F355" s="164">
        <v>8</v>
      </c>
      <c r="G355" s="164">
        <v>5</v>
      </c>
      <c r="H355" s="164" t="s">
        <v>1501</v>
      </c>
    </row>
    <row r="356" ht="16" spans="1:8">
      <c r="A356" s="161" t="s">
        <v>1054</v>
      </c>
      <c r="B356" s="161" t="s">
        <v>1055</v>
      </c>
      <c r="C356" s="161" t="s">
        <v>7</v>
      </c>
      <c r="D356" s="162" t="s">
        <v>1056</v>
      </c>
      <c r="E356" s="252">
        <v>46377</v>
      </c>
      <c r="F356" s="164">
        <v>9</v>
      </c>
      <c r="G356" s="164">
        <v>7</v>
      </c>
      <c r="H356" s="164" t="s">
        <v>1495</v>
      </c>
    </row>
    <row r="357" ht="16" spans="1:8">
      <c r="A357" s="161" t="s">
        <v>1057</v>
      </c>
      <c r="B357" s="161" t="s">
        <v>1058</v>
      </c>
      <c r="C357" s="161" t="s">
        <v>10</v>
      </c>
      <c r="D357" s="162" t="s">
        <v>1059</v>
      </c>
      <c r="E357" s="252">
        <v>46378</v>
      </c>
      <c r="F357" s="164">
        <v>4</v>
      </c>
      <c r="G357" s="164">
        <v>5</v>
      </c>
      <c r="H357" s="164" t="s">
        <v>1497</v>
      </c>
    </row>
    <row r="358" ht="16" spans="1:8">
      <c r="A358" s="161" t="s">
        <v>1060</v>
      </c>
      <c r="B358" s="161" t="s">
        <v>1061</v>
      </c>
      <c r="C358" s="161" t="s">
        <v>13</v>
      </c>
      <c r="D358" s="162" t="s">
        <v>1062</v>
      </c>
      <c r="E358" s="252">
        <v>46379</v>
      </c>
      <c r="F358" s="164">
        <v>3</v>
      </c>
      <c r="G358" s="164">
        <v>6</v>
      </c>
      <c r="H358" s="164" t="s">
        <v>1498</v>
      </c>
    </row>
    <row r="359" ht="16" spans="1:8">
      <c r="A359" s="161" t="s">
        <v>1063</v>
      </c>
      <c r="B359" s="161" t="s">
        <v>1064</v>
      </c>
      <c r="C359" s="161" t="s">
        <v>10</v>
      </c>
      <c r="D359" s="162" t="s">
        <v>1065</v>
      </c>
      <c r="E359" s="252">
        <v>46380</v>
      </c>
      <c r="F359" s="164">
        <v>8</v>
      </c>
      <c r="G359" s="164">
        <v>7</v>
      </c>
      <c r="H359" s="164" t="s">
        <v>1499</v>
      </c>
    </row>
    <row r="360" ht="16" spans="1:8">
      <c r="A360" s="161" t="s">
        <v>1066</v>
      </c>
      <c r="B360" s="161" t="s">
        <v>1067</v>
      </c>
      <c r="C360" s="161" t="s">
        <v>33</v>
      </c>
      <c r="D360" s="162" t="s">
        <v>1068</v>
      </c>
      <c r="E360" s="252">
        <v>46381</v>
      </c>
      <c r="F360" s="164">
        <v>2</v>
      </c>
      <c r="G360" s="164">
        <v>8</v>
      </c>
      <c r="H360" s="164" t="s">
        <v>1500</v>
      </c>
    </row>
    <row r="361" ht="16" spans="1:8">
      <c r="A361" s="161" t="s">
        <v>1069</v>
      </c>
      <c r="B361" s="161" t="s">
        <v>1070</v>
      </c>
      <c r="C361" s="161" t="s">
        <v>10</v>
      </c>
      <c r="D361" s="162" t="s">
        <v>1071</v>
      </c>
      <c r="E361" s="252">
        <v>46382</v>
      </c>
      <c r="F361" s="164">
        <v>9</v>
      </c>
      <c r="G361" s="164">
        <v>9</v>
      </c>
      <c r="H361" s="164" t="s">
        <v>1501</v>
      </c>
    </row>
    <row r="362" ht="16" spans="1:8">
      <c r="A362" s="161" t="s">
        <v>1072</v>
      </c>
      <c r="B362" s="161" t="s">
        <v>1073</v>
      </c>
      <c r="C362" s="161" t="s">
        <v>33</v>
      </c>
      <c r="D362" s="162" t="s">
        <v>1074</v>
      </c>
      <c r="E362" s="252">
        <v>46383</v>
      </c>
      <c r="F362" s="164">
        <v>5</v>
      </c>
      <c r="G362" s="164">
        <v>4</v>
      </c>
      <c r="H362" s="164" t="s">
        <v>1495</v>
      </c>
    </row>
    <row r="363" ht="16" spans="1:8">
      <c r="A363" s="161" t="s">
        <v>1075</v>
      </c>
      <c r="B363" s="161" t="s">
        <v>1076</v>
      </c>
      <c r="C363" s="161" t="s">
        <v>44</v>
      </c>
      <c r="D363" s="162" t="s">
        <v>1077</v>
      </c>
      <c r="E363" s="252">
        <v>46384</v>
      </c>
      <c r="F363" s="164">
        <v>3</v>
      </c>
      <c r="G363" s="164">
        <v>3</v>
      </c>
      <c r="H363" s="164" t="s">
        <v>1497</v>
      </c>
    </row>
    <row r="364" ht="16" spans="1:8">
      <c r="A364" s="161" t="s">
        <v>1078</v>
      </c>
      <c r="B364" s="161" t="s">
        <v>1079</v>
      </c>
      <c r="C364" s="161" t="s">
        <v>44</v>
      </c>
      <c r="D364" s="162" t="s">
        <v>1080</v>
      </c>
      <c r="E364" s="252">
        <v>46385</v>
      </c>
      <c r="F364" s="164">
        <v>5</v>
      </c>
      <c r="G364" s="164">
        <v>8</v>
      </c>
      <c r="H364" s="164" t="s">
        <v>1498</v>
      </c>
    </row>
    <row r="365" ht="16" spans="1:8">
      <c r="A365" s="161" t="s">
        <v>1081</v>
      </c>
      <c r="B365" s="161" t="s">
        <v>1082</v>
      </c>
      <c r="C365" s="161" t="s">
        <v>13</v>
      </c>
      <c r="D365" s="162" t="s">
        <v>1083</v>
      </c>
      <c r="E365" s="252">
        <v>46386</v>
      </c>
      <c r="F365" s="164">
        <v>7</v>
      </c>
      <c r="G365" s="164">
        <v>2</v>
      </c>
      <c r="H365" s="164" t="s">
        <v>1499</v>
      </c>
    </row>
    <row r="366" ht="16" spans="1:8">
      <c r="A366" s="161" t="s">
        <v>1084</v>
      </c>
      <c r="B366" s="161" t="s">
        <v>1085</v>
      </c>
      <c r="C366" s="161" t="s">
        <v>10</v>
      </c>
      <c r="D366" s="162" t="s">
        <v>1086</v>
      </c>
      <c r="E366" s="252">
        <v>46387</v>
      </c>
      <c r="F366" s="164">
        <v>5</v>
      </c>
      <c r="G366" s="164">
        <v>9</v>
      </c>
      <c r="H366" s="164" t="s">
        <v>1500</v>
      </c>
    </row>
    <row r="367" ht="16" spans="1:8">
      <c r="A367" s="161" t="s">
        <v>1087</v>
      </c>
      <c r="B367" s="161" t="s">
        <v>1088</v>
      </c>
      <c r="C367" s="161" t="s">
        <v>44</v>
      </c>
      <c r="D367" s="162" t="s">
        <v>1089</v>
      </c>
      <c r="E367" s="252">
        <v>46388</v>
      </c>
      <c r="F367" s="164">
        <v>6</v>
      </c>
      <c r="G367" s="164">
        <v>5</v>
      </c>
      <c r="H367" s="164" t="s">
        <v>1501</v>
      </c>
    </row>
    <row r="368" ht="16" spans="1:8">
      <c r="A368" s="161" t="s">
        <v>1090</v>
      </c>
      <c r="B368" s="161" t="s">
        <v>1091</v>
      </c>
      <c r="C368" s="161" t="s">
        <v>33</v>
      </c>
      <c r="D368" s="162" t="s">
        <v>1092</v>
      </c>
      <c r="E368" s="252">
        <v>46389</v>
      </c>
      <c r="F368" s="164">
        <v>7</v>
      </c>
      <c r="G368" s="164">
        <v>3</v>
      </c>
      <c r="H368" s="164" t="s">
        <v>1495</v>
      </c>
    </row>
    <row r="369" ht="16" spans="1:8">
      <c r="A369" s="161" t="s">
        <v>1093</v>
      </c>
      <c r="B369" s="161" t="s">
        <v>1094</v>
      </c>
      <c r="C369" s="161" t="s">
        <v>44</v>
      </c>
      <c r="D369" s="162" t="s">
        <v>1095</v>
      </c>
      <c r="E369" s="252">
        <v>46390</v>
      </c>
      <c r="F369" s="164">
        <v>8</v>
      </c>
      <c r="G369" s="164">
        <v>5</v>
      </c>
      <c r="H369" s="164" t="s">
        <v>1497</v>
      </c>
    </row>
    <row r="370" ht="16" spans="1:8">
      <c r="A370" s="161" t="s">
        <v>1096</v>
      </c>
      <c r="B370" s="161" t="s">
        <v>1097</v>
      </c>
      <c r="C370" s="161" t="s">
        <v>13</v>
      </c>
      <c r="D370" s="162" t="s">
        <v>1098</v>
      </c>
      <c r="E370" s="252">
        <v>46391</v>
      </c>
      <c r="F370" s="164">
        <v>9</v>
      </c>
      <c r="G370" s="164">
        <v>7</v>
      </c>
      <c r="H370" s="164" t="s">
        <v>1498</v>
      </c>
    </row>
    <row r="371" ht="16" spans="1:8">
      <c r="A371" s="161" t="s">
        <v>1099</v>
      </c>
      <c r="B371" s="161" t="s">
        <v>1100</v>
      </c>
      <c r="C371" s="161" t="s">
        <v>13</v>
      </c>
      <c r="D371" s="162" t="s">
        <v>1101</v>
      </c>
      <c r="E371" s="252">
        <v>46392</v>
      </c>
      <c r="F371" s="164">
        <v>4</v>
      </c>
      <c r="G371" s="164">
        <v>5</v>
      </c>
      <c r="H371" s="164" t="s">
        <v>1499</v>
      </c>
    </row>
    <row r="372" ht="16" spans="1:8">
      <c r="A372" s="161" t="s">
        <v>1102</v>
      </c>
      <c r="B372" s="161" t="s">
        <v>1103</v>
      </c>
      <c r="C372" s="161" t="s">
        <v>33</v>
      </c>
      <c r="D372" s="162" t="s">
        <v>1104</v>
      </c>
      <c r="E372" s="252">
        <v>46393</v>
      </c>
      <c r="F372" s="164">
        <v>3</v>
      </c>
      <c r="G372" s="164">
        <v>6</v>
      </c>
      <c r="H372" s="164" t="s">
        <v>1500</v>
      </c>
    </row>
    <row r="373" ht="16" spans="1:8">
      <c r="A373" s="161" t="s">
        <v>1105</v>
      </c>
      <c r="B373" s="161" t="s">
        <v>1106</v>
      </c>
      <c r="C373" s="161" t="s">
        <v>7</v>
      </c>
      <c r="D373" s="162" t="s">
        <v>1107</v>
      </c>
      <c r="E373" s="252">
        <v>46394</v>
      </c>
      <c r="F373" s="164">
        <v>8</v>
      </c>
      <c r="G373" s="164">
        <v>7</v>
      </c>
      <c r="H373" s="164" t="s">
        <v>1501</v>
      </c>
    </row>
    <row r="374" ht="16" spans="1:8">
      <c r="A374" s="161" t="s">
        <v>1108</v>
      </c>
      <c r="B374" s="161" t="s">
        <v>1109</v>
      </c>
      <c r="C374" s="161" t="s">
        <v>44</v>
      </c>
      <c r="D374" s="162" t="s">
        <v>1110</v>
      </c>
      <c r="E374" s="252">
        <v>46395</v>
      </c>
      <c r="F374" s="164">
        <v>2</v>
      </c>
      <c r="G374" s="164">
        <v>8</v>
      </c>
      <c r="H374" s="164" t="s">
        <v>1495</v>
      </c>
    </row>
    <row r="375" ht="16" spans="1:8">
      <c r="A375" s="161" t="s">
        <v>1111</v>
      </c>
      <c r="B375" s="161" t="s">
        <v>1112</v>
      </c>
      <c r="C375" s="161" t="s">
        <v>7</v>
      </c>
      <c r="D375" s="162" t="s">
        <v>1113</v>
      </c>
      <c r="E375" s="252">
        <v>46396</v>
      </c>
      <c r="F375" s="164">
        <v>9</v>
      </c>
      <c r="G375" s="164">
        <v>9</v>
      </c>
      <c r="H375" s="164" t="s">
        <v>1497</v>
      </c>
    </row>
    <row r="376" ht="16" spans="1:8">
      <c r="A376" s="161" t="s">
        <v>1114</v>
      </c>
      <c r="B376" s="161" t="s">
        <v>1115</v>
      </c>
      <c r="C376" s="161" t="s">
        <v>10</v>
      </c>
      <c r="D376" s="162" t="s">
        <v>1116</v>
      </c>
      <c r="E376" s="252">
        <v>46397</v>
      </c>
      <c r="F376" s="164">
        <v>5</v>
      </c>
      <c r="G376" s="164">
        <v>4</v>
      </c>
      <c r="H376" s="164" t="s">
        <v>1498</v>
      </c>
    </row>
    <row r="377" ht="16" spans="1:8">
      <c r="A377" s="161" t="s">
        <v>1117</v>
      </c>
      <c r="B377" s="161" t="s">
        <v>1118</v>
      </c>
      <c r="C377" s="161" t="s">
        <v>33</v>
      </c>
      <c r="D377" s="162" t="s">
        <v>1119</v>
      </c>
      <c r="E377" s="252">
        <v>46398</v>
      </c>
      <c r="F377" s="164">
        <v>3</v>
      </c>
      <c r="G377" s="164">
        <v>3</v>
      </c>
      <c r="H377" s="164" t="s">
        <v>1499</v>
      </c>
    </row>
    <row r="378" ht="16" spans="1:8">
      <c r="A378" s="161" t="s">
        <v>1120</v>
      </c>
      <c r="B378" s="161" t="s">
        <v>1121</v>
      </c>
      <c r="C378" s="161" t="s">
        <v>44</v>
      </c>
      <c r="D378" s="162" t="s">
        <v>1122</v>
      </c>
      <c r="E378" s="252">
        <v>46399</v>
      </c>
      <c r="F378" s="164">
        <v>5</v>
      </c>
      <c r="G378" s="164">
        <v>8</v>
      </c>
      <c r="H378" s="164" t="s">
        <v>1500</v>
      </c>
    </row>
    <row r="379" ht="16" spans="1:8">
      <c r="A379" s="161" t="s">
        <v>1123</v>
      </c>
      <c r="B379" s="161" t="s">
        <v>1124</v>
      </c>
      <c r="C379" s="161" t="s">
        <v>33</v>
      </c>
      <c r="D379" s="162" t="s">
        <v>1125</v>
      </c>
      <c r="E379" s="252">
        <v>46400</v>
      </c>
      <c r="F379" s="164">
        <v>7</v>
      </c>
      <c r="G379" s="164">
        <v>2</v>
      </c>
      <c r="H379" s="164" t="s">
        <v>1501</v>
      </c>
    </row>
    <row r="380" ht="16" spans="1:8">
      <c r="A380" s="161" t="s">
        <v>1126</v>
      </c>
      <c r="B380" s="161" t="s">
        <v>1127</v>
      </c>
      <c r="C380" s="161" t="s">
        <v>7</v>
      </c>
      <c r="D380" s="162" t="s">
        <v>1128</v>
      </c>
      <c r="E380" s="252">
        <v>46401</v>
      </c>
      <c r="F380" s="164">
        <v>5</v>
      </c>
      <c r="G380" s="164">
        <v>9</v>
      </c>
      <c r="H380" s="164" t="s">
        <v>1495</v>
      </c>
    </row>
    <row r="381" ht="16" spans="1:8">
      <c r="A381" s="161" t="s">
        <v>1129</v>
      </c>
      <c r="B381" s="161" t="s">
        <v>1130</v>
      </c>
      <c r="C381" s="161" t="s">
        <v>44</v>
      </c>
      <c r="D381" s="162" t="s">
        <v>1131</v>
      </c>
      <c r="E381" s="252">
        <v>46402</v>
      </c>
      <c r="F381" s="164">
        <v>6</v>
      </c>
      <c r="G381" s="164">
        <v>5</v>
      </c>
      <c r="H381" s="164" t="s">
        <v>1497</v>
      </c>
    </row>
    <row r="382" ht="16" spans="1:8">
      <c r="A382" s="161" t="s">
        <v>1132</v>
      </c>
      <c r="B382" s="161" t="s">
        <v>1133</v>
      </c>
      <c r="C382" s="161" t="s">
        <v>7</v>
      </c>
      <c r="D382" s="162" t="s">
        <v>1134</v>
      </c>
      <c r="E382" s="252">
        <v>46403</v>
      </c>
      <c r="F382" s="164">
        <v>7</v>
      </c>
      <c r="G382" s="164">
        <v>3</v>
      </c>
      <c r="H382" s="164" t="s">
        <v>1498</v>
      </c>
    </row>
    <row r="383" ht="16" spans="1:8">
      <c r="A383" s="161" t="s">
        <v>1135</v>
      </c>
      <c r="B383" s="161" t="s">
        <v>1136</v>
      </c>
      <c r="C383" s="161" t="s">
        <v>33</v>
      </c>
      <c r="D383" s="162" t="s">
        <v>1137</v>
      </c>
      <c r="E383" s="252">
        <v>46404</v>
      </c>
      <c r="F383" s="164">
        <v>8</v>
      </c>
      <c r="G383" s="164">
        <v>5</v>
      </c>
      <c r="H383" s="164" t="s">
        <v>1499</v>
      </c>
    </row>
    <row r="384" ht="16" spans="1:8">
      <c r="A384" s="161" t="s">
        <v>1138</v>
      </c>
      <c r="B384" s="161" t="s">
        <v>1139</v>
      </c>
      <c r="C384" s="161" t="s">
        <v>7</v>
      </c>
      <c r="D384" s="162" t="s">
        <v>1140</v>
      </c>
      <c r="E384" s="252">
        <v>46405</v>
      </c>
      <c r="F384" s="164">
        <v>9</v>
      </c>
      <c r="G384" s="164">
        <v>7</v>
      </c>
      <c r="H384" s="164" t="s">
        <v>1500</v>
      </c>
    </row>
    <row r="385" ht="16" spans="1:8">
      <c r="A385" s="161" t="s">
        <v>1141</v>
      </c>
      <c r="B385" s="161" t="s">
        <v>1142</v>
      </c>
      <c r="C385" s="161" t="s">
        <v>13</v>
      </c>
      <c r="D385" s="162" t="s">
        <v>1143</v>
      </c>
      <c r="E385" s="252">
        <v>46406</v>
      </c>
      <c r="F385" s="164">
        <v>4</v>
      </c>
      <c r="G385" s="164">
        <v>5</v>
      </c>
      <c r="H385" s="164" t="s">
        <v>1501</v>
      </c>
    </row>
    <row r="386" ht="16" spans="1:8">
      <c r="A386" s="161" t="s">
        <v>1144</v>
      </c>
      <c r="B386" s="161" t="s">
        <v>1145</v>
      </c>
      <c r="C386" s="161" t="s">
        <v>7</v>
      </c>
      <c r="D386" s="162" t="s">
        <v>1146</v>
      </c>
      <c r="E386" s="252">
        <v>46407</v>
      </c>
      <c r="F386" s="164">
        <v>3</v>
      </c>
      <c r="G386" s="164">
        <v>6</v>
      </c>
      <c r="H386" s="164" t="s">
        <v>1495</v>
      </c>
    </row>
    <row r="387" ht="16" spans="1:8">
      <c r="A387" s="161" t="s">
        <v>1147</v>
      </c>
      <c r="B387" s="161" t="s">
        <v>1148</v>
      </c>
      <c r="C387" s="161" t="s">
        <v>10</v>
      </c>
      <c r="D387" s="162" t="s">
        <v>1149</v>
      </c>
      <c r="E387" s="252">
        <v>46408</v>
      </c>
      <c r="F387" s="164">
        <v>8</v>
      </c>
      <c r="G387" s="164">
        <v>7</v>
      </c>
      <c r="H387" s="164" t="s">
        <v>1497</v>
      </c>
    </row>
    <row r="388" ht="16" spans="1:8">
      <c r="A388" s="161" t="s">
        <v>1150</v>
      </c>
      <c r="B388" s="161" t="s">
        <v>1151</v>
      </c>
      <c r="C388" s="161" t="s">
        <v>33</v>
      </c>
      <c r="D388" s="162" t="s">
        <v>1152</v>
      </c>
      <c r="E388" s="252">
        <v>46409</v>
      </c>
      <c r="F388" s="164">
        <v>2</v>
      </c>
      <c r="G388" s="164">
        <v>8</v>
      </c>
      <c r="H388" s="164" t="s">
        <v>1498</v>
      </c>
    </row>
    <row r="389" ht="16" spans="1:8">
      <c r="A389" s="161" t="s">
        <v>1153</v>
      </c>
      <c r="B389" s="161" t="s">
        <v>1154</v>
      </c>
      <c r="C389" s="161" t="s">
        <v>13</v>
      </c>
      <c r="D389" s="162" t="s">
        <v>1155</v>
      </c>
      <c r="E389" s="252">
        <v>46410</v>
      </c>
      <c r="F389" s="164">
        <v>9</v>
      </c>
      <c r="G389" s="164">
        <v>9</v>
      </c>
      <c r="H389" s="164" t="s">
        <v>1499</v>
      </c>
    </row>
    <row r="390" ht="16" spans="1:8">
      <c r="A390" s="161" t="s">
        <v>1156</v>
      </c>
      <c r="B390" s="161" t="s">
        <v>1157</v>
      </c>
      <c r="C390" s="161" t="s">
        <v>13</v>
      </c>
      <c r="D390" s="162" t="s">
        <v>1158</v>
      </c>
      <c r="E390" s="252">
        <v>46411</v>
      </c>
      <c r="F390" s="164">
        <v>5</v>
      </c>
      <c r="G390" s="164">
        <v>4</v>
      </c>
      <c r="H390" s="164" t="s">
        <v>1500</v>
      </c>
    </row>
    <row r="391" ht="16" spans="1:8">
      <c r="A391" s="161" t="s">
        <v>1159</v>
      </c>
      <c r="B391" s="161" t="s">
        <v>1160</v>
      </c>
      <c r="C391" s="161" t="s">
        <v>10</v>
      </c>
      <c r="D391" s="162" t="s">
        <v>1161</v>
      </c>
      <c r="E391" s="252">
        <v>46412</v>
      </c>
      <c r="F391" s="164">
        <v>3</v>
      </c>
      <c r="G391" s="164">
        <v>3</v>
      </c>
      <c r="H391" s="164" t="s">
        <v>1501</v>
      </c>
    </row>
    <row r="392" ht="16" spans="1:8">
      <c r="A392" s="161" t="s">
        <v>1162</v>
      </c>
      <c r="B392" s="161" t="s">
        <v>1163</v>
      </c>
      <c r="C392" s="161" t="s">
        <v>33</v>
      </c>
      <c r="D392" s="162" t="s">
        <v>1164</v>
      </c>
      <c r="E392" s="252">
        <v>46413</v>
      </c>
      <c r="F392" s="164">
        <v>5</v>
      </c>
      <c r="G392" s="164">
        <v>8</v>
      </c>
      <c r="H392" s="164" t="s">
        <v>1495</v>
      </c>
    </row>
    <row r="393" ht="16" spans="1:8">
      <c r="A393" s="161" t="s">
        <v>1165</v>
      </c>
      <c r="B393" s="161" t="s">
        <v>1166</v>
      </c>
      <c r="C393" s="161" t="s">
        <v>10</v>
      </c>
      <c r="D393" s="162" t="s">
        <v>1167</v>
      </c>
      <c r="E393" s="252">
        <v>46414</v>
      </c>
      <c r="F393" s="164">
        <v>7</v>
      </c>
      <c r="G393" s="164">
        <v>2</v>
      </c>
      <c r="H393" s="164" t="s">
        <v>1497</v>
      </c>
    </row>
    <row r="394" ht="16" spans="1:8">
      <c r="A394" s="161" t="s">
        <v>1168</v>
      </c>
      <c r="B394" s="161" t="s">
        <v>1169</v>
      </c>
      <c r="C394" s="161" t="s">
        <v>10</v>
      </c>
      <c r="D394" s="162" t="s">
        <v>1170</v>
      </c>
      <c r="E394" s="252">
        <v>46415</v>
      </c>
      <c r="F394" s="164">
        <v>5</v>
      </c>
      <c r="G394" s="164">
        <v>9</v>
      </c>
      <c r="H394" s="164" t="s">
        <v>1498</v>
      </c>
    </row>
    <row r="395" ht="16" spans="1:8">
      <c r="A395" s="161" t="s">
        <v>1171</v>
      </c>
      <c r="B395" s="161" t="s">
        <v>1172</v>
      </c>
      <c r="C395" s="161" t="s">
        <v>10</v>
      </c>
      <c r="D395" s="162" t="s">
        <v>1173</v>
      </c>
      <c r="E395" s="252">
        <v>46416</v>
      </c>
      <c r="F395" s="164">
        <v>6</v>
      </c>
      <c r="G395" s="164">
        <v>5</v>
      </c>
      <c r="H395" s="164" t="s">
        <v>1499</v>
      </c>
    </row>
    <row r="396" ht="16" spans="1:8">
      <c r="A396" s="161" t="s">
        <v>1174</v>
      </c>
      <c r="B396" s="161" t="s">
        <v>1175</v>
      </c>
      <c r="C396" s="161" t="s">
        <v>10</v>
      </c>
      <c r="D396" s="162" t="s">
        <v>1176</v>
      </c>
      <c r="E396" s="252">
        <v>46417</v>
      </c>
      <c r="F396" s="164">
        <v>7</v>
      </c>
      <c r="G396" s="164">
        <v>3</v>
      </c>
      <c r="H396" s="164" t="s">
        <v>1500</v>
      </c>
    </row>
    <row r="397" ht="16" spans="1:8">
      <c r="A397" s="161" t="s">
        <v>1177</v>
      </c>
      <c r="B397" s="161" t="s">
        <v>1178</v>
      </c>
      <c r="C397" s="161" t="s">
        <v>10</v>
      </c>
      <c r="D397" s="162" t="s">
        <v>1179</v>
      </c>
      <c r="E397" s="252">
        <v>46418</v>
      </c>
      <c r="F397" s="164">
        <v>8</v>
      </c>
      <c r="G397" s="164">
        <v>5</v>
      </c>
      <c r="H397" s="164" t="s">
        <v>1501</v>
      </c>
    </row>
    <row r="398" ht="16" spans="1:8">
      <c r="A398" s="161" t="s">
        <v>1180</v>
      </c>
      <c r="B398" s="161" t="s">
        <v>1181</v>
      </c>
      <c r="C398" s="161" t="s">
        <v>13</v>
      </c>
      <c r="D398" s="162" t="s">
        <v>1182</v>
      </c>
      <c r="E398" s="252">
        <v>46419</v>
      </c>
      <c r="F398" s="164">
        <v>9</v>
      </c>
      <c r="G398" s="164">
        <v>7</v>
      </c>
      <c r="H398" s="164" t="s">
        <v>1495</v>
      </c>
    </row>
    <row r="399" ht="16" spans="1:8">
      <c r="A399" s="161" t="s">
        <v>1183</v>
      </c>
      <c r="B399" s="161" t="s">
        <v>1184</v>
      </c>
      <c r="C399" s="161" t="s">
        <v>10</v>
      </c>
      <c r="D399" s="162" t="s">
        <v>1185</v>
      </c>
      <c r="E399" s="252">
        <v>46420</v>
      </c>
      <c r="F399" s="164">
        <v>4</v>
      </c>
      <c r="G399" s="164">
        <v>5</v>
      </c>
      <c r="H399" s="164" t="s">
        <v>1497</v>
      </c>
    </row>
    <row r="400" ht="16" spans="1:8">
      <c r="A400" s="161" t="s">
        <v>1186</v>
      </c>
      <c r="B400" s="161" t="s">
        <v>1187</v>
      </c>
      <c r="C400" s="161" t="s">
        <v>44</v>
      </c>
      <c r="D400" s="162" t="s">
        <v>1188</v>
      </c>
      <c r="E400" s="252">
        <v>46421</v>
      </c>
      <c r="F400" s="164">
        <v>3</v>
      </c>
      <c r="G400" s="164">
        <v>6</v>
      </c>
      <c r="H400" s="164" t="s">
        <v>1498</v>
      </c>
    </row>
    <row r="401" ht="16" spans="1:8">
      <c r="A401" s="161" t="s">
        <v>1189</v>
      </c>
      <c r="B401" s="161" t="s">
        <v>1190</v>
      </c>
      <c r="C401" s="161" t="s">
        <v>44</v>
      </c>
      <c r="D401" s="162" t="s">
        <v>1191</v>
      </c>
      <c r="E401" s="252">
        <v>46422</v>
      </c>
      <c r="F401" s="164">
        <v>8</v>
      </c>
      <c r="G401" s="164">
        <v>7</v>
      </c>
      <c r="H401" s="164" t="s">
        <v>1499</v>
      </c>
    </row>
    <row r="402" ht="16" spans="1:8">
      <c r="A402" s="161" t="s">
        <v>1192</v>
      </c>
      <c r="B402" s="161" t="s">
        <v>1193</v>
      </c>
      <c r="C402" s="161" t="s">
        <v>7</v>
      </c>
      <c r="D402" s="162" t="s">
        <v>1194</v>
      </c>
      <c r="E402" s="252">
        <v>46423</v>
      </c>
      <c r="F402" s="164">
        <v>2</v>
      </c>
      <c r="G402" s="164">
        <v>8</v>
      </c>
      <c r="H402" s="164" t="s">
        <v>1500</v>
      </c>
    </row>
    <row r="403" ht="16" spans="1:8">
      <c r="A403" s="161" t="s">
        <v>1195</v>
      </c>
      <c r="B403" s="161" t="s">
        <v>1196</v>
      </c>
      <c r="C403" s="161" t="s">
        <v>44</v>
      </c>
      <c r="D403" s="162" t="s">
        <v>1197</v>
      </c>
      <c r="E403" s="252">
        <v>46424</v>
      </c>
      <c r="F403" s="164">
        <v>9</v>
      </c>
      <c r="G403" s="164">
        <v>9</v>
      </c>
      <c r="H403" s="164" t="s">
        <v>1501</v>
      </c>
    </row>
    <row r="404" ht="16" spans="1:8">
      <c r="A404" s="161" t="s">
        <v>1198</v>
      </c>
      <c r="B404" s="161" t="s">
        <v>1199</v>
      </c>
      <c r="C404" s="161" t="s">
        <v>7</v>
      </c>
      <c r="D404" s="162" t="s">
        <v>1200</v>
      </c>
      <c r="E404" s="252">
        <v>46425</v>
      </c>
      <c r="F404" s="164">
        <v>5</v>
      </c>
      <c r="G404" s="164">
        <v>4</v>
      </c>
      <c r="H404" s="164" t="s">
        <v>1495</v>
      </c>
    </row>
    <row r="405" ht="16" spans="1:8">
      <c r="A405" s="161" t="s">
        <v>1201</v>
      </c>
      <c r="B405" s="161" t="s">
        <v>1202</v>
      </c>
      <c r="C405" s="161" t="s">
        <v>13</v>
      </c>
      <c r="D405" s="162" t="s">
        <v>1203</v>
      </c>
      <c r="E405" s="252">
        <v>46426</v>
      </c>
      <c r="F405" s="164">
        <v>3</v>
      </c>
      <c r="G405" s="164">
        <v>3</v>
      </c>
      <c r="H405" s="164" t="s">
        <v>1497</v>
      </c>
    </row>
    <row r="406" ht="16" spans="1:8">
      <c r="A406" s="161" t="s">
        <v>1204</v>
      </c>
      <c r="B406" s="161" t="s">
        <v>1205</v>
      </c>
      <c r="C406" s="161" t="s">
        <v>7</v>
      </c>
      <c r="D406" s="162" t="s">
        <v>1206</v>
      </c>
      <c r="E406" s="252">
        <v>46427</v>
      </c>
      <c r="F406" s="164">
        <v>5</v>
      </c>
      <c r="G406" s="164">
        <v>8</v>
      </c>
      <c r="H406" s="164" t="s">
        <v>1498</v>
      </c>
    </row>
    <row r="407" ht="16" spans="1:8">
      <c r="A407" s="161" t="s">
        <v>1207</v>
      </c>
      <c r="B407" s="161" t="s">
        <v>1208</v>
      </c>
      <c r="C407" s="161" t="s">
        <v>33</v>
      </c>
      <c r="D407" s="162" t="s">
        <v>1209</v>
      </c>
      <c r="E407" s="252">
        <v>46428</v>
      </c>
      <c r="F407" s="164">
        <v>7</v>
      </c>
      <c r="G407" s="164">
        <v>2</v>
      </c>
      <c r="H407" s="164" t="s">
        <v>1499</v>
      </c>
    </row>
    <row r="408" ht="16" spans="1:8">
      <c r="A408" s="161" t="s">
        <v>1210</v>
      </c>
      <c r="B408" s="161" t="s">
        <v>1211</v>
      </c>
      <c r="C408" s="161" t="s">
        <v>13</v>
      </c>
      <c r="D408" s="162" t="s">
        <v>1212</v>
      </c>
      <c r="E408" s="252">
        <v>46429</v>
      </c>
      <c r="F408" s="164">
        <v>5</v>
      </c>
      <c r="G408" s="164">
        <v>9</v>
      </c>
      <c r="H408" s="164" t="s">
        <v>1500</v>
      </c>
    </row>
    <row r="409" ht="16" spans="1:8">
      <c r="A409" s="161" t="s">
        <v>1213</v>
      </c>
      <c r="B409" s="161" t="s">
        <v>1214</v>
      </c>
      <c r="C409" s="161" t="s">
        <v>7</v>
      </c>
      <c r="D409" s="162" t="s">
        <v>1215</v>
      </c>
      <c r="E409" s="252">
        <v>46430</v>
      </c>
      <c r="F409" s="164">
        <v>6</v>
      </c>
      <c r="G409" s="164">
        <v>5</v>
      </c>
      <c r="H409" s="164" t="s">
        <v>1501</v>
      </c>
    </row>
    <row r="410" ht="16" spans="1:8">
      <c r="A410" s="161" t="s">
        <v>1216</v>
      </c>
      <c r="B410" s="161" t="s">
        <v>1217</v>
      </c>
      <c r="C410" s="161" t="s">
        <v>33</v>
      </c>
      <c r="D410" s="162" t="s">
        <v>1218</v>
      </c>
      <c r="E410" s="252">
        <v>46431</v>
      </c>
      <c r="F410" s="164">
        <v>7</v>
      </c>
      <c r="G410" s="164">
        <v>3</v>
      </c>
      <c r="H410" s="164" t="s">
        <v>1495</v>
      </c>
    </row>
    <row r="411" ht="16" spans="1:8">
      <c r="A411" s="161" t="s">
        <v>1219</v>
      </c>
      <c r="B411" s="161" t="s">
        <v>1220</v>
      </c>
      <c r="C411" s="161" t="s">
        <v>7</v>
      </c>
      <c r="D411" s="162" t="s">
        <v>1221</v>
      </c>
      <c r="E411" s="252">
        <v>46432</v>
      </c>
      <c r="F411" s="164">
        <v>8</v>
      </c>
      <c r="G411" s="164">
        <v>5</v>
      </c>
      <c r="H411" s="164" t="s">
        <v>1497</v>
      </c>
    </row>
    <row r="412" ht="16" spans="1:8">
      <c r="A412" s="161" t="s">
        <v>1222</v>
      </c>
      <c r="B412" s="161" t="s">
        <v>1223</v>
      </c>
      <c r="C412" s="161" t="s">
        <v>10</v>
      </c>
      <c r="D412" s="162" t="s">
        <v>1224</v>
      </c>
      <c r="E412" s="252">
        <v>46433</v>
      </c>
      <c r="F412" s="164">
        <v>9</v>
      </c>
      <c r="G412" s="164">
        <v>7</v>
      </c>
      <c r="H412" s="164" t="s">
        <v>1498</v>
      </c>
    </row>
    <row r="413" ht="16" spans="1:8">
      <c r="A413" s="161" t="s">
        <v>1225</v>
      </c>
      <c r="B413" s="161" t="s">
        <v>1226</v>
      </c>
      <c r="C413" s="161" t="s">
        <v>44</v>
      </c>
      <c r="D413" s="162" t="s">
        <v>1227</v>
      </c>
      <c r="E413" s="252">
        <v>46434</v>
      </c>
      <c r="F413" s="164">
        <v>4</v>
      </c>
      <c r="G413" s="164">
        <v>5</v>
      </c>
      <c r="H413" s="164" t="s">
        <v>1499</v>
      </c>
    </row>
    <row r="414" ht="16" spans="1:8">
      <c r="A414" s="161" t="s">
        <v>1228</v>
      </c>
      <c r="B414" s="161" t="s">
        <v>1229</v>
      </c>
      <c r="C414" s="161" t="s">
        <v>7</v>
      </c>
      <c r="D414" s="162" t="s">
        <v>1230</v>
      </c>
      <c r="E414" s="252">
        <v>46435</v>
      </c>
      <c r="F414" s="164">
        <v>3</v>
      </c>
      <c r="G414" s="164">
        <v>6</v>
      </c>
      <c r="H414" s="164" t="s">
        <v>1500</v>
      </c>
    </row>
    <row r="415" ht="16" spans="1:8">
      <c r="A415" s="161" t="s">
        <v>1231</v>
      </c>
      <c r="B415" s="161" t="s">
        <v>1232</v>
      </c>
      <c r="C415" s="161" t="s">
        <v>44</v>
      </c>
      <c r="D415" s="162" t="s">
        <v>1233</v>
      </c>
      <c r="E415" s="252">
        <v>46436</v>
      </c>
      <c r="F415" s="164">
        <v>8</v>
      </c>
      <c r="G415" s="164">
        <v>7</v>
      </c>
      <c r="H415" s="164" t="s">
        <v>1501</v>
      </c>
    </row>
    <row r="416" ht="16" spans="1:8">
      <c r="A416" s="161" t="s">
        <v>1234</v>
      </c>
      <c r="B416" s="161" t="s">
        <v>1235</v>
      </c>
      <c r="C416" s="161" t="s">
        <v>33</v>
      </c>
      <c r="D416" s="162" t="s">
        <v>1236</v>
      </c>
      <c r="E416" s="252">
        <v>46437</v>
      </c>
      <c r="F416" s="164">
        <v>2</v>
      </c>
      <c r="G416" s="164">
        <v>8</v>
      </c>
      <c r="H416" s="164" t="s">
        <v>1495</v>
      </c>
    </row>
    <row r="417" ht="16" spans="1:8">
      <c r="A417" s="161" t="s">
        <v>1237</v>
      </c>
      <c r="B417" s="161" t="s">
        <v>1238</v>
      </c>
      <c r="C417" s="161" t="s">
        <v>7</v>
      </c>
      <c r="D417" s="162" t="s">
        <v>1239</v>
      </c>
      <c r="E417" s="252">
        <v>46438</v>
      </c>
      <c r="F417" s="164">
        <v>9</v>
      </c>
      <c r="G417" s="164">
        <v>9</v>
      </c>
      <c r="H417" s="164" t="s">
        <v>1497</v>
      </c>
    </row>
    <row r="418" ht="16" spans="1:8">
      <c r="A418" s="161" t="s">
        <v>1240</v>
      </c>
      <c r="B418" s="161" t="s">
        <v>1241</v>
      </c>
      <c r="C418" s="161" t="s">
        <v>7</v>
      </c>
      <c r="D418" s="162" t="s">
        <v>1242</v>
      </c>
      <c r="E418" s="252">
        <v>46439</v>
      </c>
      <c r="F418" s="164">
        <v>5</v>
      </c>
      <c r="G418" s="164">
        <v>4</v>
      </c>
      <c r="H418" s="164" t="s">
        <v>1498</v>
      </c>
    </row>
    <row r="419" ht="16" spans="1:8">
      <c r="A419" s="161" t="s">
        <v>1243</v>
      </c>
      <c r="B419" s="161" t="s">
        <v>1244</v>
      </c>
      <c r="C419" s="161" t="s">
        <v>33</v>
      </c>
      <c r="D419" s="162" t="s">
        <v>1245</v>
      </c>
      <c r="E419" s="252">
        <v>46440</v>
      </c>
      <c r="F419" s="164">
        <v>3</v>
      </c>
      <c r="G419" s="164">
        <v>3</v>
      </c>
      <c r="H419" s="164" t="s">
        <v>1499</v>
      </c>
    </row>
    <row r="420" ht="16" spans="1:8">
      <c r="A420" s="161" t="s">
        <v>1246</v>
      </c>
      <c r="B420" s="161" t="s">
        <v>1247</v>
      </c>
      <c r="C420" s="161" t="s">
        <v>33</v>
      </c>
      <c r="D420" s="162" t="s">
        <v>1248</v>
      </c>
      <c r="E420" s="252">
        <v>46441</v>
      </c>
      <c r="F420" s="164">
        <v>5</v>
      </c>
      <c r="G420" s="164">
        <v>8</v>
      </c>
      <c r="H420" s="164" t="s">
        <v>1500</v>
      </c>
    </row>
    <row r="421" ht="16" spans="1:8">
      <c r="A421" s="161" t="s">
        <v>1249</v>
      </c>
      <c r="B421" s="161" t="s">
        <v>1250</v>
      </c>
      <c r="C421" s="161" t="s">
        <v>10</v>
      </c>
      <c r="D421" s="162" t="s">
        <v>1251</v>
      </c>
      <c r="E421" s="252">
        <v>46442</v>
      </c>
      <c r="F421" s="164">
        <v>7</v>
      </c>
      <c r="G421" s="164">
        <v>2</v>
      </c>
      <c r="H421" s="164" t="s">
        <v>1501</v>
      </c>
    </row>
    <row r="422" ht="16" spans="1:8">
      <c r="A422" s="161" t="s">
        <v>1252</v>
      </c>
      <c r="B422" s="161" t="s">
        <v>1253</v>
      </c>
      <c r="C422" s="161" t="s">
        <v>44</v>
      </c>
      <c r="D422" s="162" t="s">
        <v>1254</v>
      </c>
      <c r="E422" s="252">
        <v>46443</v>
      </c>
      <c r="F422" s="164">
        <v>5</v>
      </c>
      <c r="G422" s="164">
        <v>9</v>
      </c>
      <c r="H422" s="164" t="s">
        <v>1495</v>
      </c>
    </row>
    <row r="423" ht="16" spans="1:8">
      <c r="A423" s="161" t="s">
        <v>1255</v>
      </c>
      <c r="B423" s="161" t="s">
        <v>1256</v>
      </c>
      <c r="C423" s="161" t="s">
        <v>33</v>
      </c>
      <c r="D423" s="162" t="s">
        <v>1257</v>
      </c>
      <c r="E423" s="252">
        <v>46444</v>
      </c>
      <c r="F423" s="164">
        <v>6</v>
      </c>
      <c r="G423" s="164">
        <v>5</v>
      </c>
      <c r="H423" s="164" t="s">
        <v>1497</v>
      </c>
    </row>
    <row r="424" ht="16" spans="1:8">
      <c r="A424" s="161" t="s">
        <v>1258</v>
      </c>
      <c r="B424" s="161" t="s">
        <v>1259</v>
      </c>
      <c r="C424" s="161" t="s">
        <v>10</v>
      </c>
      <c r="D424" s="162" t="s">
        <v>1260</v>
      </c>
      <c r="E424" s="252">
        <v>46445</v>
      </c>
      <c r="F424" s="164">
        <v>7</v>
      </c>
      <c r="G424" s="164">
        <v>3</v>
      </c>
      <c r="H424" s="164" t="s">
        <v>1498</v>
      </c>
    </row>
    <row r="425" ht="16" spans="1:8">
      <c r="A425" s="161" t="s">
        <v>1261</v>
      </c>
      <c r="B425" s="161" t="s">
        <v>1262</v>
      </c>
      <c r="C425" s="161" t="s">
        <v>10</v>
      </c>
      <c r="D425" s="162" t="s">
        <v>1263</v>
      </c>
      <c r="E425" s="252">
        <v>46446</v>
      </c>
      <c r="F425" s="164">
        <v>8</v>
      </c>
      <c r="G425" s="164">
        <v>5</v>
      </c>
      <c r="H425" s="164" t="s">
        <v>1499</v>
      </c>
    </row>
    <row r="426" ht="16" spans="1:8">
      <c r="A426" s="161" t="s">
        <v>1264</v>
      </c>
      <c r="B426" s="161" t="s">
        <v>1265</v>
      </c>
      <c r="C426" s="161" t="s">
        <v>33</v>
      </c>
      <c r="D426" s="162" t="s">
        <v>1266</v>
      </c>
      <c r="E426" s="252">
        <v>46447</v>
      </c>
      <c r="F426" s="164">
        <v>9</v>
      </c>
      <c r="G426" s="164">
        <v>7</v>
      </c>
      <c r="H426" s="164" t="s">
        <v>1500</v>
      </c>
    </row>
    <row r="427" ht="16" spans="1:8">
      <c r="A427" s="161" t="s">
        <v>1267</v>
      </c>
      <c r="B427" s="161" t="s">
        <v>1268</v>
      </c>
      <c r="C427" s="161" t="s">
        <v>13</v>
      </c>
      <c r="D427" s="162" t="s">
        <v>1269</v>
      </c>
      <c r="E427" s="252">
        <v>46448</v>
      </c>
      <c r="F427" s="164">
        <v>4</v>
      </c>
      <c r="G427" s="164">
        <v>5</v>
      </c>
      <c r="H427" s="164" t="s">
        <v>1501</v>
      </c>
    </row>
    <row r="428" ht="16" spans="1:8">
      <c r="A428" s="161" t="s">
        <v>1270</v>
      </c>
      <c r="B428" s="161" t="s">
        <v>1271</v>
      </c>
      <c r="C428" s="161" t="s">
        <v>44</v>
      </c>
      <c r="D428" s="162" t="s">
        <v>1272</v>
      </c>
      <c r="E428" s="252">
        <v>46449</v>
      </c>
      <c r="F428" s="164">
        <v>3</v>
      </c>
      <c r="G428" s="164">
        <v>6</v>
      </c>
      <c r="H428" s="164" t="s">
        <v>1495</v>
      </c>
    </row>
    <row r="429" ht="16" spans="1:8">
      <c r="A429" s="161" t="s">
        <v>1273</v>
      </c>
      <c r="B429" s="161" t="s">
        <v>1274</v>
      </c>
      <c r="C429" s="161" t="s">
        <v>33</v>
      </c>
      <c r="D429" s="162" t="s">
        <v>1275</v>
      </c>
      <c r="E429" s="252">
        <v>46450</v>
      </c>
      <c r="F429" s="164">
        <v>8</v>
      </c>
      <c r="G429" s="164">
        <v>7</v>
      </c>
      <c r="H429" s="164" t="s">
        <v>1497</v>
      </c>
    </row>
    <row r="430" ht="16" spans="1:8">
      <c r="A430" s="161" t="s">
        <v>1276</v>
      </c>
      <c r="B430" s="161" t="s">
        <v>1277</v>
      </c>
      <c r="C430" s="161" t="s">
        <v>7</v>
      </c>
      <c r="D430" s="162" t="s">
        <v>1278</v>
      </c>
      <c r="E430" s="252">
        <v>46451</v>
      </c>
      <c r="F430" s="164">
        <v>2</v>
      </c>
      <c r="G430" s="164">
        <v>8</v>
      </c>
      <c r="H430" s="164" t="s">
        <v>1498</v>
      </c>
    </row>
    <row r="431" ht="16" spans="1:8">
      <c r="A431" s="161" t="s">
        <v>1279</v>
      </c>
      <c r="B431" s="161" t="s">
        <v>1280</v>
      </c>
      <c r="C431" s="161" t="s">
        <v>13</v>
      </c>
      <c r="D431" s="162" t="s">
        <v>1281</v>
      </c>
      <c r="E431" s="252">
        <v>46452</v>
      </c>
      <c r="F431" s="164">
        <v>9</v>
      </c>
      <c r="G431" s="164">
        <v>9</v>
      </c>
      <c r="H431" s="164" t="s">
        <v>1499</v>
      </c>
    </row>
    <row r="432" ht="16" spans="1:8">
      <c r="A432" s="161" t="s">
        <v>1282</v>
      </c>
      <c r="B432" s="161" t="s">
        <v>1283</v>
      </c>
      <c r="C432" s="161" t="s">
        <v>7</v>
      </c>
      <c r="D432" s="162" t="s">
        <v>1284</v>
      </c>
      <c r="E432" s="252">
        <v>46453</v>
      </c>
      <c r="F432" s="164">
        <v>5</v>
      </c>
      <c r="G432" s="164">
        <v>4</v>
      </c>
      <c r="H432" s="164" t="s">
        <v>1500</v>
      </c>
    </row>
    <row r="433" ht="16" spans="1:8">
      <c r="A433" s="161" t="s">
        <v>1285</v>
      </c>
      <c r="B433" s="161" t="s">
        <v>1286</v>
      </c>
      <c r="C433" s="161" t="s">
        <v>33</v>
      </c>
      <c r="D433" s="162" t="s">
        <v>1287</v>
      </c>
      <c r="E433" s="252">
        <v>46454</v>
      </c>
      <c r="F433" s="164">
        <v>3</v>
      </c>
      <c r="G433" s="164">
        <v>3</v>
      </c>
      <c r="H433" s="164" t="s">
        <v>1501</v>
      </c>
    </row>
    <row r="434" ht="16" spans="1:8">
      <c r="A434" s="161" t="s">
        <v>1288</v>
      </c>
      <c r="B434" s="161" t="s">
        <v>1289</v>
      </c>
      <c r="C434" s="161" t="s">
        <v>10</v>
      </c>
      <c r="D434" s="162" t="s">
        <v>1290</v>
      </c>
      <c r="E434" s="252">
        <v>46455</v>
      </c>
      <c r="F434" s="164">
        <v>5</v>
      </c>
      <c r="G434" s="164">
        <v>8</v>
      </c>
      <c r="H434" s="164" t="s">
        <v>1495</v>
      </c>
    </row>
    <row r="435" ht="16" spans="1:8">
      <c r="A435" s="161" t="s">
        <v>1291</v>
      </c>
      <c r="B435" s="161" t="s">
        <v>1292</v>
      </c>
      <c r="C435" s="161" t="s">
        <v>33</v>
      </c>
      <c r="D435" s="162" t="s">
        <v>1293</v>
      </c>
      <c r="E435" s="252">
        <v>46456</v>
      </c>
      <c r="F435" s="164">
        <v>7</v>
      </c>
      <c r="G435" s="164">
        <v>2</v>
      </c>
      <c r="H435" s="164" t="s">
        <v>1497</v>
      </c>
    </row>
    <row r="436" ht="16" spans="1:8">
      <c r="A436" s="161" t="s">
        <v>1294</v>
      </c>
      <c r="B436" s="161" t="s">
        <v>1295</v>
      </c>
      <c r="C436" s="161" t="s">
        <v>10</v>
      </c>
      <c r="D436" s="162" t="s">
        <v>1296</v>
      </c>
      <c r="E436" s="252">
        <v>46457</v>
      </c>
      <c r="F436" s="164">
        <v>5</v>
      </c>
      <c r="G436" s="164">
        <v>9</v>
      </c>
      <c r="H436" s="164" t="s">
        <v>1498</v>
      </c>
    </row>
    <row r="437" ht="16" spans="1:8">
      <c r="A437" s="161" t="s">
        <v>1297</v>
      </c>
      <c r="B437" s="161" t="s">
        <v>1298</v>
      </c>
      <c r="C437" s="161" t="s">
        <v>7</v>
      </c>
      <c r="D437" s="162" t="s">
        <v>1299</v>
      </c>
      <c r="E437" s="252">
        <v>46458</v>
      </c>
      <c r="F437" s="164">
        <v>6</v>
      </c>
      <c r="G437" s="164">
        <v>5</v>
      </c>
      <c r="H437" s="164" t="s">
        <v>1499</v>
      </c>
    </row>
    <row r="438" ht="16" spans="1:8">
      <c r="A438" s="161" t="s">
        <v>1300</v>
      </c>
      <c r="B438" s="161" t="s">
        <v>1301</v>
      </c>
      <c r="C438" s="161" t="s">
        <v>33</v>
      </c>
      <c r="D438" s="162" t="s">
        <v>1302</v>
      </c>
      <c r="E438" s="252">
        <v>46459</v>
      </c>
      <c r="F438" s="164">
        <v>7</v>
      </c>
      <c r="G438" s="164">
        <v>3</v>
      </c>
      <c r="H438" s="164" t="s">
        <v>1500</v>
      </c>
    </row>
    <row r="439" ht="16" spans="1:8">
      <c r="A439" s="161" t="s">
        <v>1303</v>
      </c>
      <c r="B439" s="161" t="s">
        <v>1304</v>
      </c>
      <c r="C439" s="161" t="s">
        <v>7</v>
      </c>
      <c r="D439" s="162" t="s">
        <v>1305</v>
      </c>
      <c r="E439" s="252">
        <v>46460</v>
      </c>
      <c r="F439" s="164">
        <v>8</v>
      </c>
      <c r="G439" s="164">
        <v>5</v>
      </c>
      <c r="H439" s="164" t="s">
        <v>1501</v>
      </c>
    </row>
    <row r="440" ht="16" spans="1:8">
      <c r="A440" s="161" t="s">
        <v>1306</v>
      </c>
      <c r="B440" s="161" t="s">
        <v>1307</v>
      </c>
      <c r="C440" s="161" t="s">
        <v>7</v>
      </c>
      <c r="D440" s="162" t="s">
        <v>1308</v>
      </c>
      <c r="E440" s="252">
        <v>46461</v>
      </c>
      <c r="F440" s="164">
        <v>9</v>
      </c>
      <c r="G440" s="164">
        <v>7</v>
      </c>
      <c r="H440" s="164" t="s">
        <v>1495</v>
      </c>
    </row>
    <row r="441" ht="16" spans="1:8">
      <c r="A441" s="161" t="s">
        <v>1309</v>
      </c>
      <c r="B441" s="161" t="s">
        <v>1310</v>
      </c>
      <c r="C441" s="161" t="s">
        <v>44</v>
      </c>
      <c r="D441" s="162" t="s">
        <v>1311</v>
      </c>
      <c r="E441" s="252">
        <v>46462</v>
      </c>
      <c r="F441" s="164">
        <v>4</v>
      </c>
      <c r="G441" s="164">
        <v>5</v>
      </c>
      <c r="H441" s="164" t="s">
        <v>1497</v>
      </c>
    </row>
    <row r="442" ht="16" spans="1:8">
      <c r="A442" s="161" t="s">
        <v>1312</v>
      </c>
      <c r="B442" s="161" t="s">
        <v>1313</v>
      </c>
      <c r="C442" s="161" t="s">
        <v>44</v>
      </c>
      <c r="D442" s="162" t="s">
        <v>1314</v>
      </c>
      <c r="E442" s="252">
        <v>46463</v>
      </c>
      <c r="F442" s="164">
        <v>3</v>
      </c>
      <c r="G442" s="164">
        <v>6</v>
      </c>
      <c r="H442" s="164" t="s">
        <v>1498</v>
      </c>
    </row>
    <row r="443" ht="16" spans="1:8">
      <c r="A443" s="161" t="s">
        <v>1315</v>
      </c>
      <c r="B443" s="161" t="s">
        <v>1316</v>
      </c>
      <c r="C443" s="161" t="s">
        <v>13</v>
      </c>
      <c r="D443" s="162" t="s">
        <v>1317</v>
      </c>
      <c r="E443" s="252">
        <v>46464</v>
      </c>
      <c r="F443" s="164">
        <v>8</v>
      </c>
      <c r="G443" s="164">
        <v>7</v>
      </c>
      <c r="H443" s="164" t="s">
        <v>1499</v>
      </c>
    </row>
    <row r="444" ht="16" spans="1:8">
      <c r="A444" s="161" t="s">
        <v>1318</v>
      </c>
      <c r="B444" s="161" t="s">
        <v>1319</v>
      </c>
      <c r="C444" s="161" t="s">
        <v>10</v>
      </c>
      <c r="D444" s="162" t="s">
        <v>1320</v>
      </c>
      <c r="E444" s="252">
        <v>46465</v>
      </c>
      <c r="F444" s="164">
        <v>2</v>
      </c>
      <c r="G444" s="164">
        <v>8</v>
      </c>
      <c r="H444" s="164" t="s">
        <v>1500</v>
      </c>
    </row>
    <row r="445" ht="16" spans="1:8">
      <c r="A445" s="161" t="s">
        <v>1321</v>
      </c>
      <c r="B445" s="161" t="s">
        <v>1322</v>
      </c>
      <c r="C445" s="161" t="s">
        <v>13</v>
      </c>
      <c r="D445" s="162" t="s">
        <v>1323</v>
      </c>
      <c r="E445" s="252">
        <v>46466</v>
      </c>
      <c r="F445" s="164">
        <v>9</v>
      </c>
      <c r="G445" s="164">
        <v>9</v>
      </c>
      <c r="H445" s="164" t="s">
        <v>1501</v>
      </c>
    </row>
    <row r="446" ht="16" spans="1:8">
      <c r="A446" s="161" t="s">
        <v>1324</v>
      </c>
      <c r="B446" s="161" t="s">
        <v>1325</v>
      </c>
      <c r="C446" s="161" t="s">
        <v>10</v>
      </c>
      <c r="D446" s="162" t="s">
        <v>1326</v>
      </c>
      <c r="E446" s="252">
        <v>46467</v>
      </c>
      <c r="F446" s="164">
        <v>5</v>
      </c>
      <c r="G446" s="164">
        <v>4</v>
      </c>
      <c r="H446" s="164" t="s">
        <v>1495</v>
      </c>
    </row>
    <row r="447" ht="16" spans="1:8">
      <c r="A447" s="161" t="s">
        <v>1327</v>
      </c>
      <c r="B447" s="161" t="s">
        <v>1328</v>
      </c>
      <c r="C447" s="161" t="s">
        <v>13</v>
      </c>
      <c r="D447" s="162" t="s">
        <v>1329</v>
      </c>
      <c r="E447" s="252">
        <v>46468</v>
      </c>
      <c r="F447" s="164">
        <v>3</v>
      </c>
      <c r="G447" s="164">
        <v>3</v>
      </c>
      <c r="H447" s="164" t="s">
        <v>1497</v>
      </c>
    </row>
    <row r="448" ht="16" spans="1:8">
      <c r="A448" s="161" t="s">
        <v>1330</v>
      </c>
      <c r="B448" s="161" t="s">
        <v>1331</v>
      </c>
      <c r="C448" s="161" t="s">
        <v>44</v>
      </c>
      <c r="D448" s="162" t="s">
        <v>1332</v>
      </c>
      <c r="E448" s="252">
        <v>46469</v>
      </c>
      <c r="F448" s="164">
        <v>5</v>
      </c>
      <c r="G448" s="164">
        <v>8</v>
      </c>
      <c r="H448" s="164" t="s">
        <v>1498</v>
      </c>
    </row>
    <row r="449" ht="16" spans="1:8">
      <c r="A449" s="161" t="s">
        <v>1333</v>
      </c>
      <c r="B449" s="161" t="s">
        <v>1334</v>
      </c>
      <c r="C449" s="161" t="s">
        <v>10</v>
      </c>
      <c r="D449" s="162" t="s">
        <v>1335</v>
      </c>
      <c r="E449" s="252">
        <v>46470</v>
      </c>
      <c r="F449" s="164">
        <v>7</v>
      </c>
      <c r="G449" s="164">
        <v>2</v>
      </c>
      <c r="H449" s="164" t="s">
        <v>1499</v>
      </c>
    </row>
    <row r="450" ht="16" spans="1:8">
      <c r="A450" s="161" t="s">
        <v>1336</v>
      </c>
      <c r="B450" s="161" t="s">
        <v>1337</v>
      </c>
      <c r="C450" s="161" t="s">
        <v>33</v>
      </c>
      <c r="D450" s="162" t="s">
        <v>1338</v>
      </c>
      <c r="E450" s="252">
        <v>46471</v>
      </c>
      <c r="F450" s="164">
        <v>5</v>
      </c>
      <c r="G450" s="164">
        <v>9</v>
      </c>
      <c r="H450" s="164" t="s">
        <v>1500</v>
      </c>
    </row>
    <row r="451" ht="16" spans="1:8">
      <c r="A451" s="161" t="s">
        <v>1339</v>
      </c>
      <c r="B451" s="161" t="s">
        <v>1340</v>
      </c>
      <c r="C451" s="161" t="s">
        <v>7</v>
      </c>
      <c r="D451" s="162" t="s">
        <v>1341</v>
      </c>
      <c r="E451" s="252">
        <v>46472</v>
      </c>
      <c r="F451" s="164">
        <v>6</v>
      </c>
      <c r="G451" s="164">
        <v>5</v>
      </c>
      <c r="H451" s="164" t="s">
        <v>1501</v>
      </c>
    </row>
    <row r="452" ht="16" spans="1:8">
      <c r="A452" s="161" t="s">
        <v>1342</v>
      </c>
      <c r="B452" s="161" t="s">
        <v>1343</v>
      </c>
      <c r="C452" s="161" t="s">
        <v>7</v>
      </c>
      <c r="D452" s="162" t="s">
        <v>1344</v>
      </c>
      <c r="E452" s="252">
        <v>46473</v>
      </c>
      <c r="F452" s="164">
        <v>7</v>
      </c>
      <c r="G452" s="164">
        <v>3</v>
      </c>
      <c r="H452" s="164" t="s">
        <v>1495</v>
      </c>
    </row>
    <row r="453" ht="16" spans="1:8">
      <c r="A453" s="161" t="s">
        <v>1345</v>
      </c>
      <c r="B453" s="161" t="s">
        <v>1346</v>
      </c>
      <c r="C453" s="161" t="s">
        <v>33</v>
      </c>
      <c r="D453" s="162" t="s">
        <v>1347</v>
      </c>
      <c r="E453" s="252">
        <v>46474</v>
      </c>
      <c r="F453" s="164">
        <v>8</v>
      </c>
      <c r="G453" s="164">
        <v>5</v>
      </c>
      <c r="H453" s="164" t="s">
        <v>1497</v>
      </c>
    </row>
    <row r="454" ht="16" spans="1:8">
      <c r="A454" s="161" t="s">
        <v>1348</v>
      </c>
      <c r="B454" s="161" t="s">
        <v>1349</v>
      </c>
      <c r="C454" s="161" t="s">
        <v>10</v>
      </c>
      <c r="D454" s="162" t="s">
        <v>1350</v>
      </c>
      <c r="E454" s="252">
        <v>46475</v>
      </c>
      <c r="F454" s="164">
        <v>9</v>
      </c>
      <c r="G454" s="164">
        <v>7</v>
      </c>
      <c r="H454" s="164" t="s">
        <v>1498</v>
      </c>
    </row>
    <row r="455" ht="16" spans="1:8">
      <c r="A455" s="161" t="s">
        <v>1351</v>
      </c>
      <c r="B455" s="161" t="s">
        <v>1352</v>
      </c>
      <c r="C455" s="161" t="s">
        <v>33</v>
      </c>
      <c r="D455" s="162" t="s">
        <v>1353</v>
      </c>
      <c r="E455" s="252">
        <v>46476</v>
      </c>
      <c r="F455" s="164">
        <v>4</v>
      </c>
      <c r="G455" s="164">
        <v>5</v>
      </c>
      <c r="H455" s="164" t="s">
        <v>1499</v>
      </c>
    </row>
    <row r="456" ht="16" spans="1:8">
      <c r="A456" s="161" t="s">
        <v>1354</v>
      </c>
      <c r="B456" s="161" t="s">
        <v>1355</v>
      </c>
      <c r="C456" s="161" t="s">
        <v>13</v>
      </c>
      <c r="D456" s="162" t="s">
        <v>1356</v>
      </c>
      <c r="E456" s="252">
        <v>46477</v>
      </c>
      <c r="F456" s="164">
        <v>3</v>
      </c>
      <c r="G456" s="164">
        <v>6</v>
      </c>
      <c r="H456" s="164" t="s">
        <v>1500</v>
      </c>
    </row>
    <row r="457" ht="16" spans="1:8">
      <c r="A457" s="161" t="s">
        <v>1357</v>
      </c>
      <c r="B457" s="161" t="s">
        <v>1358</v>
      </c>
      <c r="C457" s="161" t="s">
        <v>7</v>
      </c>
      <c r="D457" s="162" t="s">
        <v>1359</v>
      </c>
      <c r="E457" s="252">
        <v>46478</v>
      </c>
      <c r="F457" s="164">
        <v>8</v>
      </c>
      <c r="G457" s="164">
        <v>7</v>
      </c>
      <c r="H457" s="164" t="s">
        <v>1501</v>
      </c>
    </row>
    <row r="458" ht="16" spans="1:8">
      <c r="A458" s="161" t="s">
        <v>1360</v>
      </c>
      <c r="B458" s="161" t="s">
        <v>1361</v>
      </c>
      <c r="C458" s="161" t="s">
        <v>7</v>
      </c>
      <c r="D458" s="162" t="s">
        <v>1362</v>
      </c>
      <c r="E458" s="252">
        <v>46479</v>
      </c>
      <c r="F458" s="164">
        <v>2</v>
      </c>
      <c r="G458" s="164">
        <v>8</v>
      </c>
      <c r="H458" s="164" t="s">
        <v>1495</v>
      </c>
    </row>
    <row r="459" ht="16" spans="1:8">
      <c r="A459" s="161" t="s">
        <v>1363</v>
      </c>
      <c r="B459" s="161" t="s">
        <v>1364</v>
      </c>
      <c r="C459" s="161" t="s">
        <v>7</v>
      </c>
      <c r="D459" s="162" t="s">
        <v>1365</v>
      </c>
      <c r="E459" s="252">
        <v>46480</v>
      </c>
      <c r="F459" s="164">
        <v>9</v>
      </c>
      <c r="G459" s="164">
        <v>9</v>
      </c>
      <c r="H459" s="164" t="s">
        <v>1497</v>
      </c>
    </row>
    <row r="460" ht="16" spans="1:8">
      <c r="A460" s="161" t="s">
        <v>1366</v>
      </c>
      <c r="B460" s="161" t="s">
        <v>1367</v>
      </c>
      <c r="C460" s="161" t="s">
        <v>10</v>
      </c>
      <c r="D460" s="162" t="s">
        <v>1368</v>
      </c>
      <c r="E460" s="252">
        <v>46481</v>
      </c>
      <c r="F460" s="164">
        <v>5</v>
      </c>
      <c r="G460" s="164">
        <v>4</v>
      </c>
      <c r="H460" s="164" t="s">
        <v>1498</v>
      </c>
    </row>
    <row r="461" ht="16" spans="1:8">
      <c r="A461" s="161" t="s">
        <v>1369</v>
      </c>
      <c r="B461" s="161" t="s">
        <v>1370</v>
      </c>
      <c r="C461" s="161" t="s">
        <v>33</v>
      </c>
      <c r="D461" s="162" t="s">
        <v>1371</v>
      </c>
      <c r="E461" s="252">
        <v>46482</v>
      </c>
      <c r="F461" s="164">
        <v>3</v>
      </c>
      <c r="G461" s="164">
        <v>3</v>
      </c>
      <c r="H461" s="164" t="s">
        <v>1499</v>
      </c>
    </row>
    <row r="462" ht="16" spans="1:8">
      <c r="A462" s="161" t="s">
        <v>1372</v>
      </c>
      <c r="B462" s="161" t="s">
        <v>1373</v>
      </c>
      <c r="C462" s="161" t="s">
        <v>10</v>
      </c>
      <c r="D462" s="162" t="s">
        <v>1374</v>
      </c>
      <c r="E462" s="252">
        <v>46483</v>
      </c>
      <c r="F462" s="164">
        <v>5</v>
      </c>
      <c r="G462" s="164">
        <v>8</v>
      </c>
      <c r="H462" s="164" t="s">
        <v>1500</v>
      </c>
    </row>
    <row r="463" ht="16" spans="1:8">
      <c r="A463" s="161" t="s">
        <v>1375</v>
      </c>
      <c r="B463" s="161" t="s">
        <v>1376</v>
      </c>
      <c r="C463" s="161" t="s">
        <v>10</v>
      </c>
      <c r="D463" s="162" t="s">
        <v>1377</v>
      </c>
      <c r="E463" s="252">
        <v>46484</v>
      </c>
      <c r="F463" s="164">
        <v>7</v>
      </c>
      <c r="G463" s="164">
        <v>2</v>
      </c>
      <c r="H463" s="164" t="s">
        <v>1501</v>
      </c>
    </row>
    <row r="464" ht="16" spans="1:8">
      <c r="A464" s="161" t="s">
        <v>1378</v>
      </c>
      <c r="B464" s="161" t="s">
        <v>1379</v>
      </c>
      <c r="C464" s="161" t="s">
        <v>13</v>
      </c>
      <c r="D464" s="162" t="s">
        <v>1380</v>
      </c>
      <c r="E464" s="252">
        <v>46485</v>
      </c>
      <c r="F464" s="164">
        <v>5</v>
      </c>
      <c r="G464" s="164">
        <v>9</v>
      </c>
      <c r="H464" s="164" t="s">
        <v>1495</v>
      </c>
    </row>
    <row r="465" ht="16" spans="1:8">
      <c r="A465" s="161" t="s">
        <v>1381</v>
      </c>
      <c r="B465" s="161" t="s">
        <v>1382</v>
      </c>
      <c r="C465" s="161" t="s">
        <v>10</v>
      </c>
      <c r="D465" s="162" t="s">
        <v>1383</v>
      </c>
      <c r="E465" s="252">
        <v>46486</v>
      </c>
      <c r="F465" s="164">
        <v>6</v>
      </c>
      <c r="G465" s="164">
        <v>5</v>
      </c>
      <c r="H465" s="164" t="s">
        <v>1497</v>
      </c>
    </row>
    <row r="466" ht="16" spans="1:8">
      <c r="A466" s="161" t="s">
        <v>1384</v>
      </c>
      <c r="B466" s="161" t="s">
        <v>1385</v>
      </c>
      <c r="C466" s="161" t="s">
        <v>33</v>
      </c>
      <c r="D466" s="162" t="s">
        <v>1386</v>
      </c>
      <c r="E466" s="252">
        <v>46487</v>
      </c>
      <c r="F466" s="164">
        <v>7</v>
      </c>
      <c r="G466" s="164">
        <v>3</v>
      </c>
      <c r="H466" s="164" t="s">
        <v>1498</v>
      </c>
    </row>
    <row r="467" ht="16" spans="1:8">
      <c r="A467" s="161" t="s">
        <v>1387</v>
      </c>
      <c r="B467" s="161" t="s">
        <v>1388</v>
      </c>
      <c r="C467" s="161" t="s">
        <v>7</v>
      </c>
      <c r="D467" s="162" t="s">
        <v>1389</v>
      </c>
      <c r="E467" s="252">
        <v>46488</v>
      </c>
      <c r="F467" s="164">
        <v>8</v>
      </c>
      <c r="G467" s="164">
        <v>5</v>
      </c>
      <c r="H467" s="164" t="s">
        <v>1499</v>
      </c>
    </row>
    <row r="468" ht="16" spans="1:8">
      <c r="A468" s="161" t="s">
        <v>1390</v>
      </c>
      <c r="B468" s="161" t="s">
        <v>1391</v>
      </c>
      <c r="C468" s="161" t="s">
        <v>44</v>
      </c>
      <c r="D468" s="162" t="s">
        <v>1392</v>
      </c>
      <c r="E468" s="252">
        <v>46489</v>
      </c>
      <c r="F468" s="164">
        <v>9</v>
      </c>
      <c r="G468" s="164">
        <v>7</v>
      </c>
      <c r="H468" s="164" t="s">
        <v>1500</v>
      </c>
    </row>
    <row r="469" ht="16" spans="1:8">
      <c r="A469" s="161" t="s">
        <v>1393</v>
      </c>
      <c r="B469" s="161" t="s">
        <v>1394</v>
      </c>
      <c r="C469" s="161" t="s">
        <v>7</v>
      </c>
      <c r="D469" s="162" t="s">
        <v>1395</v>
      </c>
      <c r="E469" s="252">
        <v>46490</v>
      </c>
      <c r="F469" s="164">
        <v>4</v>
      </c>
      <c r="G469" s="164">
        <v>5</v>
      </c>
      <c r="H469" s="164" t="s">
        <v>1501</v>
      </c>
    </row>
    <row r="470" ht="16" spans="1:8">
      <c r="A470" s="161" t="s">
        <v>1396</v>
      </c>
      <c r="B470" s="161" t="s">
        <v>1397</v>
      </c>
      <c r="C470" s="161" t="s">
        <v>10</v>
      </c>
      <c r="D470" s="162" t="s">
        <v>1398</v>
      </c>
      <c r="E470" s="252">
        <v>46491</v>
      </c>
      <c r="F470" s="164">
        <v>3</v>
      </c>
      <c r="G470" s="164">
        <v>6</v>
      </c>
      <c r="H470" s="164" t="s">
        <v>1495</v>
      </c>
    </row>
    <row r="471" ht="16" spans="1:8">
      <c r="A471" s="161" t="s">
        <v>1399</v>
      </c>
      <c r="B471" s="161" t="s">
        <v>1400</v>
      </c>
      <c r="C471" s="161" t="s">
        <v>33</v>
      </c>
      <c r="D471" s="162" t="s">
        <v>1401</v>
      </c>
      <c r="E471" s="252">
        <v>46492</v>
      </c>
      <c r="F471" s="164">
        <v>8</v>
      </c>
      <c r="G471" s="164">
        <v>7</v>
      </c>
      <c r="H471" s="164" t="s">
        <v>1497</v>
      </c>
    </row>
    <row r="472" ht="16" spans="1:8">
      <c r="A472" s="161" t="s">
        <v>1402</v>
      </c>
      <c r="B472" s="161" t="s">
        <v>1403</v>
      </c>
      <c r="C472" s="161" t="s">
        <v>7</v>
      </c>
      <c r="D472" s="162" t="s">
        <v>1404</v>
      </c>
      <c r="E472" s="252">
        <v>46493</v>
      </c>
      <c r="F472" s="164">
        <v>2</v>
      </c>
      <c r="G472" s="164">
        <v>8</v>
      </c>
      <c r="H472" s="164" t="s">
        <v>1498</v>
      </c>
    </row>
    <row r="473" ht="16" spans="1:8">
      <c r="A473" s="161" t="s">
        <v>1405</v>
      </c>
      <c r="B473" s="161" t="s">
        <v>1406</v>
      </c>
      <c r="C473" s="161" t="s">
        <v>13</v>
      </c>
      <c r="D473" s="162" t="s">
        <v>1407</v>
      </c>
      <c r="E473" s="252">
        <v>46494</v>
      </c>
      <c r="F473" s="164">
        <v>9</v>
      </c>
      <c r="G473" s="164">
        <v>9</v>
      </c>
      <c r="H473" s="164" t="s">
        <v>1499</v>
      </c>
    </row>
    <row r="474" ht="16" spans="1:8">
      <c r="A474" s="161" t="s">
        <v>1408</v>
      </c>
      <c r="B474" s="161" t="s">
        <v>1409</v>
      </c>
      <c r="C474" s="161" t="s">
        <v>10</v>
      </c>
      <c r="D474" s="162" t="s">
        <v>1410</v>
      </c>
      <c r="E474" s="252">
        <v>46495</v>
      </c>
      <c r="F474" s="164">
        <v>5</v>
      </c>
      <c r="G474" s="164">
        <v>4</v>
      </c>
      <c r="H474" s="164" t="s">
        <v>1500</v>
      </c>
    </row>
    <row r="475" ht="16" spans="1:8">
      <c r="A475" s="161" t="s">
        <v>1411</v>
      </c>
      <c r="B475" s="161" t="s">
        <v>1412</v>
      </c>
      <c r="C475" s="161" t="s">
        <v>13</v>
      </c>
      <c r="D475" s="162" t="s">
        <v>1413</v>
      </c>
      <c r="E475" s="252">
        <v>46496</v>
      </c>
      <c r="F475" s="164">
        <v>3</v>
      </c>
      <c r="G475" s="164">
        <v>3</v>
      </c>
      <c r="H475" s="164" t="s">
        <v>1501</v>
      </c>
    </row>
    <row r="476" ht="16" spans="1:8">
      <c r="A476" s="161" t="s">
        <v>1414</v>
      </c>
      <c r="B476" s="161" t="s">
        <v>1415</v>
      </c>
      <c r="C476" s="161" t="s">
        <v>10</v>
      </c>
      <c r="D476" s="162" t="s">
        <v>1416</v>
      </c>
      <c r="E476" s="252">
        <v>46497</v>
      </c>
      <c r="F476" s="164">
        <v>5</v>
      </c>
      <c r="G476" s="164">
        <v>8</v>
      </c>
      <c r="H476" s="164" t="s">
        <v>1495</v>
      </c>
    </row>
    <row r="477" ht="16" spans="1:8">
      <c r="A477" s="161" t="s">
        <v>1417</v>
      </c>
      <c r="B477" s="161" t="s">
        <v>1418</v>
      </c>
      <c r="C477" s="161" t="s">
        <v>7</v>
      </c>
      <c r="D477" s="162" t="s">
        <v>1419</v>
      </c>
      <c r="E477" s="252">
        <v>46498</v>
      </c>
      <c r="F477" s="164">
        <v>7</v>
      </c>
      <c r="G477" s="164">
        <v>2</v>
      </c>
      <c r="H477" s="164" t="s">
        <v>1497</v>
      </c>
    </row>
    <row r="478" ht="16" spans="1:8">
      <c r="A478" s="161" t="s">
        <v>1420</v>
      </c>
      <c r="B478" s="161" t="s">
        <v>1421</v>
      </c>
      <c r="C478" s="161" t="s">
        <v>13</v>
      </c>
      <c r="D478" s="162" t="s">
        <v>1422</v>
      </c>
      <c r="E478" s="252">
        <v>46499</v>
      </c>
      <c r="F478" s="164">
        <v>5</v>
      </c>
      <c r="G478" s="164">
        <v>9</v>
      </c>
      <c r="H478" s="164" t="s">
        <v>1498</v>
      </c>
    </row>
    <row r="479" ht="16" spans="1:8">
      <c r="A479" s="161" t="s">
        <v>1423</v>
      </c>
      <c r="B479" s="161" t="s">
        <v>1424</v>
      </c>
      <c r="C479" s="161" t="s">
        <v>10</v>
      </c>
      <c r="D479" s="162" t="s">
        <v>1425</v>
      </c>
      <c r="E479" s="252">
        <v>46500</v>
      </c>
      <c r="F479" s="164">
        <v>6</v>
      </c>
      <c r="G479" s="164">
        <v>5</v>
      </c>
      <c r="H479" s="164" t="s">
        <v>1499</v>
      </c>
    </row>
    <row r="480" ht="16" spans="1:8">
      <c r="A480" s="161" t="s">
        <v>1426</v>
      </c>
      <c r="B480" s="161" t="s">
        <v>1427</v>
      </c>
      <c r="C480" s="161" t="s">
        <v>7</v>
      </c>
      <c r="D480" s="162" t="s">
        <v>1428</v>
      </c>
      <c r="E480" s="252">
        <v>46501</v>
      </c>
      <c r="F480" s="164">
        <v>7</v>
      </c>
      <c r="G480" s="164">
        <v>3</v>
      </c>
      <c r="H480" s="164" t="s">
        <v>1500</v>
      </c>
    </row>
    <row r="481" ht="16" spans="1:8">
      <c r="A481" s="161" t="s">
        <v>1429</v>
      </c>
      <c r="B481" s="161" t="s">
        <v>1430</v>
      </c>
      <c r="C481" s="161" t="s">
        <v>33</v>
      </c>
      <c r="D481" s="162" t="s">
        <v>1431</v>
      </c>
      <c r="E481" s="252">
        <v>46502</v>
      </c>
      <c r="F481" s="164">
        <v>8</v>
      </c>
      <c r="G481" s="164">
        <v>5</v>
      </c>
      <c r="H481" s="164" t="s">
        <v>1501</v>
      </c>
    </row>
    <row r="482" ht="16" spans="1:8">
      <c r="A482" s="161" t="s">
        <v>1432</v>
      </c>
      <c r="B482" s="161" t="s">
        <v>1433</v>
      </c>
      <c r="C482" s="161" t="s">
        <v>7</v>
      </c>
      <c r="D482" s="162" t="s">
        <v>1434</v>
      </c>
      <c r="E482" s="252">
        <v>46503</v>
      </c>
      <c r="F482" s="164">
        <v>9</v>
      </c>
      <c r="G482" s="164">
        <v>7</v>
      </c>
      <c r="H482" s="164" t="s">
        <v>1495</v>
      </c>
    </row>
    <row r="483" ht="16" spans="1:8">
      <c r="A483" s="161" t="s">
        <v>1435</v>
      </c>
      <c r="B483" s="161" t="s">
        <v>1436</v>
      </c>
      <c r="C483" s="161" t="s">
        <v>10</v>
      </c>
      <c r="D483" s="162" t="s">
        <v>1437</v>
      </c>
      <c r="E483" s="252">
        <v>46504</v>
      </c>
      <c r="F483" s="164">
        <v>4</v>
      </c>
      <c r="G483" s="164">
        <v>5</v>
      </c>
      <c r="H483" s="164" t="s">
        <v>1497</v>
      </c>
    </row>
    <row r="484" ht="16" spans="1:8">
      <c r="A484" s="161" t="s">
        <v>1438</v>
      </c>
      <c r="B484" s="161" t="s">
        <v>1439</v>
      </c>
      <c r="C484" s="161" t="s">
        <v>44</v>
      </c>
      <c r="D484" s="162" t="s">
        <v>1440</v>
      </c>
      <c r="E484" s="252">
        <v>46505</v>
      </c>
      <c r="F484" s="164">
        <v>3</v>
      </c>
      <c r="G484" s="164">
        <v>6</v>
      </c>
      <c r="H484" s="164" t="s">
        <v>1498</v>
      </c>
    </row>
    <row r="485" ht="16" spans="1:8">
      <c r="A485" s="161" t="s">
        <v>1441</v>
      </c>
      <c r="B485" s="161" t="s">
        <v>1442</v>
      </c>
      <c r="C485" s="161" t="s">
        <v>33</v>
      </c>
      <c r="D485" s="162" t="s">
        <v>1443</v>
      </c>
      <c r="E485" s="252">
        <v>46506</v>
      </c>
      <c r="F485" s="164">
        <v>8</v>
      </c>
      <c r="G485" s="164">
        <v>7</v>
      </c>
      <c r="H485" s="164" t="s">
        <v>1499</v>
      </c>
    </row>
    <row r="486" ht="16" spans="1:8">
      <c r="A486" s="161" t="s">
        <v>1444</v>
      </c>
      <c r="B486" s="161" t="s">
        <v>1445</v>
      </c>
      <c r="C486" s="161" t="s">
        <v>10</v>
      </c>
      <c r="D486" s="162" t="s">
        <v>1446</v>
      </c>
      <c r="E486" s="252">
        <v>46507</v>
      </c>
      <c r="F486" s="164">
        <v>2</v>
      </c>
      <c r="G486" s="164">
        <v>8</v>
      </c>
      <c r="H486" s="164" t="s">
        <v>1500</v>
      </c>
    </row>
    <row r="487" ht="16" spans="1:8">
      <c r="A487" s="161" t="s">
        <v>1447</v>
      </c>
      <c r="B487" s="161" t="s">
        <v>1448</v>
      </c>
      <c r="C487" s="161" t="s">
        <v>13</v>
      </c>
      <c r="D487" s="162" t="s">
        <v>1449</v>
      </c>
      <c r="E487" s="252">
        <v>46508</v>
      </c>
      <c r="F487" s="164">
        <v>9</v>
      </c>
      <c r="G487" s="164">
        <v>9</v>
      </c>
      <c r="H487" s="164" t="s">
        <v>1501</v>
      </c>
    </row>
    <row r="488" ht="16" spans="1:8">
      <c r="A488" s="161" t="s">
        <v>1450</v>
      </c>
      <c r="B488" s="161" t="s">
        <v>1451</v>
      </c>
      <c r="C488" s="161" t="s">
        <v>13</v>
      </c>
      <c r="D488" s="162" t="s">
        <v>1452</v>
      </c>
      <c r="E488" s="252">
        <v>46509</v>
      </c>
      <c r="F488" s="164">
        <v>5</v>
      </c>
      <c r="G488" s="164">
        <v>4</v>
      </c>
      <c r="H488" s="164" t="s">
        <v>1495</v>
      </c>
    </row>
    <row r="489" ht="16" spans="1:8">
      <c r="A489" s="161" t="s">
        <v>1453</v>
      </c>
      <c r="B489" s="161" t="s">
        <v>1454</v>
      </c>
      <c r="C489" s="161" t="s">
        <v>7</v>
      </c>
      <c r="D489" s="162" t="s">
        <v>1455</v>
      </c>
      <c r="E489" s="252">
        <v>46510</v>
      </c>
      <c r="F489" s="164">
        <v>3</v>
      </c>
      <c r="G489" s="164">
        <v>3</v>
      </c>
      <c r="H489" s="164" t="s">
        <v>1497</v>
      </c>
    </row>
    <row r="490" ht="16" spans="1:8">
      <c r="A490" s="161" t="s">
        <v>1456</v>
      </c>
      <c r="B490" s="161" t="s">
        <v>1457</v>
      </c>
      <c r="C490" s="161" t="s">
        <v>13</v>
      </c>
      <c r="D490" s="162" t="s">
        <v>1458</v>
      </c>
      <c r="E490" s="252">
        <v>46511</v>
      </c>
      <c r="F490" s="164">
        <v>5</v>
      </c>
      <c r="G490" s="164">
        <v>8</v>
      </c>
      <c r="H490" s="164" t="s">
        <v>1498</v>
      </c>
    </row>
    <row r="491" ht="16" spans="1:8">
      <c r="A491" s="161" t="s">
        <v>1459</v>
      </c>
      <c r="B491" s="161" t="s">
        <v>1460</v>
      </c>
      <c r="C491" s="161" t="s">
        <v>33</v>
      </c>
      <c r="D491" s="162" t="s">
        <v>1461</v>
      </c>
      <c r="E491" s="252">
        <v>46512</v>
      </c>
      <c r="F491" s="164">
        <v>7</v>
      </c>
      <c r="G491" s="164">
        <v>2</v>
      </c>
      <c r="H491" s="164" t="s">
        <v>1499</v>
      </c>
    </row>
    <row r="492" ht="16" spans="1:8">
      <c r="A492" s="161" t="s">
        <v>1462</v>
      </c>
      <c r="B492" s="161" t="s">
        <v>1463</v>
      </c>
      <c r="C492" s="161" t="s">
        <v>13</v>
      </c>
      <c r="D492" s="162" t="s">
        <v>1464</v>
      </c>
      <c r="E492" s="252">
        <v>46513</v>
      </c>
      <c r="F492" s="164">
        <v>5</v>
      </c>
      <c r="G492" s="164">
        <v>9</v>
      </c>
      <c r="H492" s="164" t="s">
        <v>1500</v>
      </c>
    </row>
    <row r="493" ht="16" spans="1:8">
      <c r="A493" s="161" t="s">
        <v>1465</v>
      </c>
      <c r="B493" s="161" t="s">
        <v>1466</v>
      </c>
      <c r="C493" s="161" t="s">
        <v>7</v>
      </c>
      <c r="D493" s="162" t="s">
        <v>1467</v>
      </c>
      <c r="E493" s="252">
        <v>46514</v>
      </c>
      <c r="F493" s="164">
        <v>6</v>
      </c>
      <c r="G493" s="164">
        <v>9</v>
      </c>
      <c r="H493" s="164" t="s">
        <v>1501</v>
      </c>
    </row>
    <row r="494" ht="16" spans="1:8">
      <c r="A494" s="161" t="s">
        <v>1468</v>
      </c>
      <c r="B494" s="161" t="s">
        <v>1469</v>
      </c>
      <c r="C494" s="161" t="s">
        <v>13</v>
      </c>
      <c r="D494" s="162" t="s">
        <v>1470</v>
      </c>
      <c r="E494" s="252">
        <v>46515</v>
      </c>
      <c r="F494" s="164">
        <v>7</v>
      </c>
      <c r="G494" s="164">
        <v>4</v>
      </c>
      <c r="H494" s="164" t="s">
        <v>1495</v>
      </c>
    </row>
    <row r="495" ht="16" spans="1:8">
      <c r="A495" s="161" t="s">
        <v>1471</v>
      </c>
      <c r="B495" s="161" t="s">
        <v>1472</v>
      </c>
      <c r="C495" s="161" t="s">
        <v>44</v>
      </c>
      <c r="D495" s="162" t="s">
        <v>1473</v>
      </c>
      <c r="E495" s="252">
        <v>46516</v>
      </c>
      <c r="F495" s="164">
        <v>8</v>
      </c>
      <c r="G495" s="164">
        <v>6</v>
      </c>
      <c r="H495" s="164" t="s">
        <v>1497</v>
      </c>
    </row>
    <row r="496" ht="16" spans="1:8">
      <c r="A496" s="161" t="s">
        <v>1474</v>
      </c>
      <c r="B496" s="161" t="s">
        <v>1475</v>
      </c>
      <c r="C496" s="161" t="s">
        <v>33</v>
      </c>
      <c r="D496" s="162" t="s">
        <v>1476</v>
      </c>
      <c r="E496" s="252">
        <v>46517</v>
      </c>
      <c r="F496" s="164">
        <v>9</v>
      </c>
      <c r="G496" s="164">
        <v>6</v>
      </c>
      <c r="H496" s="164" t="s">
        <v>1498</v>
      </c>
    </row>
    <row r="497" ht="16" spans="1:8">
      <c r="A497" s="161" t="s">
        <v>1477</v>
      </c>
      <c r="B497" s="161" t="s">
        <v>1478</v>
      </c>
      <c r="C497" s="161" t="s">
        <v>10</v>
      </c>
      <c r="D497" s="162" t="s">
        <v>1479</v>
      </c>
      <c r="E497" s="252">
        <v>46518</v>
      </c>
      <c r="F497" s="164">
        <v>4</v>
      </c>
      <c r="G497" s="164">
        <v>8</v>
      </c>
      <c r="H497" s="164" t="s">
        <v>1499</v>
      </c>
    </row>
    <row r="498" ht="16" spans="1:8">
      <c r="A498" s="161" t="s">
        <v>1480</v>
      </c>
      <c r="B498" s="161" t="s">
        <v>1481</v>
      </c>
      <c r="C498" s="161" t="s">
        <v>13</v>
      </c>
      <c r="D498" s="162" t="s">
        <v>1482</v>
      </c>
      <c r="E498" s="252">
        <v>46519</v>
      </c>
      <c r="F498" s="164">
        <v>3</v>
      </c>
      <c r="G498" s="164">
        <v>6</v>
      </c>
      <c r="H498" s="164" t="s">
        <v>1500</v>
      </c>
    </row>
    <row r="499" ht="16" spans="1:8">
      <c r="A499" s="161" t="s">
        <v>1483</v>
      </c>
      <c r="B499" s="161" t="s">
        <v>1484</v>
      </c>
      <c r="C499" s="161" t="s">
        <v>33</v>
      </c>
      <c r="D499" s="162" t="s">
        <v>1485</v>
      </c>
      <c r="E499" s="252">
        <v>46520</v>
      </c>
      <c r="F499" s="164">
        <v>8</v>
      </c>
      <c r="G499" s="164">
        <v>4</v>
      </c>
      <c r="H499" s="164" t="s">
        <v>1501</v>
      </c>
    </row>
    <row r="500" ht="16" spans="1:8">
      <c r="A500" s="161" t="s">
        <v>1486</v>
      </c>
      <c r="B500" s="161" t="s">
        <v>1487</v>
      </c>
      <c r="C500" s="161" t="s">
        <v>7</v>
      </c>
      <c r="D500" s="162" t="s">
        <v>1488</v>
      </c>
      <c r="E500" s="252">
        <v>46521</v>
      </c>
      <c r="F500" s="164">
        <v>2</v>
      </c>
      <c r="G500" s="164">
        <v>7</v>
      </c>
      <c r="H500" s="164" t="s">
        <v>1495</v>
      </c>
    </row>
    <row r="501" ht="16" spans="1:8">
      <c r="A501" s="161" t="s">
        <v>1489</v>
      </c>
      <c r="B501" s="161" t="s">
        <v>1490</v>
      </c>
      <c r="C501" s="161" t="s">
        <v>10</v>
      </c>
      <c r="D501" s="162" t="s">
        <v>1491</v>
      </c>
      <c r="E501" s="252">
        <v>46522</v>
      </c>
      <c r="F501" s="164">
        <v>9</v>
      </c>
      <c r="G501" s="164">
        <v>9</v>
      </c>
      <c r="H501" s="164" t="s">
        <v>1497</v>
      </c>
    </row>
    <row r="502" ht="15.25"/>
  </sheetData>
  <mergeCells count="2">
    <mergeCell ref="I8:J8"/>
    <mergeCell ref="I2:K6"/>
  </mergeCells>
  <conditionalFormatting sqref="A2:H501">
    <cfRule type="expression" dxfId="112" priority="1">
      <formula>$C2=$K$8</formula>
    </cfRule>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02"/>
  <sheetViews>
    <sheetView zoomScale="103" zoomScaleNormal="103" workbookViewId="0">
      <selection activeCell="J13" sqref="J13"/>
    </sheetView>
  </sheetViews>
  <sheetFormatPr defaultColWidth="8.75454545454545" defaultRowHeight="14.5"/>
  <cols>
    <col min="1" max="1" width="11.6272727272727" style="245" customWidth="1"/>
    <col min="2" max="2" width="12.7545454545455" style="245" customWidth="1"/>
    <col min="3" max="3" width="12" style="245" customWidth="1"/>
    <col min="4" max="4" width="13.8727272727273" style="227" customWidth="1"/>
    <col min="5" max="5" width="11.6272727272727" style="246" customWidth="1"/>
    <col min="6" max="6" width="16.8727272727273" customWidth="1"/>
    <col min="7" max="7" width="11.2545454545455" customWidth="1"/>
    <col min="8" max="8" width="8.5" customWidth="1"/>
    <col min="11" max="11" width="12.3727272727273" customWidth="1"/>
  </cols>
  <sheetData>
    <row r="1" ht="16" spans="1:15">
      <c r="A1" s="153" t="s">
        <v>0</v>
      </c>
      <c r="B1" s="153" t="s">
        <v>1</v>
      </c>
      <c r="C1" s="154" t="s">
        <v>2</v>
      </c>
      <c r="D1" s="154" t="s">
        <v>3</v>
      </c>
      <c r="E1" s="155" t="s">
        <v>4</v>
      </c>
      <c r="F1" s="155" t="s">
        <v>1492</v>
      </c>
      <c r="G1" s="155" t="s">
        <v>1493</v>
      </c>
      <c r="H1" s="155" t="s">
        <v>1494</v>
      </c>
      <c r="I1" s="247" t="s">
        <v>1504</v>
      </c>
      <c r="J1" s="247"/>
      <c r="K1" s="247"/>
      <c r="L1" s="248" t="s">
        <v>1505</v>
      </c>
      <c r="M1" s="249"/>
      <c r="N1" s="249"/>
      <c r="O1" s="249"/>
    </row>
    <row r="2" ht="16" spans="1:15">
      <c r="A2" s="161" t="s">
        <v>5</v>
      </c>
      <c r="B2" s="161" t="s">
        <v>6</v>
      </c>
      <c r="C2" s="161" t="s">
        <v>7</v>
      </c>
      <c r="D2" s="162">
        <v>41954</v>
      </c>
      <c r="E2" s="163">
        <v>46023</v>
      </c>
      <c r="F2" s="164">
        <v>5</v>
      </c>
      <c r="G2" s="164">
        <v>9</v>
      </c>
      <c r="H2" s="164" t="s">
        <v>1495</v>
      </c>
      <c r="I2" s="247"/>
      <c r="J2" s="247"/>
      <c r="K2" s="247"/>
      <c r="L2" s="249"/>
      <c r="M2" s="249"/>
      <c r="N2" s="249"/>
      <c r="O2" s="249"/>
    </row>
    <row r="3" ht="16" spans="1:15">
      <c r="A3" s="161" t="s">
        <v>8</v>
      </c>
      <c r="B3" s="161" t="s">
        <v>9</v>
      </c>
      <c r="C3" s="161" t="s">
        <v>10</v>
      </c>
      <c r="D3" s="162">
        <v>49855</v>
      </c>
      <c r="E3" s="163">
        <v>46024</v>
      </c>
      <c r="F3" s="164">
        <v>6</v>
      </c>
      <c r="G3" s="164">
        <v>5</v>
      </c>
      <c r="H3" s="164" t="s">
        <v>1497</v>
      </c>
      <c r="I3" s="250" t="s">
        <v>1506</v>
      </c>
      <c r="J3" s="250"/>
      <c r="K3" s="250"/>
    </row>
    <row r="4" ht="16" spans="1:15">
      <c r="A4" s="161" t="s">
        <v>11</v>
      </c>
      <c r="B4" s="161" t="s">
        <v>12</v>
      </c>
      <c r="C4" s="161" t="s">
        <v>13</v>
      </c>
      <c r="D4" s="162">
        <v>94210</v>
      </c>
      <c r="E4" s="163">
        <v>46025</v>
      </c>
      <c r="F4" s="164">
        <v>7</v>
      </c>
      <c r="G4" s="164">
        <v>3</v>
      </c>
      <c r="H4" s="164" t="s">
        <v>1498</v>
      </c>
      <c r="I4" s="251" t="s">
        <v>1507</v>
      </c>
      <c r="J4" s="251"/>
      <c r="K4" s="251"/>
      <c r="M4" t="s">
        <v>292</v>
      </c>
    </row>
    <row r="5" ht="16" spans="1:15">
      <c r="A5" s="161" t="s">
        <v>14</v>
      </c>
      <c r="B5" s="161" t="s">
        <v>15</v>
      </c>
      <c r="C5" s="161" t="s">
        <v>7</v>
      </c>
      <c r="D5" s="162">
        <v>74689</v>
      </c>
      <c r="E5" s="163">
        <v>46026</v>
      </c>
      <c r="F5" s="164">
        <v>8</v>
      </c>
      <c r="G5" s="164">
        <v>5</v>
      </c>
      <c r="H5" s="164" t="s">
        <v>1499</v>
      </c>
      <c r="I5" s="251"/>
      <c r="J5" s="251"/>
      <c r="K5" s="251"/>
      <c r="L5" t="s">
        <v>292</v>
      </c>
      <c r="M5" t="s">
        <v>292</v>
      </c>
      <c r="N5" t="s">
        <v>292</v>
      </c>
    </row>
    <row r="6" ht="16" spans="1:15">
      <c r="A6" s="161" t="s">
        <v>16</v>
      </c>
      <c r="B6" s="161" t="s">
        <v>17</v>
      </c>
      <c r="C6" s="161" t="s">
        <v>10</v>
      </c>
      <c r="D6" s="162">
        <v>41954</v>
      </c>
      <c r="E6" s="163">
        <v>46027</v>
      </c>
      <c r="F6" s="164">
        <v>9</v>
      </c>
      <c r="G6" s="164">
        <v>7</v>
      </c>
      <c r="H6" s="164" t="s">
        <v>1500</v>
      </c>
      <c r="I6" s="251"/>
      <c r="J6" s="251"/>
      <c r="K6" s="251"/>
      <c r="M6" t="s">
        <v>292</v>
      </c>
    </row>
    <row r="7" ht="16" spans="1:15">
      <c r="A7" s="161" t="s">
        <v>18</v>
      </c>
      <c r="B7" s="161" t="s">
        <v>12</v>
      </c>
      <c r="C7" s="161" t="s">
        <v>10</v>
      </c>
      <c r="D7" s="162">
        <v>74820</v>
      </c>
      <c r="E7" s="163">
        <v>46028</v>
      </c>
      <c r="F7" s="164">
        <v>4</v>
      </c>
      <c r="G7" s="164">
        <v>5</v>
      </c>
      <c r="H7" s="164" t="s">
        <v>1501</v>
      </c>
      <c r="N7" s="90"/>
    </row>
    <row r="8" ht="16" spans="1:15">
      <c r="A8" s="161" t="s">
        <v>19</v>
      </c>
      <c r="B8" s="161" t="s">
        <v>20</v>
      </c>
      <c r="C8" s="161" t="s">
        <v>13</v>
      </c>
      <c r="D8" s="162">
        <v>85206</v>
      </c>
      <c r="E8" s="163">
        <v>46029</v>
      </c>
      <c r="F8" s="164">
        <v>3</v>
      </c>
      <c r="G8" s="164">
        <v>6</v>
      </c>
      <c r="H8" s="164" t="s">
        <v>1495</v>
      </c>
    </row>
    <row r="9" ht="16" spans="1:15">
      <c r="A9" s="161" t="s">
        <v>21</v>
      </c>
      <c r="B9" s="161" t="s">
        <v>22</v>
      </c>
      <c r="C9" s="161" t="s">
        <v>7</v>
      </c>
      <c r="D9" s="162">
        <v>30924</v>
      </c>
      <c r="E9" s="163">
        <v>46030</v>
      </c>
      <c r="F9" s="164">
        <v>8</v>
      </c>
      <c r="G9" s="164">
        <v>7</v>
      </c>
      <c r="H9" s="164" t="s">
        <v>1497</v>
      </c>
    </row>
    <row r="10" ht="16" spans="1:15">
      <c r="A10" s="161" t="s">
        <v>23</v>
      </c>
      <c r="B10" s="161" t="s">
        <v>24</v>
      </c>
      <c r="C10" s="161" t="s">
        <v>10</v>
      </c>
      <c r="D10" s="162">
        <v>57737</v>
      </c>
      <c r="E10" s="163">
        <v>46031</v>
      </c>
      <c r="F10" s="164">
        <v>2</v>
      </c>
      <c r="G10" s="164">
        <v>8</v>
      </c>
      <c r="H10" s="164" t="s">
        <v>1498</v>
      </c>
    </row>
    <row r="11" ht="16" spans="1:15">
      <c r="A11" s="161" t="s">
        <v>25</v>
      </c>
      <c r="B11" s="161" t="s">
        <v>26</v>
      </c>
      <c r="C11" s="161" t="s">
        <v>13</v>
      </c>
      <c r="D11" s="162">
        <v>36000</v>
      </c>
      <c r="E11" s="163">
        <v>46032</v>
      </c>
      <c r="F11" s="164">
        <v>9</v>
      </c>
      <c r="G11" s="164">
        <v>9</v>
      </c>
      <c r="H11" s="164" t="s">
        <v>1499</v>
      </c>
    </row>
    <row r="12" ht="16" spans="1:15">
      <c r="A12" s="161" t="s">
        <v>27</v>
      </c>
      <c r="B12" s="161" t="s">
        <v>28</v>
      </c>
      <c r="C12" s="161" t="s">
        <v>13</v>
      </c>
      <c r="D12" s="162">
        <v>96371</v>
      </c>
      <c r="E12" s="163">
        <v>46033</v>
      </c>
      <c r="F12" s="164">
        <v>5</v>
      </c>
      <c r="G12" s="164">
        <v>4</v>
      </c>
      <c r="H12" s="164" t="s">
        <v>1500</v>
      </c>
    </row>
    <row r="13" ht="16" spans="1:15">
      <c r="A13" s="161" t="s">
        <v>29</v>
      </c>
      <c r="B13" s="161" t="s">
        <v>30</v>
      </c>
      <c r="C13" s="161" t="s">
        <v>10</v>
      </c>
      <c r="D13" s="162">
        <v>85028</v>
      </c>
      <c r="E13" s="163">
        <v>46034</v>
      </c>
      <c r="F13" s="164">
        <v>3</v>
      </c>
      <c r="G13" s="164">
        <v>3</v>
      </c>
      <c r="H13" s="164" t="s">
        <v>1501</v>
      </c>
    </row>
    <row r="14" ht="15.25" spans="1:15">
      <c r="A14"/>
      <c r="B14"/>
      <c r="C14"/>
      <c r="D14"/>
      <c r="E14" s="85"/>
    </row>
    <row r="15" spans="1:15">
      <c r="A15"/>
      <c r="B15"/>
      <c r="C15"/>
      <c r="D15"/>
      <c r="E15" s="85"/>
    </row>
    <row r="16" spans="1:15">
      <c r="A16"/>
      <c r="B16"/>
      <c r="C16"/>
      <c r="D16"/>
      <c r="E16" s="85"/>
    </row>
    <row r="17" spans="1:5">
      <c r="A17"/>
      <c r="B17"/>
      <c r="C17"/>
      <c r="D17"/>
      <c r="E17" s="85"/>
    </row>
    <row r="18" spans="1:5">
      <c r="A18"/>
      <c r="B18"/>
      <c r="C18"/>
      <c r="D18"/>
      <c r="E18" s="85"/>
    </row>
    <row r="19" spans="1:5">
      <c r="A19"/>
      <c r="B19"/>
      <c r="C19"/>
      <c r="D19"/>
      <c r="E19" s="85"/>
    </row>
    <row r="20" spans="1:5">
      <c r="A20"/>
      <c r="B20"/>
      <c r="C20"/>
      <c r="D20"/>
      <c r="E20" s="85"/>
    </row>
    <row r="21" spans="1:5">
      <c r="A21"/>
      <c r="B21"/>
      <c r="C21"/>
      <c r="D21"/>
      <c r="E21" s="85"/>
    </row>
    <row r="22" spans="1:5">
      <c r="A22"/>
      <c r="B22"/>
      <c r="C22"/>
      <c r="D22"/>
      <c r="E22" s="85"/>
    </row>
    <row r="23" spans="1:5">
      <c r="A23"/>
      <c r="B23"/>
      <c r="C23"/>
      <c r="D23"/>
      <c r="E23" s="85"/>
    </row>
    <row r="24" spans="1:5">
      <c r="A24"/>
      <c r="B24"/>
      <c r="C24"/>
      <c r="D24"/>
      <c r="E24" s="85"/>
    </row>
    <row r="25" spans="1:5">
      <c r="A25"/>
      <c r="B25"/>
      <c r="C25"/>
      <c r="D25"/>
      <c r="E25" s="85"/>
    </row>
    <row r="26" spans="1:5">
      <c r="A26"/>
      <c r="B26"/>
      <c r="C26"/>
      <c r="D26"/>
      <c r="E26" s="85"/>
    </row>
    <row r="27" spans="1:5">
      <c r="A27"/>
      <c r="B27"/>
      <c r="C27"/>
      <c r="D27"/>
      <c r="E27" s="85"/>
    </row>
    <row r="28" spans="1:5">
      <c r="A28"/>
      <c r="B28"/>
      <c r="C28"/>
      <c r="D28"/>
      <c r="E28" s="85"/>
    </row>
    <row r="29" spans="1:5">
      <c r="A29"/>
      <c r="B29"/>
      <c r="C29"/>
      <c r="D29"/>
      <c r="E29" s="85"/>
    </row>
    <row r="30" spans="1:5">
      <c r="A30"/>
      <c r="B30"/>
      <c r="C30"/>
      <c r="D30"/>
      <c r="E30" s="85"/>
    </row>
    <row r="31" spans="1:5">
      <c r="A31"/>
      <c r="B31"/>
      <c r="C31"/>
      <c r="D31"/>
      <c r="E31" s="85"/>
    </row>
    <row r="32" spans="1:5">
      <c r="A32"/>
      <c r="B32"/>
      <c r="C32"/>
      <c r="D32"/>
      <c r="E32" s="85"/>
    </row>
    <row r="33" spans="1:5">
      <c r="A33"/>
      <c r="B33"/>
      <c r="C33"/>
      <c r="D33"/>
      <c r="E33" s="85"/>
    </row>
    <row r="34" spans="1:5">
      <c r="A34"/>
      <c r="B34"/>
      <c r="C34"/>
      <c r="D34"/>
      <c r="E34" s="85"/>
    </row>
    <row r="35" spans="1:5">
      <c r="A35"/>
      <c r="B35"/>
      <c r="C35"/>
      <c r="D35"/>
      <c r="E35" s="85"/>
    </row>
    <row r="36" spans="1:5">
      <c r="A36"/>
      <c r="B36"/>
      <c r="C36"/>
      <c r="D36"/>
      <c r="E36" s="85"/>
    </row>
    <row r="37" spans="1:5">
      <c r="A37"/>
      <c r="B37"/>
      <c r="C37"/>
      <c r="D37"/>
      <c r="E37" s="85"/>
    </row>
    <row r="38" spans="1:5">
      <c r="A38"/>
      <c r="B38"/>
      <c r="C38"/>
      <c r="D38"/>
      <c r="E38" s="85"/>
    </row>
    <row r="39" spans="1:5">
      <c r="A39"/>
      <c r="B39"/>
      <c r="C39"/>
      <c r="D39"/>
      <c r="E39" s="85"/>
    </row>
    <row r="40" spans="1:5">
      <c r="A40"/>
      <c r="B40"/>
      <c r="C40"/>
      <c r="D40"/>
      <c r="E40" s="85"/>
    </row>
    <row r="41" spans="1:5">
      <c r="A41"/>
      <c r="B41"/>
      <c r="C41"/>
      <c r="D41"/>
      <c r="E41" s="85"/>
    </row>
    <row r="42" spans="1:5">
      <c r="A42"/>
      <c r="B42"/>
      <c r="C42"/>
      <c r="D42"/>
      <c r="E42" s="85"/>
    </row>
    <row r="43" spans="1:5">
      <c r="A43"/>
      <c r="B43"/>
      <c r="C43"/>
      <c r="D43"/>
      <c r="E43" s="85"/>
    </row>
    <row r="44" spans="1:5">
      <c r="A44"/>
      <c r="B44"/>
      <c r="C44"/>
      <c r="D44"/>
      <c r="E44" s="85"/>
    </row>
    <row r="45" spans="1:5">
      <c r="A45"/>
      <c r="B45"/>
      <c r="C45"/>
      <c r="D45"/>
      <c r="E45" s="85"/>
    </row>
    <row r="46" spans="1:5">
      <c r="A46"/>
      <c r="B46"/>
      <c r="C46"/>
      <c r="D46"/>
      <c r="E46" s="85"/>
    </row>
    <row r="47" spans="1:5">
      <c r="A47"/>
      <c r="B47"/>
      <c r="C47"/>
      <c r="D47"/>
      <c r="E47" s="85"/>
    </row>
    <row r="48" spans="1:5">
      <c r="A48"/>
      <c r="B48"/>
      <c r="C48"/>
      <c r="D48"/>
      <c r="E48" s="85"/>
    </row>
    <row r="49" spans="1:5">
      <c r="A49"/>
      <c r="B49"/>
      <c r="C49"/>
      <c r="D49"/>
      <c r="E49" s="85"/>
    </row>
    <row r="50" spans="1:5">
      <c r="A50"/>
      <c r="B50"/>
      <c r="C50"/>
      <c r="D50"/>
      <c r="E50" s="85"/>
    </row>
    <row r="51" spans="1:5">
      <c r="A51"/>
      <c r="B51"/>
      <c r="C51"/>
      <c r="D51"/>
      <c r="E51" s="85"/>
    </row>
    <row r="52" spans="1:5">
      <c r="A52"/>
      <c r="B52"/>
      <c r="C52"/>
      <c r="D52"/>
      <c r="E52" s="85"/>
    </row>
    <row r="53" spans="1:5">
      <c r="A53"/>
      <c r="B53"/>
      <c r="C53"/>
      <c r="D53"/>
      <c r="E53" s="85"/>
    </row>
    <row r="54" spans="1:5">
      <c r="A54"/>
      <c r="B54"/>
      <c r="C54"/>
      <c r="D54"/>
      <c r="E54" s="85"/>
    </row>
    <row r="55" spans="1:5">
      <c r="A55"/>
      <c r="B55"/>
      <c r="C55"/>
      <c r="D55"/>
      <c r="E55" s="85"/>
    </row>
    <row r="56" spans="1:5">
      <c r="A56"/>
      <c r="B56"/>
      <c r="C56"/>
      <c r="D56"/>
      <c r="E56" s="85"/>
    </row>
    <row r="57" spans="1:5">
      <c r="A57"/>
      <c r="B57"/>
      <c r="C57"/>
      <c r="D57"/>
      <c r="E57" s="85"/>
    </row>
    <row r="58" spans="1:5">
      <c r="A58"/>
      <c r="B58"/>
      <c r="C58"/>
      <c r="D58"/>
      <c r="E58" s="85"/>
    </row>
    <row r="59" spans="1:5">
      <c r="A59"/>
      <c r="B59"/>
      <c r="C59"/>
      <c r="D59"/>
      <c r="E59" s="85"/>
    </row>
    <row r="60" spans="1:5">
      <c r="A60"/>
      <c r="B60"/>
      <c r="C60"/>
      <c r="D60"/>
      <c r="E60" s="85"/>
    </row>
    <row r="61" spans="1:5">
      <c r="A61"/>
      <c r="B61"/>
      <c r="C61"/>
      <c r="D61"/>
      <c r="E61" s="85"/>
    </row>
    <row r="62" spans="1:5">
      <c r="A62"/>
      <c r="B62"/>
      <c r="C62"/>
      <c r="D62"/>
      <c r="E62" s="85"/>
    </row>
    <row r="63" spans="1:5">
      <c r="A63"/>
      <c r="B63"/>
      <c r="C63"/>
      <c r="D63"/>
      <c r="E63" s="85"/>
    </row>
    <row r="64" spans="1:5">
      <c r="A64"/>
      <c r="B64"/>
      <c r="C64"/>
      <c r="D64"/>
      <c r="E64" s="85"/>
    </row>
    <row r="65" spans="1:5">
      <c r="A65"/>
      <c r="B65"/>
      <c r="C65"/>
      <c r="D65"/>
      <c r="E65" s="85"/>
    </row>
    <row r="66" spans="1:5">
      <c r="A66"/>
      <c r="B66"/>
      <c r="C66"/>
      <c r="D66"/>
      <c r="E66" s="85"/>
    </row>
    <row r="67" spans="1:5">
      <c r="A67"/>
      <c r="B67"/>
      <c r="C67"/>
      <c r="D67"/>
      <c r="E67" s="85"/>
    </row>
    <row r="68" spans="1:5">
      <c r="A68"/>
      <c r="B68"/>
      <c r="C68"/>
      <c r="D68"/>
      <c r="E68" s="85"/>
    </row>
    <row r="69" spans="1:5">
      <c r="A69"/>
      <c r="B69"/>
      <c r="C69"/>
      <c r="D69"/>
      <c r="E69" s="85"/>
    </row>
    <row r="70" spans="1:5">
      <c r="A70"/>
      <c r="B70"/>
      <c r="C70"/>
      <c r="D70"/>
      <c r="E70" s="85"/>
    </row>
    <row r="71" spans="1:5">
      <c r="A71"/>
      <c r="B71"/>
      <c r="C71"/>
      <c r="D71"/>
      <c r="E71" s="85"/>
    </row>
    <row r="72" spans="1:5">
      <c r="A72"/>
      <c r="B72"/>
      <c r="C72"/>
      <c r="D72"/>
      <c r="E72" s="85"/>
    </row>
    <row r="73" spans="1:5">
      <c r="A73"/>
      <c r="B73"/>
      <c r="C73"/>
      <c r="D73"/>
      <c r="E73" s="85"/>
    </row>
    <row r="74" spans="1:5">
      <c r="A74"/>
      <c r="B74"/>
      <c r="C74"/>
      <c r="D74"/>
      <c r="E74" s="85"/>
    </row>
    <row r="75" spans="1:5">
      <c r="A75"/>
      <c r="B75"/>
      <c r="C75"/>
      <c r="D75"/>
      <c r="E75" s="85"/>
    </row>
    <row r="76" spans="1:5">
      <c r="A76"/>
      <c r="B76"/>
      <c r="C76"/>
      <c r="D76"/>
      <c r="E76" s="85"/>
    </row>
    <row r="77" spans="1:5">
      <c r="A77"/>
      <c r="B77"/>
      <c r="C77"/>
      <c r="D77"/>
      <c r="E77" s="85"/>
    </row>
    <row r="78" spans="1:5">
      <c r="A78"/>
      <c r="B78"/>
      <c r="C78"/>
      <c r="D78"/>
      <c r="E78" s="85"/>
    </row>
    <row r="79" spans="1:5">
      <c r="A79"/>
      <c r="B79"/>
      <c r="C79"/>
      <c r="D79"/>
      <c r="E79" s="85"/>
    </row>
    <row r="80" spans="1:5">
      <c r="A80"/>
      <c r="B80"/>
      <c r="C80"/>
      <c r="D80"/>
      <c r="E80" s="85"/>
    </row>
    <row r="81" spans="1:5">
      <c r="A81"/>
      <c r="B81"/>
      <c r="C81"/>
      <c r="D81"/>
      <c r="E81" s="85"/>
    </row>
    <row r="82" spans="1:5">
      <c r="A82"/>
      <c r="B82"/>
      <c r="C82"/>
      <c r="D82"/>
      <c r="E82" s="85"/>
    </row>
    <row r="83" spans="1:5">
      <c r="A83"/>
      <c r="B83"/>
      <c r="C83"/>
      <c r="D83"/>
      <c r="E83" s="85"/>
    </row>
    <row r="84" spans="1:5">
      <c r="A84"/>
      <c r="B84"/>
      <c r="C84"/>
      <c r="D84"/>
      <c r="E84" s="85"/>
    </row>
    <row r="85" spans="1:5">
      <c r="A85"/>
      <c r="B85"/>
      <c r="C85"/>
      <c r="D85"/>
      <c r="E85" s="85"/>
    </row>
    <row r="86" spans="1:5">
      <c r="A86"/>
      <c r="B86"/>
      <c r="C86"/>
      <c r="D86"/>
      <c r="E86" s="85"/>
    </row>
    <row r="87" spans="1:5">
      <c r="A87"/>
      <c r="B87"/>
      <c r="C87"/>
      <c r="D87"/>
      <c r="E87" s="85"/>
    </row>
    <row r="88" spans="1:5">
      <c r="A88"/>
      <c r="B88"/>
      <c r="C88"/>
      <c r="D88"/>
      <c r="E88" s="85"/>
    </row>
    <row r="89" spans="1:5">
      <c r="A89"/>
      <c r="B89"/>
      <c r="C89"/>
      <c r="D89"/>
      <c r="E89" s="85"/>
    </row>
    <row r="90" spans="1:5">
      <c r="A90"/>
      <c r="B90"/>
      <c r="C90"/>
      <c r="D90"/>
      <c r="E90" s="85"/>
    </row>
    <row r="91" spans="1:5">
      <c r="A91"/>
      <c r="B91"/>
      <c r="C91"/>
      <c r="D91"/>
      <c r="E91" s="85"/>
    </row>
    <row r="92" spans="1:5">
      <c r="A92"/>
      <c r="B92"/>
      <c r="C92"/>
      <c r="D92"/>
      <c r="E92" s="85"/>
    </row>
    <row r="93" spans="1:5">
      <c r="A93"/>
      <c r="B93"/>
      <c r="C93"/>
      <c r="D93"/>
      <c r="E93" s="85"/>
    </row>
    <row r="94" spans="1:5">
      <c r="A94"/>
      <c r="B94"/>
      <c r="C94"/>
      <c r="D94"/>
      <c r="E94" s="85"/>
    </row>
    <row r="95" spans="1:5">
      <c r="A95"/>
      <c r="B95"/>
      <c r="C95"/>
      <c r="D95"/>
      <c r="E95" s="85"/>
    </row>
    <row r="96" spans="1:5">
      <c r="A96"/>
      <c r="B96"/>
      <c r="C96"/>
      <c r="D96"/>
      <c r="E96" s="85"/>
    </row>
    <row r="97" spans="1:5">
      <c r="A97"/>
      <c r="B97"/>
      <c r="C97"/>
      <c r="D97"/>
      <c r="E97" s="85"/>
    </row>
    <row r="98" spans="1:5">
      <c r="A98"/>
      <c r="B98"/>
      <c r="C98"/>
      <c r="D98"/>
      <c r="E98" s="85"/>
    </row>
    <row r="99" spans="1:5">
      <c r="A99"/>
      <c r="B99"/>
      <c r="C99"/>
      <c r="D99"/>
      <c r="E99" s="85"/>
    </row>
    <row r="100" spans="1:5">
      <c r="A100"/>
      <c r="B100"/>
      <c r="C100"/>
      <c r="D100"/>
      <c r="E100" s="85"/>
    </row>
    <row r="101" spans="1:5">
      <c r="A101"/>
      <c r="B101"/>
      <c r="C101"/>
      <c r="D101"/>
      <c r="E101" s="85"/>
    </row>
    <row r="102" spans="1:5">
      <c r="A102"/>
      <c r="B102"/>
      <c r="C102"/>
      <c r="D102"/>
      <c r="E102" s="85"/>
    </row>
    <row r="103" spans="1:5">
      <c r="A103"/>
      <c r="B103"/>
      <c r="C103"/>
      <c r="D103"/>
      <c r="E103" s="85"/>
    </row>
    <row r="104" spans="1:5">
      <c r="A104"/>
      <c r="B104"/>
      <c r="C104"/>
      <c r="D104"/>
      <c r="E104" s="85"/>
    </row>
    <row r="105" spans="1:5">
      <c r="A105"/>
      <c r="B105"/>
      <c r="C105"/>
      <c r="D105"/>
      <c r="E105" s="85"/>
    </row>
    <row r="106" spans="1:5">
      <c r="A106"/>
      <c r="B106"/>
      <c r="C106"/>
      <c r="D106"/>
      <c r="E106" s="85"/>
    </row>
    <row r="107" spans="1:5">
      <c r="A107"/>
      <c r="B107"/>
      <c r="C107"/>
      <c r="D107"/>
      <c r="E107" s="85"/>
    </row>
    <row r="108" spans="1:5">
      <c r="A108"/>
      <c r="B108"/>
      <c r="C108"/>
      <c r="D108"/>
      <c r="E108" s="85"/>
    </row>
    <row r="109" spans="1:5">
      <c r="A109"/>
      <c r="B109"/>
      <c r="C109"/>
      <c r="D109"/>
      <c r="E109" s="85"/>
    </row>
    <row r="110" spans="1:5">
      <c r="A110"/>
      <c r="B110"/>
      <c r="C110"/>
      <c r="D110"/>
      <c r="E110" s="85"/>
    </row>
    <row r="111" spans="1:5">
      <c r="A111"/>
      <c r="B111"/>
      <c r="C111"/>
      <c r="D111"/>
      <c r="E111" s="85"/>
    </row>
    <row r="112" spans="1:5">
      <c r="A112"/>
      <c r="B112"/>
      <c r="C112"/>
      <c r="D112"/>
      <c r="E112" s="85"/>
    </row>
    <row r="113" spans="1:5">
      <c r="A113"/>
      <c r="B113"/>
      <c r="C113"/>
      <c r="D113"/>
      <c r="E113" s="85"/>
    </row>
    <row r="114" spans="1:5">
      <c r="A114"/>
      <c r="B114"/>
      <c r="C114"/>
      <c r="D114"/>
      <c r="E114" s="85"/>
    </row>
    <row r="115" spans="1:5">
      <c r="A115"/>
      <c r="B115"/>
      <c r="C115"/>
      <c r="D115"/>
      <c r="E115" s="85"/>
    </row>
    <row r="116" spans="1:5">
      <c r="A116"/>
      <c r="B116"/>
      <c r="C116"/>
      <c r="D116"/>
      <c r="E116" s="85"/>
    </row>
    <row r="117" spans="1:5">
      <c r="A117"/>
      <c r="B117"/>
      <c r="C117"/>
      <c r="D117"/>
      <c r="E117" s="85"/>
    </row>
    <row r="118" spans="1:5">
      <c r="A118"/>
      <c r="B118"/>
      <c r="C118"/>
      <c r="D118"/>
      <c r="E118" s="85"/>
    </row>
    <row r="119" spans="1:5">
      <c r="A119"/>
      <c r="B119"/>
      <c r="C119"/>
      <c r="D119"/>
      <c r="E119" s="85"/>
    </row>
    <row r="120" spans="1:5">
      <c r="A120"/>
      <c r="B120"/>
      <c r="C120"/>
      <c r="D120"/>
      <c r="E120" s="85"/>
    </row>
    <row r="121" spans="1:5">
      <c r="A121"/>
      <c r="B121"/>
      <c r="C121"/>
      <c r="D121"/>
      <c r="E121" s="85"/>
    </row>
    <row r="122" spans="1:5">
      <c r="A122"/>
      <c r="B122"/>
      <c r="C122"/>
      <c r="D122"/>
      <c r="E122" s="85"/>
    </row>
    <row r="123" spans="1:5">
      <c r="A123"/>
      <c r="B123"/>
      <c r="C123"/>
      <c r="D123"/>
      <c r="E123" s="85"/>
    </row>
    <row r="124" spans="1:5">
      <c r="A124"/>
      <c r="B124"/>
      <c r="C124"/>
      <c r="D124"/>
      <c r="E124" s="85"/>
    </row>
    <row r="125" spans="1:5">
      <c r="A125"/>
      <c r="B125"/>
      <c r="C125"/>
      <c r="D125"/>
      <c r="E125" s="85"/>
    </row>
    <row r="126" spans="1:5">
      <c r="A126"/>
      <c r="B126"/>
      <c r="C126"/>
      <c r="D126"/>
      <c r="E126" s="85"/>
    </row>
    <row r="127" spans="1:5">
      <c r="A127"/>
      <c r="B127"/>
      <c r="C127"/>
      <c r="D127"/>
      <c r="E127" s="85"/>
    </row>
    <row r="128" spans="1:5">
      <c r="A128"/>
      <c r="B128"/>
      <c r="C128"/>
      <c r="D128"/>
      <c r="E128" s="85"/>
    </row>
    <row r="129" spans="1:5">
      <c r="A129"/>
      <c r="B129"/>
      <c r="C129"/>
      <c r="D129"/>
      <c r="E129" s="85"/>
    </row>
    <row r="130" spans="1:5">
      <c r="A130"/>
      <c r="B130"/>
      <c r="C130"/>
      <c r="D130"/>
      <c r="E130" s="85"/>
    </row>
    <row r="131" spans="1:5">
      <c r="A131"/>
      <c r="B131"/>
      <c r="C131"/>
      <c r="D131"/>
      <c r="E131" s="85"/>
    </row>
    <row r="132" spans="1:5">
      <c r="A132"/>
      <c r="B132"/>
      <c r="C132"/>
      <c r="D132"/>
      <c r="E132" s="85"/>
    </row>
    <row r="133" spans="1:5">
      <c r="A133"/>
      <c r="B133"/>
      <c r="C133"/>
      <c r="D133"/>
      <c r="E133" s="85"/>
    </row>
    <row r="134" spans="1:5">
      <c r="A134"/>
      <c r="B134"/>
      <c r="C134"/>
      <c r="D134"/>
      <c r="E134" s="85"/>
    </row>
    <row r="135" spans="1:5">
      <c r="A135"/>
      <c r="B135"/>
      <c r="C135"/>
      <c r="D135"/>
      <c r="E135" s="85"/>
    </row>
    <row r="136" spans="1:5">
      <c r="A136"/>
      <c r="B136"/>
      <c r="C136"/>
      <c r="D136"/>
      <c r="E136" s="85"/>
    </row>
    <row r="137" spans="1:5">
      <c r="A137"/>
      <c r="B137"/>
      <c r="C137"/>
      <c r="D137"/>
      <c r="E137" s="85"/>
    </row>
    <row r="138" spans="1:5">
      <c r="A138"/>
      <c r="B138"/>
      <c r="C138"/>
      <c r="D138"/>
      <c r="E138" s="85"/>
    </row>
    <row r="139" spans="1:5">
      <c r="A139"/>
      <c r="B139"/>
      <c r="C139"/>
      <c r="D139"/>
      <c r="E139" s="85"/>
    </row>
    <row r="140" spans="1:5">
      <c r="A140"/>
      <c r="B140"/>
      <c r="C140"/>
      <c r="D140"/>
      <c r="E140" s="85"/>
    </row>
    <row r="141" spans="1:5">
      <c r="A141"/>
      <c r="B141"/>
      <c r="C141"/>
      <c r="D141"/>
      <c r="E141" s="85"/>
    </row>
    <row r="142" spans="1:5">
      <c r="A142"/>
      <c r="B142"/>
      <c r="C142"/>
      <c r="D142"/>
      <c r="E142" s="85"/>
    </row>
    <row r="143" spans="1:5">
      <c r="A143"/>
      <c r="B143"/>
      <c r="C143"/>
      <c r="D143"/>
      <c r="E143" s="85"/>
    </row>
    <row r="144" spans="1:5">
      <c r="A144"/>
      <c r="B144"/>
      <c r="C144"/>
      <c r="D144"/>
      <c r="E144" s="85"/>
    </row>
    <row r="145" spans="1:5">
      <c r="A145"/>
      <c r="B145"/>
      <c r="C145"/>
      <c r="D145"/>
      <c r="E145" s="85"/>
    </row>
    <row r="146" spans="1:5">
      <c r="A146"/>
      <c r="B146"/>
      <c r="C146"/>
      <c r="D146"/>
      <c r="E146" s="85"/>
    </row>
    <row r="147" spans="1:5">
      <c r="A147"/>
      <c r="B147"/>
      <c r="C147"/>
      <c r="D147"/>
      <c r="E147" s="85"/>
    </row>
    <row r="148" spans="1:5">
      <c r="A148"/>
      <c r="B148"/>
      <c r="C148"/>
      <c r="D148"/>
      <c r="E148" s="85"/>
    </row>
    <row r="149" spans="1:5">
      <c r="A149"/>
      <c r="B149"/>
      <c r="C149"/>
      <c r="D149"/>
      <c r="E149" s="85"/>
    </row>
    <row r="150" spans="1:5">
      <c r="A150"/>
      <c r="B150"/>
      <c r="C150"/>
      <c r="D150"/>
      <c r="E150" s="85"/>
    </row>
    <row r="151" spans="1:5">
      <c r="A151"/>
      <c r="B151"/>
      <c r="C151"/>
      <c r="D151"/>
      <c r="E151" s="85"/>
    </row>
    <row r="152" spans="1:5">
      <c r="A152"/>
      <c r="B152"/>
      <c r="C152"/>
      <c r="D152"/>
      <c r="E152" s="85"/>
    </row>
    <row r="153" spans="1:5">
      <c r="A153"/>
      <c r="B153"/>
      <c r="C153"/>
      <c r="D153"/>
      <c r="E153" s="85"/>
    </row>
    <row r="154" spans="1:5">
      <c r="A154"/>
      <c r="B154"/>
      <c r="C154"/>
      <c r="D154"/>
      <c r="E154" s="85"/>
    </row>
    <row r="155" spans="1:5">
      <c r="A155"/>
      <c r="B155"/>
      <c r="C155"/>
      <c r="D155"/>
      <c r="E155" s="85"/>
    </row>
    <row r="156" spans="1:5">
      <c r="A156"/>
      <c r="B156"/>
      <c r="C156"/>
      <c r="D156"/>
      <c r="E156" s="85"/>
    </row>
    <row r="157" spans="1:5">
      <c r="A157"/>
      <c r="B157"/>
      <c r="C157"/>
      <c r="D157"/>
      <c r="E157" s="85"/>
    </row>
    <row r="158" spans="1:5">
      <c r="A158"/>
      <c r="B158"/>
      <c r="C158"/>
      <c r="D158"/>
      <c r="E158" s="85"/>
    </row>
    <row r="159" spans="1:5">
      <c r="A159"/>
      <c r="B159"/>
      <c r="C159"/>
      <c r="D159"/>
      <c r="E159" s="85"/>
    </row>
    <row r="160" spans="1:5">
      <c r="A160"/>
      <c r="B160"/>
      <c r="C160"/>
      <c r="D160"/>
      <c r="E160" s="85"/>
    </row>
    <row r="161" spans="1:5">
      <c r="A161"/>
      <c r="B161"/>
      <c r="C161"/>
      <c r="D161"/>
      <c r="E161" s="85"/>
    </row>
    <row r="162" spans="1:5">
      <c r="A162"/>
      <c r="B162"/>
      <c r="C162"/>
      <c r="D162"/>
      <c r="E162" s="85"/>
    </row>
    <row r="163" spans="1:5">
      <c r="A163"/>
      <c r="B163"/>
      <c r="C163"/>
      <c r="D163"/>
      <c r="E163" s="85"/>
    </row>
    <row r="164" spans="1:5">
      <c r="A164"/>
      <c r="B164"/>
      <c r="C164"/>
      <c r="D164"/>
      <c r="E164" s="85"/>
    </row>
    <row r="165" spans="1:5">
      <c r="A165"/>
      <c r="B165"/>
      <c r="C165"/>
      <c r="D165"/>
      <c r="E165" s="85"/>
    </row>
    <row r="166" spans="1:5">
      <c r="A166"/>
      <c r="B166"/>
      <c r="C166"/>
      <c r="D166"/>
      <c r="E166" s="85"/>
    </row>
    <row r="167" spans="1:5">
      <c r="A167"/>
      <c r="B167"/>
      <c r="C167"/>
      <c r="D167"/>
      <c r="E167" s="85"/>
    </row>
    <row r="168" spans="1:5">
      <c r="A168"/>
      <c r="B168"/>
      <c r="C168"/>
      <c r="D168"/>
      <c r="E168" s="85"/>
    </row>
    <row r="169" spans="1:5">
      <c r="A169"/>
      <c r="B169"/>
      <c r="C169"/>
      <c r="D169"/>
      <c r="E169" s="85"/>
    </row>
    <row r="170" spans="1:5">
      <c r="A170"/>
      <c r="B170"/>
      <c r="C170"/>
      <c r="D170"/>
      <c r="E170" s="85"/>
    </row>
    <row r="171" spans="1:5">
      <c r="A171"/>
      <c r="B171"/>
      <c r="C171"/>
      <c r="D171"/>
      <c r="E171" s="85"/>
    </row>
    <row r="172" spans="1:5">
      <c r="A172"/>
      <c r="B172"/>
      <c r="C172"/>
      <c r="D172"/>
      <c r="E172" s="85"/>
    </row>
    <row r="173" spans="1:5">
      <c r="A173"/>
      <c r="B173"/>
      <c r="C173"/>
      <c r="D173"/>
      <c r="E173" s="85"/>
    </row>
    <row r="174" spans="1:5">
      <c r="A174"/>
      <c r="B174"/>
      <c r="C174"/>
      <c r="D174"/>
      <c r="E174" s="85"/>
    </row>
    <row r="175" spans="1:5">
      <c r="A175"/>
      <c r="B175"/>
      <c r="C175"/>
      <c r="D175"/>
      <c r="E175" s="85"/>
    </row>
    <row r="176" spans="1:5">
      <c r="A176"/>
      <c r="B176"/>
      <c r="C176"/>
      <c r="D176"/>
      <c r="E176" s="85"/>
    </row>
    <row r="177" spans="1:5">
      <c r="A177"/>
      <c r="B177"/>
      <c r="C177"/>
      <c r="D177"/>
      <c r="E177" s="85"/>
    </row>
    <row r="178" spans="1:5">
      <c r="A178"/>
      <c r="B178"/>
      <c r="C178"/>
      <c r="D178"/>
      <c r="E178" s="85"/>
    </row>
    <row r="179" spans="1:5">
      <c r="A179"/>
      <c r="B179"/>
      <c r="C179"/>
      <c r="D179"/>
      <c r="E179" s="85"/>
    </row>
    <row r="180" spans="1:5">
      <c r="A180"/>
      <c r="B180"/>
      <c r="C180"/>
      <c r="D180"/>
      <c r="E180" s="85"/>
    </row>
    <row r="181" spans="1:5">
      <c r="A181"/>
      <c r="B181"/>
      <c r="C181"/>
      <c r="D181"/>
      <c r="E181" s="85"/>
    </row>
    <row r="182" spans="1:5">
      <c r="A182"/>
      <c r="B182"/>
      <c r="C182"/>
      <c r="D182"/>
      <c r="E182" s="85"/>
    </row>
    <row r="183" spans="1:5">
      <c r="A183"/>
      <c r="B183"/>
      <c r="C183"/>
      <c r="D183"/>
      <c r="E183" s="85"/>
    </row>
    <row r="184" spans="1:5">
      <c r="A184"/>
      <c r="B184"/>
      <c r="C184"/>
      <c r="D184"/>
      <c r="E184" s="85"/>
    </row>
    <row r="185" spans="1:5">
      <c r="A185"/>
      <c r="B185"/>
      <c r="C185"/>
      <c r="D185"/>
      <c r="E185" s="85"/>
    </row>
    <row r="186" spans="1:5">
      <c r="A186"/>
      <c r="B186"/>
      <c r="C186"/>
      <c r="D186"/>
      <c r="E186" s="85"/>
    </row>
    <row r="187" spans="1:5">
      <c r="A187"/>
      <c r="B187"/>
      <c r="C187"/>
      <c r="D187"/>
      <c r="E187" s="85"/>
    </row>
    <row r="188" spans="1:5">
      <c r="A188"/>
      <c r="B188"/>
      <c r="C188"/>
      <c r="D188"/>
      <c r="E188" s="85"/>
    </row>
    <row r="189" spans="1:5">
      <c r="A189"/>
      <c r="B189"/>
      <c r="C189"/>
      <c r="D189"/>
      <c r="E189" s="85"/>
    </row>
    <row r="190" spans="1:5">
      <c r="A190"/>
      <c r="B190"/>
      <c r="C190"/>
      <c r="D190"/>
      <c r="E190" s="85"/>
    </row>
    <row r="191" spans="1:5">
      <c r="A191"/>
      <c r="B191"/>
      <c r="C191"/>
      <c r="D191"/>
      <c r="E191" s="85"/>
    </row>
    <row r="192" spans="1:5">
      <c r="A192"/>
      <c r="B192"/>
      <c r="C192"/>
      <c r="D192"/>
      <c r="E192" s="85"/>
    </row>
    <row r="193" spans="1:5">
      <c r="A193"/>
      <c r="B193"/>
      <c r="C193"/>
      <c r="D193"/>
      <c r="E193" s="85"/>
    </row>
    <row r="194" spans="1:5">
      <c r="A194"/>
      <c r="B194"/>
      <c r="C194"/>
      <c r="D194"/>
      <c r="E194" s="85"/>
    </row>
    <row r="195" spans="1:5">
      <c r="A195"/>
      <c r="B195"/>
      <c r="C195"/>
      <c r="D195"/>
      <c r="E195" s="85"/>
    </row>
    <row r="196" spans="1:5">
      <c r="A196"/>
      <c r="B196"/>
      <c r="C196"/>
      <c r="D196"/>
      <c r="E196" s="85"/>
    </row>
    <row r="197" spans="1:5">
      <c r="A197"/>
      <c r="B197"/>
      <c r="C197"/>
      <c r="D197"/>
      <c r="E197" s="85"/>
    </row>
    <row r="198" spans="1:5">
      <c r="A198"/>
      <c r="B198"/>
      <c r="C198"/>
      <c r="D198"/>
      <c r="E198" s="85"/>
    </row>
    <row r="199" spans="1:5">
      <c r="A199"/>
      <c r="B199"/>
      <c r="C199"/>
      <c r="D199"/>
      <c r="E199" s="85"/>
    </row>
    <row r="200" spans="1:5">
      <c r="A200"/>
      <c r="B200"/>
      <c r="C200"/>
      <c r="D200"/>
      <c r="E200" s="85"/>
    </row>
    <row r="201" spans="1:5">
      <c r="A201"/>
      <c r="B201"/>
      <c r="C201"/>
      <c r="D201"/>
      <c r="E201" s="85"/>
    </row>
    <row r="202" spans="1:5">
      <c r="A202"/>
      <c r="B202"/>
      <c r="C202"/>
      <c r="D202"/>
      <c r="E202" s="85"/>
    </row>
    <row r="203" spans="1:5">
      <c r="A203"/>
      <c r="B203"/>
      <c r="C203"/>
      <c r="D203"/>
      <c r="E203" s="85"/>
    </row>
    <row r="204" spans="1:5">
      <c r="A204"/>
      <c r="B204"/>
      <c r="C204"/>
      <c r="D204"/>
      <c r="E204" s="85"/>
    </row>
    <row r="205" spans="1:5">
      <c r="A205"/>
      <c r="B205"/>
      <c r="C205"/>
      <c r="D205"/>
      <c r="E205" s="85"/>
    </row>
    <row r="206" spans="1:5">
      <c r="A206"/>
      <c r="B206"/>
      <c r="C206"/>
      <c r="D206"/>
      <c r="E206" s="85"/>
    </row>
    <row r="207" spans="1:5">
      <c r="A207"/>
      <c r="B207"/>
      <c r="C207"/>
      <c r="D207"/>
      <c r="E207" s="85"/>
    </row>
    <row r="208" spans="1:5">
      <c r="A208"/>
      <c r="B208"/>
      <c r="C208"/>
      <c r="D208"/>
      <c r="E208" s="85"/>
    </row>
    <row r="209" spans="1:5">
      <c r="A209"/>
      <c r="B209"/>
      <c r="C209"/>
      <c r="D209"/>
      <c r="E209" s="85"/>
    </row>
    <row r="210" spans="1:5">
      <c r="A210"/>
      <c r="B210"/>
      <c r="C210"/>
      <c r="D210"/>
      <c r="E210" s="85"/>
    </row>
    <row r="211" spans="1:5">
      <c r="A211"/>
      <c r="B211"/>
      <c r="C211"/>
      <c r="D211"/>
      <c r="E211" s="85"/>
    </row>
    <row r="212" spans="1:5">
      <c r="A212"/>
      <c r="B212"/>
      <c r="C212"/>
      <c r="D212"/>
      <c r="E212" s="85"/>
    </row>
    <row r="213" spans="1:5">
      <c r="A213"/>
      <c r="B213"/>
      <c r="C213"/>
      <c r="D213"/>
      <c r="E213" s="85"/>
    </row>
    <row r="214" spans="1:5">
      <c r="A214"/>
      <c r="B214"/>
      <c r="C214"/>
      <c r="D214"/>
      <c r="E214" s="85"/>
    </row>
    <row r="215" spans="1:5">
      <c r="A215"/>
      <c r="B215"/>
      <c r="C215"/>
      <c r="D215"/>
      <c r="E215" s="85"/>
    </row>
    <row r="216" spans="1:5">
      <c r="A216"/>
      <c r="B216"/>
      <c r="C216"/>
      <c r="D216"/>
      <c r="E216" s="85"/>
    </row>
    <row r="217" spans="1:5">
      <c r="A217"/>
      <c r="B217"/>
      <c r="C217"/>
      <c r="D217"/>
      <c r="E217" s="85"/>
    </row>
    <row r="218" spans="1:5">
      <c r="A218"/>
      <c r="B218"/>
      <c r="C218"/>
      <c r="D218"/>
      <c r="E218" s="85"/>
    </row>
    <row r="219" spans="1:5">
      <c r="A219"/>
      <c r="B219"/>
      <c r="C219"/>
      <c r="D219"/>
      <c r="E219" s="85"/>
    </row>
    <row r="220" spans="1:5">
      <c r="A220"/>
      <c r="B220"/>
      <c r="C220"/>
      <c r="D220"/>
      <c r="E220" s="85"/>
    </row>
    <row r="221" spans="1:5">
      <c r="A221"/>
      <c r="B221"/>
      <c r="C221"/>
      <c r="D221"/>
      <c r="E221" s="85"/>
    </row>
    <row r="222" spans="1:5">
      <c r="A222"/>
      <c r="B222"/>
      <c r="C222"/>
      <c r="D222"/>
      <c r="E222" s="85"/>
    </row>
    <row r="223" spans="1:5">
      <c r="A223"/>
      <c r="B223"/>
      <c r="C223"/>
      <c r="D223"/>
      <c r="E223" s="85"/>
    </row>
    <row r="224" spans="1:5">
      <c r="A224"/>
      <c r="B224"/>
      <c r="C224"/>
      <c r="D224"/>
      <c r="E224" s="85"/>
    </row>
    <row r="225" spans="1:5">
      <c r="A225"/>
      <c r="B225"/>
      <c r="C225"/>
      <c r="D225"/>
      <c r="E225" s="85"/>
    </row>
    <row r="226" spans="1:5">
      <c r="A226"/>
      <c r="B226"/>
      <c r="C226"/>
      <c r="D226"/>
      <c r="E226" s="85"/>
    </row>
    <row r="227" spans="1:5">
      <c r="A227"/>
      <c r="B227"/>
      <c r="C227"/>
      <c r="D227"/>
      <c r="E227" s="85"/>
    </row>
    <row r="228" spans="1:5">
      <c r="A228"/>
      <c r="B228"/>
      <c r="C228"/>
      <c r="D228"/>
      <c r="E228" s="85"/>
    </row>
    <row r="229" spans="1:5">
      <c r="A229"/>
      <c r="B229"/>
      <c r="C229"/>
      <c r="D229"/>
      <c r="E229" s="85"/>
    </row>
    <row r="230" spans="1:5">
      <c r="A230"/>
      <c r="B230"/>
      <c r="C230"/>
      <c r="D230"/>
      <c r="E230" s="85"/>
    </row>
    <row r="231" spans="1:5">
      <c r="A231"/>
      <c r="B231"/>
      <c r="C231"/>
      <c r="D231"/>
      <c r="E231" s="85"/>
    </row>
    <row r="232" spans="1:5">
      <c r="A232"/>
      <c r="B232"/>
      <c r="C232"/>
      <c r="D232"/>
      <c r="E232" s="85"/>
    </row>
    <row r="233" spans="1:5">
      <c r="A233"/>
      <c r="B233"/>
      <c r="C233"/>
      <c r="D233"/>
      <c r="E233" s="85"/>
    </row>
    <row r="234" spans="1:5">
      <c r="A234"/>
      <c r="B234"/>
      <c r="C234"/>
      <c r="D234"/>
      <c r="E234" s="85"/>
    </row>
    <row r="235" spans="1:5">
      <c r="A235"/>
      <c r="B235"/>
      <c r="C235"/>
      <c r="D235"/>
      <c r="E235" s="85"/>
    </row>
    <row r="236" spans="1:5">
      <c r="A236"/>
      <c r="B236"/>
      <c r="C236"/>
      <c r="D236"/>
      <c r="E236" s="85"/>
    </row>
    <row r="237" spans="1:5">
      <c r="A237"/>
      <c r="B237"/>
      <c r="C237"/>
      <c r="D237"/>
      <c r="E237" s="85"/>
    </row>
    <row r="238" spans="1:5">
      <c r="A238"/>
      <c r="B238"/>
      <c r="C238"/>
      <c r="D238"/>
      <c r="E238" s="85"/>
    </row>
    <row r="239" spans="1:5">
      <c r="A239"/>
      <c r="B239"/>
      <c r="C239"/>
      <c r="D239"/>
      <c r="E239" s="85"/>
    </row>
    <row r="240" spans="1:5">
      <c r="A240"/>
      <c r="B240"/>
      <c r="C240"/>
      <c r="D240"/>
      <c r="E240" s="85"/>
    </row>
    <row r="241" spans="1:5">
      <c r="A241"/>
      <c r="B241"/>
      <c r="C241"/>
      <c r="D241"/>
      <c r="E241" s="85"/>
    </row>
    <row r="242" spans="1:5">
      <c r="A242"/>
      <c r="B242"/>
      <c r="C242"/>
      <c r="D242"/>
      <c r="E242" s="85"/>
    </row>
    <row r="243" spans="1:5">
      <c r="A243"/>
      <c r="B243"/>
      <c r="C243"/>
      <c r="D243"/>
      <c r="E243" s="85"/>
    </row>
    <row r="244" spans="1:5">
      <c r="A244"/>
      <c r="B244"/>
      <c r="C244"/>
      <c r="D244"/>
      <c r="E244" s="85"/>
    </row>
    <row r="245" spans="1:5">
      <c r="A245"/>
      <c r="B245"/>
      <c r="C245"/>
      <c r="D245"/>
      <c r="E245" s="85"/>
    </row>
    <row r="246" spans="1:5">
      <c r="A246"/>
      <c r="B246"/>
      <c r="C246"/>
      <c r="D246"/>
      <c r="E246" s="85"/>
    </row>
    <row r="247" spans="1:5">
      <c r="A247"/>
      <c r="B247"/>
      <c r="C247"/>
      <c r="D247"/>
      <c r="E247" s="85"/>
    </row>
    <row r="248" spans="1:5">
      <c r="A248"/>
      <c r="B248"/>
      <c r="C248"/>
      <c r="D248"/>
      <c r="E248" s="85"/>
    </row>
    <row r="249" spans="1:5">
      <c r="A249"/>
      <c r="B249"/>
      <c r="C249"/>
      <c r="D249"/>
      <c r="E249" s="85"/>
    </row>
    <row r="250" spans="1:5">
      <c r="A250"/>
      <c r="B250"/>
      <c r="C250"/>
      <c r="D250"/>
      <c r="E250" s="85"/>
    </row>
    <row r="251" spans="1:5">
      <c r="A251"/>
      <c r="B251"/>
      <c r="C251"/>
      <c r="D251"/>
      <c r="E251" s="85"/>
    </row>
    <row r="252" spans="1:5">
      <c r="A252"/>
      <c r="B252"/>
      <c r="C252"/>
      <c r="D252"/>
      <c r="E252" s="85"/>
    </row>
    <row r="253" spans="1:5">
      <c r="A253"/>
      <c r="B253"/>
      <c r="C253"/>
      <c r="D253"/>
      <c r="E253" s="85"/>
    </row>
    <row r="254" spans="1:5">
      <c r="A254"/>
      <c r="B254"/>
      <c r="C254"/>
      <c r="D254"/>
      <c r="E254" s="85"/>
    </row>
    <row r="255" spans="1:5">
      <c r="A255"/>
      <c r="B255"/>
      <c r="C255"/>
      <c r="D255"/>
      <c r="E255" s="85"/>
    </row>
    <row r="256" spans="1:5">
      <c r="A256"/>
      <c r="B256"/>
      <c r="C256"/>
      <c r="D256"/>
      <c r="E256" s="85"/>
    </row>
    <row r="257" spans="1:5">
      <c r="A257"/>
      <c r="B257"/>
      <c r="C257"/>
      <c r="D257"/>
      <c r="E257" s="85"/>
    </row>
    <row r="258" spans="1:5">
      <c r="A258"/>
      <c r="B258"/>
      <c r="C258"/>
      <c r="D258"/>
      <c r="E258" s="85"/>
    </row>
    <row r="259" spans="1:5">
      <c r="A259"/>
      <c r="B259"/>
      <c r="C259"/>
      <c r="D259"/>
      <c r="E259" s="85"/>
    </row>
    <row r="260" spans="1:5">
      <c r="A260"/>
      <c r="B260"/>
      <c r="C260"/>
      <c r="D260"/>
      <c r="E260" s="85"/>
    </row>
    <row r="261" spans="1:5">
      <c r="A261"/>
      <c r="B261"/>
      <c r="C261"/>
      <c r="D261"/>
      <c r="E261" s="85"/>
    </row>
    <row r="262" spans="1:5">
      <c r="A262"/>
      <c r="B262"/>
      <c r="C262"/>
      <c r="D262"/>
      <c r="E262" s="85"/>
    </row>
    <row r="263" spans="1:5">
      <c r="A263"/>
      <c r="B263"/>
      <c r="C263"/>
      <c r="D263"/>
      <c r="E263" s="85"/>
    </row>
    <row r="264" spans="1:5">
      <c r="A264"/>
      <c r="B264"/>
      <c r="C264"/>
      <c r="D264"/>
      <c r="E264" s="85"/>
    </row>
    <row r="265" spans="1:5">
      <c r="A265"/>
      <c r="B265"/>
      <c r="C265"/>
      <c r="D265"/>
      <c r="E265" s="85"/>
    </row>
    <row r="266" spans="1:5">
      <c r="A266"/>
      <c r="B266"/>
      <c r="C266"/>
      <c r="D266"/>
      <c r="E266" s="85"/>
    </row>
    <row r="267" spans="1:5">
      <c r="A267"/>
      <c r="B267"/>
      <c r="C267"/>
      <c r="D267"/>
      <c r="E267" s="85"/>
    </row>
    <row r="268" spans="1:5">
      <c r="A268"/>
      <c r="B268"/>
      <c r="C268"/>
      <c r="D268"/>
      <c r="E268" s="85"/>
    </row>
    <row r="269" spans="1:5">
      <c r="A269"/>
      <c r="B269"/>
      <c r="C269"/>
      <c r="D269"/>
      <c r="E269" s="85"/>
    </row>
    <row r="270" spans="1:5">
      <c r="A270"/>
      <c r="B270"/>
      <c r="C270"/>
      <c r="D270"/>
      <c r="E270" s="85"/>
    </row>
    <row r="271" spans="1:5">
      <c r="A271"/>
      <c r="B271"/>
      <c r="C271"/>
      <c r="D271"/>
      <c r="E271" s="85"/>
    </row>
    <row r="272" spans="1:5">
      <c r="A272"/>
      <c r="B272"/>
      <c r="C272"/>
      <c r="D272"/>
      <c r="E272" s="85"/>
    </row>
    <row r="273" spans="1:5">
      <c r="A273"/>
      <c r="B273"/>
      <c r="C273"/>
      <c r="D273"/>
      <c r="E273" s="85"/>
    </row>
    <row r="274" spans="1:5">
      <c r="A274"/>
      <c r="B274"/>
      <c r="C274"/>
      <c r="D274"/>
      <c r="E274" s="85"/>
    </row>
    <row r="275" spans="1:5">
      <c r="A275"/>
      <c r="B275"/>
      <c r="C275"/>
      <c r="D275"/>
      <c r="E275" s="85"/>
    </row>
    <row r="276" spans="1:5">
      <c r="A276"/>
      <c r="B276"/>
      <c r="C276"/>
      <c r="D276"/>
      <c r="E276" s="85"/>
    </row>
    <row r="277" spans="1:5">
      <c r="A277"/>
      <c r="B277"/>
      <c r="C277"/>
      <c r="D277"/>
      <c r="E277" s="85"/>
    </row>
    <row r="278" spans="1:5">
      <c r="A278"/>
      <c r="B278"/>
      <c r="C278"/>
      <c r="D278"/>
      <c r="E278" s="85"/>
    </row>
    <row r="279" spans="1:5">
      <c r="A279"/>
      <c r="B279"/>
      <c r="C279"/>
      <c r="D279"/>
      <c r="E279" s="85"/>
    </row>
    <row r="280" spans="1:5">
      <c r="A280"/>
      <c r="B280"/>
      <c r="C280"/>
      <c r="D280"/>
      <c r="E280" s="85"/>
    </row>
    <row r="281" spans="1:5">
      <c r="A281"/>
      <c r="B281"/>
      <c r="C281"/>
      <c r="D281"/>
      <c r="E281" s="85"/>
    </row>
    <row r="282" spans="1:5">
      <c r="A282"/>
      <c r="B282"/>
      <c r="C282"/>
      <c r="D282"/>
      <c r="E282" s="85"/>
    </row>
    <row r="283" spans="1:5">
      <c r="A283"/>
      <c r="B283"/>
      <c r="C283"/>
      <c r="D283"/>
      <c r="E283" s="85"/>
    </row>
    <row r="284" spans="1:5">
      <c r="A284"/>
      <c r="B284"/>
      <c r="C284"/>
      <c r="D284"/>
      <c r="E284" s="85"/>
    </row>
    <row r="285" spans="1:5">
      <c r="A285"/>
      <c r="B285"/>
      <c r="C285"/>
      <c r="D285"/>
      <c r="E285" s="85"/>
    </row>
    <row r="286" spans="1:5">
      <c r="A286"/>
      <c r="B286"/>
      <c r="C286"/>
      <c r="D286"/>
      <c r="E286" s="85"/>
    </row>
    <row r="287" spans="1:5">
      <c r="A287"/>
      <c r="B287"/>
      <c r="C287"/>
      <c r="D287"/>
      <c r="E287" s="85"/>
    </row>
    <row r="288" spans="1:5">
      <c r="A288"/>
      <c r="B288"/>
      <c r="C288"/>
      <c r="D288"/>
      <c r="E288" s="85"/>
    </row>
    <row r="289" spans="1:5">
      <c r="A289"/>
      <c r="B289"/>
      <c r="C289"/>
      <c r="D289"/>
      <c r="E289" s="85"/>
    </row>
    <row r="290" spans="1:5">
      <c r="A290"/>
      <c r="B290"/>
      <c r="C290"/>
      <c r="D290"/>
      <c r="E290" s="85"/>
    </row>
    <row r="291" spans="1:5">
      <c r="A291"/>
      <c r="B291"/>
      <c r="C291"/>
      <c r="D291"/>
      <c r="E291" s="85"/>
    </row>
    <row r="292" spans="1:5">
      <c r="A292"/>
      <c r="B292"/>
      <c r="C292"/>
      <c r="D292"/>
      <c r="E292" s="85"/>
    </row>
    <row r="293" spans="1:5">
      <c r="A293"/>
      <c r="B293"/>
      <c r="C293"/>
      <c r="D293"/>
      <c r="E293" s="85"/>
    </row>
    <row r="294" spans="1:5">
      <c r="A294"/>
      <c r="B294"/>
      <c r="C294"/>
      <c r="D294"/>
      <c r="E294" s="85"/>
    </row>
    <row r="295" spans="1:5">
      <c r="A295"/>
      <c r="B295"/>
      <c r="C295"/>
      <c r="D295"/>
      <c r="E295" s="85"/>
    </row>
    <row r="296" spans="1:5">
      <c r="A296"/>
      <c r="B296"/>
      <c r="C296"/>
      <c r="D296"/>
      <c r="E296" s="85"/>
    </row>
    <row r="297" spans="1:5">
      <c r="A297"/>
      <c r="B297"/>
      <c r="C297"/>
      <c r="D297"/>
      <c r="E297" s="85"/>
    </row>
    <row r="298" spans="1:5">
      <c r="A298"/>
      <c r="B298"/>
      <c r="C298"/>
      <c r="D298"/>
      <c r="E298" s="85"/>
    </row>
    <row r="299" spans="1:5">
      <c r="A299"/>
      <c r="B299"/>
      <c r="C299"/>
      <c r="D299"/>
      <c r="E299" s="85"/>
    </row>
    <row r="300" spans="1:5">
      <c r="A300"/>
      <c r="B300"/>
      <c r="C300"/>
      <c r="D300"/>
      <c r="E300" s="85"/>
    </row>
    <row r="301" spans="1:5">
      <c r="A301"/>
      <c r="B301"/>
      <c r="C301"/>
      <c r="D301"/>
      <c r="E301" s="85"/>
    </row>
    <row r="302" spans="1:5">
      <c r="A302"/>
      <c r="B302"/>
      <c r="C302"/>
      <c r="D302"/>
      <c r="E302" s="85"/>
    </row>
    <row r="303" spans="1:5">
      <c r="A303"/>
      <c r="B303"/>
      <c r="C303"/>
      <c r="D303"/>
      <c r="E303" s="85"/>
    </row>
    <row r="304" spans="1:5">
      <c r="A304"/>
      <c r="B304"/>
      <c r="C304"/>
      <c r="D304"/>
      <c r="E304" s="85"/>
    </row>
    <row r="305" spans="1:5">
      <c r="A305"/>
      <c r="B305"/>
      <c r="C305"/>
      <c r="D305"/>
      <c r="E305" s="85"/>
    </row>
    <row r="306" spans="1:5">
      <c r="A306"/>
      <c r="B306"/>
      <c r="C306"/>
      <c r="D306"/>
      <c r="E306" s="85"/>
    </row>
    <row r="307" spans="1:5">
      <c r="A307"/>
      <c r="B307"/>
      <c r="C307"/>
      <c r="D307"/>
      <c r="E307" s="85"/>
    </row>
    <row r="308" spans="1:5">
      <c r="A308"/>
      <c r="B308"/>
      <c r="C308"/>
      <c r="D308"/>
      <c r="E308" s="85"/>
    </row>
    <row r="309" spans="1:5">
      <c r="A309"/>
      <c r="B309"/>
      <c r="C309"/>
      <c r="D309"/>
      <c r="E309" s="85"/>
    </row>
    <row r="310" spans="1:5">
      <c r="A310"/>
      <c r="B310"/>
      <c r="C310"/>
      <c r="D310"/>
      <c r="E310" s="85"/>
    </row>
    <row r="311" spans="1:5">
      <c r="A311"/>
      <c r="B311"/>
      <c r="C311"/>
      <c r="D311"/>
      <c r="E311" s="85"/>
    </row>
    <row r="312" spans="1:5">
      <c r="A312"/>
      <c r="B312"/>
      <c r="C312"/>
      <c r="D312"/>
      <c r="E312" s="85"/>
    </row>
    <row r="313" spans="1:5">
      <c r="A313"/>
      <c r="B313"/>
      <c r="C313"/>
      <c r="D313"/>
      <c r="E313" s="85"/>
    </row>
    <row r="314" spans="1:5">
      <c r="A314"/>
      <c r="B314"/>
      <c r="C314"/>
      <c r="D314"/>
      <c r="E314" s="85"/>
    </row>
    <row r="315" spans="1:5">
      <c r="A315"/>
      <c r="B315"/>
      <c r="C315"/>
      <c r="D315"/>
      <c r="E315" s="85"/>
    </row>
    <row r="316" spans="1:5">
      <c r="A316"/>
      <c r="B316"/>
      <c r="C316"/>
      <c r="D316"/>
      <c r="E316" s="85"/>
    </row>
    <row r="317" spans="1:5">
      <c r="A317"/>
      <c r="B317"/>
      <c r="C317"/>
      <c r="D317"/>
      <c r="E317" s="85"/>
    </row>
    <row r="318" spans="1:5">
      <c r="A318"/>
      <c r="B318"/>
      <c r="C318"/>
      <c r="D318"/>
      <c r="E318" s="85"/>
    </row>
    <row r="319" spans="1:5">
      <c r="A319"/>
      <c r="B319"/>
      <c r="C319"/>
      <c r="D319"/>
      <c r="E319" s="85"/>
    </row>
    <row r="320" spans="1:5">
      <c r="A320"/>
      <c r="B320"/>
      <c r="C320"/>
      <c r="D320"/>
      <c r="E320" s="85"/>
    </row>
    <row r="321" spans="1:5">
      <c r="A321"/>
      <c r="B321"/>
      <c r="C321"/>
      <c r="D321"/>
      <c r="E321" s="85"/>
    </row>
    <row r="322" spans="1:5">
      <c r="A322"/>
      <c r="B322"/>
      <c r="C322"/>
      <c r="D322"/>
      <c r="E322" s="85"/>
    </row>
    <row r="323" spans="1:5">
      <c r="A323"/>
      <c r="B323"/>
      <c r="C323"/>
      <c r="D323"/>
      <c r="E323" s="85"/>
    </row>
    <row r="324" spans="1:5">
      <c r="A324"/>
      <c r="B324"/>
      <c r="C324"/>
      <c r="D324"/>
      <c r="E324" s="85"/>
    </row>
    <row r="325" spans="1:5">
      <c r="A325"/>
      <c r="B325"/>
      <c r="C325"/>
      <c r="D325"/>
      <c r="E325" s="85"/>
    </row>
    <row r="326" spans="1:5">
      <c r="A326"/>
      <c r="B326"/>
      <c r="C326"/>
      <c r="D326"/>
      <c r="E326" s="85"/>
    </row>
    <row r="327" spans="1:5">
      <c r="A327"/>
      <c r="B327"/>
      <c r="C327"/>
      <c r="D327"/>
      <c r="E327" s="85"/>
    </row>
    <row r="328" spans="1:5">
      <c r="A328"/>
      <c r="B328"/>
      <c r="C328"/>
      <c r="D328"/>
      <c r="E328" s="85"/>
    </row>
    <row r="329" spans="1:5">
      <c r="A329"/>
      <c r="B329"/>
      <c r="C329"/>
      <c r="D329"/>
      <c r="E329" s="85"/>
    </row>
    <row r="330" spans="1:5">
      <c r="A330"/>
      <c r="B330"/>
      <c r="C330"/>
      <c r="D330"/>
      <c r="E330" s="85"/>
    </row>
    <row r="331" spans="1:5">
      <c r="A331"/>
      <c r="B331"/>
      <c r="C331"/>
      <c r="D331"/>
      <c r="E331" s="85"/>
    </row>
    <row r="332" spans="1:5">
      <c r="A332"/>
      <c r="B332"/>
      <c r="C332"/>
      <c r="D332"/>
      <c r="E332" s="85"/>
    </row>
    <row r="333" spans="1:5">
      <c r="A333"/>
      <c r="B333"/>
      <c r="C333"/>
      <c r="D333"/>
      <c r="E333" s="85"/>
    </row>
    <row r="334" spans="1:5">
      <c r="A334"/>
      <c r="B334"/>
      <c r="C334"/>
      <c r="D334"/>
      <c r="E334" s="85"/>
    </row>
    <row r="335" spans="1:5">
      <c r="A335"/>
      <c r="B335"/>
      <c r="C335"/>
      <c r="D335"/>
      <c r="E335" s="85"/>
    </row>
    <row r="336" spans="1:5">
      <c r="A336"/>
      <c r="B336"/>
      <c r="C336"/>
      <c r="D336"/>
      <c r="E336" s="85"/>
    </row>
    <row r="337" spans="1:5">
      <c r="A337"/>
      <c r="B337"/>
      <c r="C337"/>
      <c r="D337"/>
      <c r="E337" s="85"/>
    </row>
    <row r="338" spans="1:5">
      <c r="A338"/>
      <c r="B338"/>
      <c r="C338"/>
      <c r="D338"/>
      <c r="E338" s="85"/>
    </row>
    <row r="339" spans="1:5">
      <c r="A339"/>
      <c r="B339"/>
      <c r="C339"/>
      <c r="D339"/>
      <c r="E339" s="85"/>
    </row>
    <row r="340" spans="1:5">
      <c r="A340"/>
      <c r="B340"/>
      <c r="C340"/>
      <c r="D340"/>
      <c r="E340" s="85"/>
    </row>
    <row r="341" spans="1:5">
      <c r="A341"/>
      <c r="B341"/>
      <c r="C341"/>
      <c r="D341"/>
      <c r="E341" s="85"/>
    </row>
    <row r="342" spans="1:5">
      <c r="A342"/>
      <c r="B342"/>
      <c r="C342"/>
      <c r="D342"/>
      <c r="E342" s="85"/>
    </row>
    <row r="343" spans="1:5">
      <c r="A343"/>
      <c r="B343"/>
      <c r="C343"/>
      <c r="D343"/>
      <c r="E343" s="85"/>
    </row>
    <row r="344" spans="1:5">
      <c r="A344"/>
      <c r="B344"/>
      <c r="C344"/>
      <c r="D344"/>
      <c r="E344" s="85"/>
    </row>
    <row r="345" spans="1:5">
      <c r="A345"/>
      <c r="B345"/>
      <c r="C345"/>
      <c r="D345"/>
      <c r="E345" s="85"/>
    </row>
    <row r="346" spans="1:5">
      <c r="A346"/>
      <c r="B346"/>
      <c r="C346"/>
      <c r="D346"/>
      <c r="E346" s="85"/>
    </row>
    <row r="347" spans="1:5">
      <c r="A347"/>
      <c r="B347"/>
      <c r="C347"/>
      <c r="D347"/>
      <c r="E347" s="85"/>
    </row>
    <row r="348" spans="1:5">
      <c r="A348"/>
      <c r="B348"/>
      <c r="C348"/>
      <c r="D348"/>
      <c r="E348" s="85"/>
    </row>
    <row r="349" spans="1:5">
      <c r="A349"/>
      <c r="B349"/>
      <c r="C349"/>
      <c r="D349"/>
      <c r="E349" s="85"/>
    </row>
    <row r="350" spans="1:5">
      <c r="A350"/>
      <c r="B350"/>
      <c r="C350"/>
      <c r="D350"/>
      <c r="E350" s="85"/>
    </row>
    <row r="351" spans="1:5">
      <c r="A351"/>
      <c r="B351"/>
      <c r="C351"/>
      <c r="D351"/>
      <c r="E351" s="85"/>
    </row>
    <row r="352" spans="1:5">
      <c r="A352"/>
      <c r="B352"/>
      <c r="C352"/>
      <c r="D352"/>
      <c r="E352" s="85"/>
    </row>
    <row r="353" spans="1:5">
      <c r="A353"/>
      <c r="B353"/>
      <c r="C353"/>
      <c r="D353"/>
      <c r="E353" s="85"/>
    </row>
    <row r="354" spans="1:5">
      <c r="A354"/>
      <c r="B354"/>
      <c r="C354"/>
      <c r="D354"/>
      <c r="E354" s="85"/>
    </row>
    <row r="355" spans="1:5">
      <c r="A355"/>
      <c r="B355"/>
      <c r="C355"/>
      <c r="D355"/>
      <c r="E355" s="85"/>
    </row>
    <row r="356" spans="1:5">
      <c r="A356"/>
      <c r="B356"/>
      <c r="C356"/>
      <c r="D356"/>
      <c r="E356" s="85"/>
    </row>
    <row r="357" spans="1:5">
      <c r="A357"/>
      <c r="B357"/>
      <c r="C357"/>
      <c r="D357"/>
      <c r="E357" s="85"/>
    </row>
    <row r="358" spans="1:5">
      <c r="A358"/>
      <c r="B358"/>
      <c r="C358"/>
      <c r="D358"/>
      <c r="E358" s="85"/>
    </row>
    <row r="359" spans="1:5">
      <c r="A359"/>
      <c r="B359"/>
      <c r="C359"/>
      <c r="D359"/>
      <c r="E359" s="85"/>
    </row>
    <row r="360" spans="1:5">
      <c r="A360"/>
      <c r="B360"/>
      <c r="C360"/>
      <c r="D360"/>
      <c r="E360" s="85"/>
    </row>
    <row r="361" spans="1:5">
      <c r="A361"/>
      <c r="B361"/>
      <c r="C361"/>
      <c r="D361"/>
      <c r="E361" s="85"/>
    </row>
    <row r="362" spans="1:5">
      <c r="A362"/>
      <c r="B362"/>
      <c r="C362"/>
      <c r="D362"/>
      <c r="E362" s="85"/>
    </row>
    <row r="363" spans="1:5">
      <c r="A363"/>
      <c r="B363"/>
      <c r="C363"/>
      <c r="D363"/>
      <c r="E363" s="85"/>
    </row>
    <row r="364" spans="1:5">
      <c r="A364"/>
      <c r="B364"/>
      <c r="C364"/>
      <c r="D364"/>
      <c r="E364" s="85"/>
    </row>
    <row r="365" spans="1:5">
      <c r="A365"/>
      <c r="B365"/>
      <c r="C365"/>
      <c r="D365"/>
      <c r="E365" s="85"/>
    </row>
    <row r="366" spans="1:5">
      <c r="A366"/>
      <c r="B366"/>
      <c r="C366"/>
      <c r="D366"/>
      <c r="E366" s="85"/>
    </row>
    <row r="367" spans="1:5">
      <c r="A367"/>
      <c r="B367"/>
      <c r="C367"/>
      <c r="D367"/>
      <c r="E367" s="85"/>
    </row>
    <row r="368" spans="1:5">
      <c r="A368"/>
      <c r="B368"/>
      <c r="C368"/>
      <c r="D368"/>
      <c r="E368" s="85"/>
    </row>
    <row r="369" spans="1:5">
      <c r="A369"/>
      <c r="B369"/>
      <c r="C369"/>
      <c r="D369"/>
      <c r="E369" s="85"/>
    </row>
    <row r="370" spans="1:5">
      <c r="A370"/>
      <c r="B370"/>
      <c r="C370"/>
      <c r="D370"/>
      <c r="E370" s="85"/>
    </row>
    <row r="371" spans="1:5">
      <c r="A371"/>
      <c r="B371"/>
      <c r="C371"/>
      <c r="D371"/>
      <c r="E371" s="85"/>
    </row>
    <row r="372" spans="1:5">
      <c r="A372"/>
      <c r="B372"/>
      <c r="C372"/>
      <c r="D372"/>
      <c r="E372" s="85"/>
    </row>
    <row r="373" spans="1:5">
      <c r="A373"/>
      <c r="B373"/>
      <c r="C373"/>
      <c r="D373"/>
      <c r="E373" s="85"/>
    </row>
    <row r="374" spans="1:5">
      <c r="A374"/>
      <c r="B374"/>
      <c r="C374"/>
      <c r="D374"/>
      <c r="E374" s="85"/>
    </row>
    <row r="375" spans="1:5">
      <c r="A375"/>
      <c r="B375"/>
      <c r="C375"/>
      <c r="D375"/>
      <c r="E375" s="85"/>
    </row>
    <row r="376" spans="1:5">
      <c r="A376"/>
      <c r="B376"/>
      <c r="C376"/>
      <c r="D376"/>
      <c r="E376" s="85"/>
    </row>
    <row r="377" spans="1:5">
      <c r="A377"/>
      <c r="B377"/>
      <c r="C377"/>
      <c r="D377"/>
      <c r="E377" s="85"/>
    </row>
    <row r="378" spans="1:5">
      <c r="A378"/>
      <c r="B378"/>
      <c r="C378"/>
      <c r="D378"/>
      <c r="E378" s="85"/>
    </row>
    <row r="379" spans="1:5">
      <c r="A379"/>
      <c r="B379"/>
      <c r="C379"/>
      <c r="D379"/>
      <c r="E379" s="85"/>
    </row>
    <row r="380" spans="1:5">
      <c r="A380"/>
      <c r="B380"/>
      <c r="C380"/>
      <c r="D380"/>
      <c r="E380" s="85"/>
    </row>
    <row r="381" spans="1:5">
      <c r="A381"/>
      <c r="B381"/>
      <c r="C381"/>
      <c r="D381"/>
      <c r="E381" s="85"/>
    </row>
    <row r="382" spans="1:5">
      <c r="A382"/>
      <c r="B382"/>
      <c r="C382"/>
      <c r="D382"/>
      <c r="E382" s="85"/>
    </row>
    <row r="383" spans="1:5">
      <c r="A383"/>
      <c r="B383"/>
      <c r="C383"/>
      <c r="D383"/>
      <c r="E383" s="85"/>
    </row>
    <row r="384" spans="1:5">
      <c r="A384"/>
      <c r="B384"/>
      <c r="C384"/>
      <c r="D384"/>
      <c r="E384" s="85"/>
    </row>
    <row r="385" spans="1:5">
      <c r="A385"/>
      <c r="B385"/>
      <c r="C385"/>
      <c r="D385"/>
      <c r="E385" s="85"/>
    </row>
    <row r="386" spans="1:5">
      <c r="A386"/>
      <c r="B386"/>
      <c r="C386"/>
      <c r="D386"/>
      <c r="E386" s="85"/>
    </row>
    <row r="387" spans="1:5">
      <c r="A387"/>
      <c r="B387"/>
      <c r="C387"/>
      <c r="D387"/>
      <c r="E387" s="85"/>
    </row>
    <row r="388" spans="1:5">
      <c r="A388"/>
      <c r="B388"/>
      <c r="C388"/>
      <c r="D388"/>
      <c r="E388" s="85"/>
    </row>
    <row r="389" spans="1:5">
      <c r="A389"/>
      <c r="B389"/>
      <c r="C389"/>
      <c r="D389"/>
      <c r="E389" s="85"/>
    </row>
    <row r="390" spans="1:5">
      <c r="A390"/>
      <c r="B390"/>
      <c r="C390"/>
      <c r="D390"/>
      <c r="E390" s="85"/>
    </row>
    <row r="391" spans="1:5">
      <c r="A391"/>
      <c r="B391"/>
      <c r="C391"/>
      <c r="D391"/>
      <c r="E391" s="85"/>
    </row>
    <row r="392" spans="1:5">
      <c r="A392"/>
      <c r="B392"/>
      <c r="C392"/>
      <c r="D392"/>
      <c r="E392" s="85"/>
    </row>
    <row r="393" spans="1:5">
      <c r="A393"/>
      <c r="B393"/>
      <c r="C393"/>
      <c r="D393"/>
      <c r="E393" s="85"/>
    </row>
    <row r="394" spans="1:5">
      <c r="A394"/>
      <c r="B394"/>
      <c r="C394"/>
      <c r="D394"/>
      <c r="E394" s="85"/>
    </row>
    <row r="395" spans="1:5">
      <c r="A395"/>
      <c r="B395"/>
      <c r="C395"/>
      <c r="D395"/>
      <c r="E395" s="85"/>
    </row>
    <row r="396" spans="1:5">
      <c r="A396"/>
      <c r="B396"/>
      <c r="C396"/>
      <c r="D396"/>
      <c r="E396" s="85"/>
    </row>
    <row r="397" spans="1:5">
      <c r="A397"/>
      <c r="B397"/>
      <c r="C397"/>
      <c r="D397"/>
      <c r="E397" s="85"/>
    </row>
    <row r="398" spans="1:5">
      <c r="A398"/>
      <c r="B398"/>
      <c r="C398"/>
      <c r="D398"/>
      <c r="E398" s="85"/>
    </row>
    <row r="399" spans="1:5">
      <c r="A399"/>
      <c r="B399"/>
      <c r="C399"/>
      <c r="D399"/>
      <c r="E399" s="85"/>
    </row>
    <row r="400" spans="1:5">
      <c r="A400"/>
      <c r="B400"/>
      <c r="C400"/>
      <c r="D400"/>
      <c r="E400" s="85"/>
    </row>
    <row r="401" spans="1:5">
      <c r="A401"/>
      <c r="B401"/>
      <c r="C401"/>
      <c r="D401"/>
      <c r="E401" s="85"/>
    </row>
    <row r="402" spans="1:5">
      <c r="A402"/>
      <c r="B402"/>
      <c r="C402"/>
      <c r="D402"/>
      <c r="E402" s="85"/>
    </row>
    <row r="403" spans="1:5">
      <c r="A403"/>
      <c r="B403"/>
      <c r="C403"/>
      <c r="D403"/>
      <c r="E403" s="85"/>
    </row>
    <row r="404" spans="1:5">
      <c r="A404"/>
      <c r="B404"/>
      <c r="C404"/>
      <c r="D404"/>
      <c r="E404" s="85"/>
    </row>
    <row r="405" spans="1:5">
      <c r="A405"/>
      <c r="B405"/>
      <c r="C405"/>
      <c r="D405"/>
      <c r="E405" s="85"/>
    </row>
    <row r="406" spans="1:5">
      <c r="A406"/>
      <c r="B406"/>
      <c r="C406"/>
      <c r="D406"/>
      <c r="E406" s="85"/>
    </row>
    <row r="407" spans="1:5">
      <c r="A407"/>
      <c r="B407"/>
      <c r="C407"/>
      <c r="D407"/>
      <c r="E407" s="85"/>
    </row>
    <row r="408" spans="1:5">
      <c r="A408"/>
      <c r="B408"/>
      <c r="C408"/>
      <c r="D408"/>
      <c r="E408" s="85"/>
    </row>
    <row r="409" spans="1:5">
      <c r="A409"/>
      <c r="B409"/>
      <c r="C409"/>
      <c r="D409"/>
      <c r="E409" s="85"/>
    </row>
    <row r="410" spans="1:5">
      <c r="A410"/>
      <c r="B410"/>
      <c r="C410"/>
      <c r="D410"/>
      <c r="E410" s="85"/>
    </row>
    <row r="411" spans="1:5">
      <c r="A411"/>
      <c r="B411"/>
      <c r="C411"/>
      <c r="D411"/>
      <c r="E411" s="85"/>
    </row>
    <row r="412" spans="1:5">
      <c r="A412"/>
      <c r="B412"/>
      <c r="C412"/>
      <c r="D412"/>
      <c r="E412" s="85"/>
    </row>
    <row r="413" spans="1:5">
      <c r="A413"/>
      <c r="B413"/>
      <c r="C413"/>
      <c r="D413"/>
      <c r="E413" s="85"/>
    </row>
    <row r="414" spans="1:5">
      <c r="A414"/>
      <c r="B414"/>
      <c r="C414"/>
      <c r="D414"/>
      <c r="E414" s="85"/>
    </row>
    <row r="415" spans="1:5">
      <c r="A415"/>
      <c r="B415"/>
      <c r="C415"/>
      <c r="D415"/>
      <c r="E415" s="85"/>
    </row>
    <row r="416" spans="1:5">
      <c r="A416"/>
      <c r="B416"/>
      <c r="C416"/>
      <c r="D416"/>
      <c r="E416" s="85"/>
    </row>
    <row r="417" spans="1:5">
      <c r="A417"/>
      <c r="B417"/>
      <c r="C417"/>
      <c r="D417"/>
      <c r="E417" s="85"/>
    </row>
    <row r="418" spans="1:5">
      <c r="A418"/>
      <c r="B418"/>
      <c r="C418"/>
      <c r="D418"/>
      <c r="E418" s="85"/>
    </row>
    <row r="419" spans="1:5">
      <c r="A419"/>
      <c r="B419"/>
      <c r="C419"/>
      <c r="D419"/>
      <c r="E419" s="85"/>
    </row>
    <row r="420" spans="1:5">
      <c r="A420"/>
      <c r="B420"/>
      <c r="C420"/>
      <c r="D420"/>
      <c r="E420" s="85"/>
    </row>
    <row r="421" spans="1:5">
      <c r="A421"/>
      <c r="B421"/>
      <c r="C421"/>
      <c r="D421"/>
      <c r="E421" s="85"/>
    </row>
    <row r="422" spans="1:5">
      <c r="A422"/>
      <c r="B422"/>
      <c r="C422"/>
      <c r="D422"/>
      <c r="E422" s="85"/>
    </row>
    <row r="423" spans="1:5">
      <c r="A423"/>
      <c r="B423"/>
      <c r="C423"/>
      <c r="D423"/>
      <c r="E423" s="85"/>
    </row>
    <row r="424" spans="1:5">
      <c r="A424"/>
      <c r="B424"/>
      <c r="C424"/>
      <c r="D424"/>
      <c r="E424" s="85"/>
    </row>
    <row r="425" spans="1:5">
      <c r="A425"/>
      <c r="B425"/>
      <c r="C425"/>
      <c r="D425"/>
      <c r="E425" s="85"/>
    </row>
    <row r="426" spans="1:5">
      <c r="A426"/>
      <c r="B426"/>
      <c r="C426"/>
      <c r="D426"/>
      <c r="E426" s="85"/>
    </row>
    <row r="427" spans="1:5">
      <c r="A427"/>
      <c r="B427"/>
      <c r="C427"/>
      <c r="D427"/>
      <c r="E427" s="85"/>
    </row>
    <row r="428" spans="1:5">
      <c r="A428"/>
      <c r="B428"/>
      <c r="C428"/>
      <c r="D428"/>
      <c r="E428" s="85"/>
    </row>
    <row r="429" spans="1:5">
      <c r="A429"/>
      <c r="B429"/>
      <c r="C429"/>
      <c r="D429"/>
      <c r="E429" s="85"/>
    </row>
    <row r="430" spans="1:5">
      <c r="A430"/>
      <c r="B430"/>
      <c r="C430"/>
      <c r="D430"/>
      <c r="E430" s="85"/>
    </row>
    <row r="431" spans="1:5">
      <c r="A431"/>
      <c r="B431"/>
      <c r="C431"/>
      <c r="D431"/>
      <c r="E431" s="85"/>
    </row>
    <row r="432" spans="1:5">
      <c r="A432"/>
      <c r="B432"/>
      <c r="C432"/>
      <c r="D432"/>
      <c r="E432" s="85"/>
    </row>
    <row r="433" spans="1:5">
      <c r="A433"/>
      <c r="B433"/>
      <c r="C433"/>
      <c r="D433"/>
      <c r="E433" s="85"/>
    </row>
    <row r="434" spans="1:5">
      <c r="A434"/>
      <c r="B434"/>
      <c r="C434"/>
      <c r="D434"/>
      <c r="E434" s="85"/>
    </row>
    <row r="435" spans="1:5">
      <c r="A435"/>
      <c r="B435"/>
      <c r="C435"/>
      <c r="D435"/>
      <c r="E435" s="85"/>
    </row>
    <row r="436" spans="1:5">
      <c r="A436"/>
      <c r="B436"/>
      <c r="C436"/>
      <c r="D436"/>
      <c r="E436" s="85"/>
    </row>
    <row r="437" spans="1:5">
      <c r="A437"/>
      <c r="B437"/>
      <c r="C437"/>
      <c r="D437"/>
      <c r="E437" s="85"/>
    </row>
    <row r="438" spans="1:5">
      <c r="A438"/>
      <c r="B438"/>
      <c r="C438"/>
      <c r="D438"/>
      <c r="E438" s="85"/>
    </row>
    <row r="439" spans="1:5">
      <c r="A439"/>
      <c r="B439"/>
      <c r="C439"/>
      <c r="D439"/>
      <c r="E439" s="85"/>
    </row>
    <row r="440" spans="1:5">
      <c r="A440"/>
      <c r="B440"/>
      <c r="C440"/>
      <c r="D440"/>
      <c r="E440" s="85"/>
    </row>
    <row r="441" spans="1:5">
      <c r="A441"/>
      <c r="B441"/>
      <c r="C441"/>
      <c r="D441"/>
      <c r="E441" s="85"/>
    </row>
    <row r="442" spans="1:5">
      <c r="A442"/>
      <c r="B442"/>
      <c r="C442"/>
      <c r="D442"/>
      <c r="E442" s="85"/>
    </row>
    <row r="443" spans="1:5">
      <c r="A443"/>
      <c r="B443"/>
      <c r="C443"/>
      <c r="D443"/>
      <c r="E443" s="85"/>
    </row>
    <row r="444" spans="1:5">
      <c r="A444"/>
      <c r="B444"/>
      <c r="C444"/>
      <c r="D444"/>
      <c r="E444" s="85"/>
    </row>
    <row r="445" spans="1:5">
      <c r="A445"/>
      <c r="B445"/>
      <c r="C445"/>
      <c r="D445"/>
      <c r="E445" s="85"/>
    </row>
    <row r="446" spans="1:5">
      <c r="A446"/>
      <c r="B446"/>
      <c r="C446"/>
      <c r="D446"/>
      <c r="E446" s="85"/>
    </row>
    <row r="447" spans="1:5">
      <c r="A447"/>
      <c r="B447"/>
      <c r="C447"/>
      <c r="D447"/>
      <c r="E447" s="85"/>
    </row>
    <row r="448" spans="1:5">
      <c r="A448"/>
      <c r="B448"/>
      <c r="C448"/>
      <c r="D448"/>
      <c r="E448" s="85"/>
    </row>
    <row r="449" spans="1:5">
      <c r="A449"/>
      <c r="B449"/>
      <c r="C449"/>
      <c r="D449"/>
      <c r="E449" s="85"/>
    </row>
    <row r="450" spans="1:5">
      <c r="A450"/>
      <c r="B450"/>
      <c r="C450"/>
      <c r="D450"/>
      <c r="E450" s="85"/>
    </row>
    <row r="451" spans="1:5">
      <c r="A451"/>
      <c r="B451"/>
      <c r="C451"/>
      <c r="D451"/>
      <c r="E451" s="85"/>
    </row>
    <row r="452" spans="1:5">
      <c r="A452"/>
      <c r="B452"/>
      <c r="C452"/>
      <c r="D452"/>
      <c r="E452" s="85"/>
    </row>
    <row r="453" spans="1:5">
      <c r="A453"/>
      <c r="B453"/>
      <c r="C453"/>
      <c r="D453"/>
      <c r="E453" s="85"/>
    </row>
    <row r="454" spans="1:5">
      <c r="A454"/>
      <c r="B454"/>
      <c r="C454"/>
      <c r="D454"/>
      <c r="E454" s="85"/>
    </row>
    <row r="455" spans="1:5">
      <c r="A455"/>
      <c r="B455"/>
      <c r="C455"/>
      <c r="D455"/>
      <c r="E455" s="85"/>
    </row>
    <row r="456" spans="1:5">
      <c r="A456"/>
      <c r="B456"/>
      <c r="C456"/>
      <c r="D456"/>
      <c r="E456" s="85"/>
    </row>
    <row r="457" spans="1:5">
      <c r="A457"/>
      <c r="B457"/>
      <c r="C457"/>
      <c r="D457"/>
      <c r="E457" s="85"/>
    </row>
    <row r="458" spans="1:5">
      <c r="A458"/>
      <c r="B458"/>
      <c r="C458"/>
      <c r="D458"/>
      <c r="E458" s="85"/>
    </row>
    <row r="459" spans="1:5">
      <c r="A459"/>
      <c r="B459"/>
      <c r="C459"/>
      <c r="D459"/>
      <c r="E459" s="85"/>
    </row>
    <row r="460" spans="1:5">
      <c r="A460"/>
      <c r="B460"/>
      <c r="C460"/>
      <c r="D460"/>
      <c r="E460" s="85"/>
    </row>
    <row r="461" spans="1:5">
      <c r="A461"/>
      <c r="B461"/>
      <c r="C461"/>
      <c r="D461"/>
      <c r="E461" s="85"/>
    </row>
    <row r="462" spans="1:5">
      <c r="A462"/>
      <c r="B462"/>
      <c r="C462"/>
      <c r="D462"/>
      <c r="E462" s="85"/>
    </row>
    <row r="463" spans="1:5">
      <c r="A463"/>
      <c r="B463"/>
      <c r="C463"/>
      <c r="D463"/>
      <c r="E463" s="85"/>
    </row>
    <row r="464" spans="1:5">
      <c r="A464"/>
      <c r="B464"/>
      <c r="C464"/>
      <c r="D464"/>
      <c r="E464" s="85"/>
    </row>
    <row r="465" spans="1:5">
      <c r="A465"/>
      <c r="B465"/>
      <c r="C465"/>
      <c r="D465"/>
      <c r="E465" s="85"/>
    </row>
    <row r="466" spans="1:5">
      <c r="A466"/>
      <c r="B466"/>
      <c r="C466"/>
      <c r="D466"/>
      <c r="E466" s="85"/>
    </row>
    <row r="467" spans="1:5">
      <c r="A467"/>
      <c r="B467"/>
      <c r="C467"/>
      <c r="D467"/>
      <c r="E467" s="85"/>
    </row>
    <row r="468" spans="1:5">
      <c r="A468"/>
      <c r="B468"/>
      <c r="C468"/>
      <c r="D468"/>
      <c r="E468" s="85"/>
    </row>
    <row r="469" spans="1:5">
      <c r="A469"/>
      <c r="B469"/>
      <c r="C469"/>
      <c r="D469"/>
      <c r="E469" s="85"/>
    </row>
    <row r="470" spans="1:5">
      <c r="A470"/>
      <c r="B470"/>
      <c r="C470"/>
      <c r="D470"/>
      <c r="E470" s="85"/>
    </row>
    <row r="471" spans="1:5">
      <c r="A471"/>
      <c r="B471"/>
      <c r="C471"/>
      <c r="D471"/>
      <c r="E471" s="85"/>
    </row>
    <row r="472" spans="1:5">
      <c r="A472"/>
      <c r="B472"/>
      <c r="C472"/>
      <c r="D472"/>
      <c r="E472" s="85"/>
    </row>
    <row r="473" spans="1:5">
      <c r="A473"/>
      <c r="B473"/>
      <c r="C473"/>
      <c r="D473"/>
      <c r="E473" s="85"/>
    </row>
    <row r="474" spans="1:5">
      <c r="A474"/>
      <c r="B474"/>
      <c r="C474"/>
      <c r="D474"/>
      <c r="E474" s="85"/>
    </row>
    <row r="475" spans="1:5">
      <c r="A475"/>
      <c r="B475"/>
      <c r="C475"/>
      <c r="D475"/>
      <c r="E475" s="85"/>
    </row>
    <row r="476" spans="1:5">
      <c r="A476"/>
      <c r="B476"/>
      <c r="C476"/>
      <c r="D476"/>
      <c r="E476" s="85"/>
    </row>
    <row r="477" spans="1:5">
      <c r="A477"/>
      <c r="B477"/>
      <c r="C477"/>
      <c r="D477"/>
      <c r="E477" s="85"/>
    </row>
    <row r="478" spans="1:5">
      <c r="A478"/>
      <c r="B478"/>
      <c r="C478"/>
      <c r="D478"/>
      <c r="E478" s="85"/>
    </row>
    <row r="479" spans="1:5">
      <c r="A479"/>
      <c r="B479"/>
      <c r="C479"/>
      <c r="D479"/>
      <c r="E479" s="85"/>
    </row>
    <row r="480" spans="1:5">
      <c r="A480"/>
      <c r="B480"/>
      <c r="C480"/>
      <c r="D480"/>
      <c r="E480" s="85"/>
    </row>
    <row r="481" spans="1:5">
      <c r="A481"/>
      <c r="B481"/>
      <c r="C481"/>
      <c r="D481"/>
      <c r="E481" s="85"/>
    </row>
    <row r="482" spans="1:5">
      <c r="A482"/>
      <c r="B482"/>
      <c r="C482"/>
      <c r="D482"/>
      <c r="E482" s="85"/>
    </row>
    <row r="483" spans="1:5">
      <c r="A483"/>
      <c r="B483"/>
      <c r="C483"/>
      <c r="D483"/>
      <c r="E483" s="85"/>
    </row>
    <row r="484" spans="1:5">
      <c r="A484"/>
      <c r="B484"/>
      <c r="C484"/>
      <c r="D484"/>
      <c r="E484" s="85"/>
    </row>
    <row r="485" spans="1:5">
      <c r="A485"/>
      <c r="B485"/>
      <c r="C485"/>
      <c r="D485"/>
      <c r="E485" s="85"/>
    </row>
    <row r="486" spans="1:5">
      <c r="A486"/>
      <c r="B486"/>
      <c r="C486"/>
      <c r="D486"/>
      <c r="E486" s="85"/>
    </row>
    <row r="487" spans="1:5">
      <c r="A487"/>
      <c r="B487"/>
      <c r="C487"/>
      <c r="D487"/>
      <c r="E487" s="85"/>
    </row>
    <row r="488" spans="1:5">
      <c r="A488"/>
      <c r="B488"/>
      <c r="C488"/>
      <c r="D488"/>
      <c r="E488" s="85"/>
    </row>
    <row r="489" spans="1:5">
      <c r="A489"/>
      <c r="B489"/>
      <c r="C489"/>
      <c r="D489"/>
      <c r="E489" s="85"/>
    </row>
    <row r="490" spans="1:5">
      <c r="A490"/>
      <c r="B490"/>
      <c r="C490"/>
      <c r="D490"/>
      <c r="E490" s="85"/>
    </row>
    <row r="491" spans="1:5">
      <c r="A491"/>
      <c r="B491"/>
      <c r="C491"/>
      <c r="D491"/>
      <c r="E491" s="85"/>
    </row>
    <row r="492" spans="1:5">
      <c r="A492"/>
      <c r="B492"/>
      <c r="C492"/>
      <c r="D492"/>
      <c r="E492" s="85"/>
    </row>
    <row r="493" spans="1:5">
      <c r="A493"/>
      <c r="B493"/>
      <c r="C493"/>
      <c r="D493"/>
      <c r="E493" s="85"/>
    </row>
    <row r="494" spans="1:5">
      <c r="A494"/>
      <c r="B494"/>
      <c r="C494"/>
      <c r="D494"/>
      <c r="E494" s="85"/>
    </row>
    <row r="495" spans="1:5">
      <c r="A495"/>
      <c r="B495"/>
      <c r="C495"/>
      <c r="D495"/>
      <c r="E495" s="85"/>
    </row>
    <row r="496" spans="1:5">
      <c r="A496"/>
      <c r="B496"/>
      <c r="C496"/>
      <c r="D496"/>
      <c r="E496" s="85"/>
    </row>
    <row r="497" spans="1:5">
      <c r="A497"/>
      <c r="B497"/>
      <c r="C497"/>
      <c r="D497"/>
      <c r="E497" s="85"/>
    </row>
    <row r="498" spans="1:5">
      <c r="A498"/>
      <c r="B498"/>
      <c r="C498"/>
      <c r="D498"/>
      <c r="E498" s="85"/>
    </row>
    <row r="499" spans="1:5">
      <c r="A499"/>
      <c r="B499"/>
      <c r="C499"/>
      <c r="D499"/>
      <c r="E499" s="85"/>
    </row>
    <row r="500" spans="1:5">
      <c r="A500"/>
      <c r="B500"/>
      <c r="C500"/>
      <c r="D500"/>
      <c r="E500" s="85"/>
    </row>
    <row r="501" spans="1:5">
      <c r="A501"/>
      <c r="B501"/>
      <c r="C501"/>
      <c r="D501"/>
      <c r="E501" s="85"/>
    </row>
    <row r="502" spans="1:5">
      <c r="A502"/>
      <c r="B502"/>
      <c r="C502"/>
      <c r="D502"/>
      <c r="E502" s="85"/>
    </row>
  </sheetData>
  <mergeCells count="4">
    <mergeCell ref="I3:K3"/>
    <mergeCell ref="I1:K2"/>
    <mergeCell ref="I4:K6"/>
    <mergeCell ref="L1:O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9"/>
  <sheetViews>
    <sheetView zoomScale="83" zoomScaleNormal="83" workbookViewId="0">
      <selection activeCell="J12" sqref="J12"/>
    </sheetView>
  </sheetViews>
  <sheetFormatPr defaultColWidth="8.75454545454545" defaultRowHeight="14.5"/>
  <cols>
    <col min="1" max="1" width="10.7545454545455" customWidth="1"/>
    <col min="2" max="2" width="12.7545454545455" customWidth="1"/>
    <col min="3" max="3" width="8.62727272727273" customWidth="1"/>
    <col min="14" max="14" width="15.3727272727273" customWidth="1"/>
    <col min="15" max="15" width="20.1272727272727" customWidth="1"/>
    <col min="17" max="17" width="11"/>
    <col min="19" max="19" width="8.62727272727273" customWidth="1"/>
  </cols>
  <sheetData>
    <row r="1" ht="16" spans="1:19">
      <c r="A1" s="234" t="s">
        <v>1508</v>
      </c>
      <c r="B1" s="234"/>
      <c r="C1" s="234"/>
      <c r="D1" s="234"/>
      <c r="E1" s="234"/>
      <c r="F1" s="234"/>
      <c r="G1" s="234"/>
      <c r="H1" s="234"/>
      <c r="I1" s="234"/>
      <c r="J1" s="234"/>
      <c r="K1" s="234"/>
      <c r="L1" s="234"/>
      <c r="N1" s="199" t="s">
        <v>1509</v>
      </c>
      <c r="O1" s="199" t="s">
        <v>1510</v>
      </c>
      <c r="P1" s="219" t="s">
        <v>1511</v>
      </c>
      <c r="Q1" s="235"/>
      <c r="R1" s="222"/>
      <c r="S1" s="218" t="s">
        <v>1512</v>
      </c>
    </row>
    <row r="2" ht="16" spans="1:19">
      <c r="A2" s="234"/>
      <c r="B2" s="234"/>
      <c r="C2" s="234"/>
      <c r="D2" s="234"/>
      <c r="E2" s="234"/>
      <c r="F2" s="234"/>
      <c r="G2" s="234"/>
      <c r="H2" s="234"/>
      <c r="I2" s="234"/>
      <c r="J2" s="234"/>
      <c r="K2" s="234"/>
      <c r="L2" s="234"/>
      <c r="N2" s="236" t="s">
        <v>1513</v>
      </c>
      <c r="O2" s="236" t="s">
        <v>1514</v>
      </c>
      <c r="P2" s="237">
        <v>100</v>
      </c>
      <c r="Q2" s="237">
        <v>200</v>
      </c>
      <c r="R2" s="237">
        <v>435</v>
      </c>
      <c r="S2" s="238">
        <f>SUM(P2:R2)</f>
        <v>735</v>
      </c>
    </row>
    <row r="3" ht="16" spans="1:19">
      <c r="A3" s="239" t="s">
        <v>1515</v>
      </c>
      <c r="B3" s="240" t="s">
        <v>1516</v>
      </c>
      <c r="C3" s="240" t="s">
        <v>1517</v>
      </c>
      <c r="D3" s="240" t="s">
        <v>1518</v>
      </c>
      <c r="E3" s="240" t="s">
        <v>1519</v>
      </c>
      <c r="F3" s="240" t="s">
        <v>1520</v>
      </c>
      <c r="G3" s="241" t="s">
        <v>1521</v>
      </c>
      <c r="H3" s="241" t="s">
        <v>1522</v>
      </c>
      <c r="I3" s="241" t="s">
        <v>1523</v>
      </c>
      <c r="J3" s="241" t="s">
        <v>1524</v>
      </c>
      <c r="K3" s="241" t="s">
        <v>1525</v>
      </c>
      <c r="L3" s="241" t="s">
        <v>1526</v>
      </c>
      <c r="N3" s="236" t="s">
        <v>1527</v>
      </c>
      <c r="O3" s="236" t="s">
        <v>1528</v>
      </c>
      <c r="P3" s="237">
        <v>342</v>
      </c>
      <c r="Q3" s="237">
        <v>123</v>
      </c>
      <c r="R3" s="237">
        <v>234</v>
      </c>
      <c r="S3" s="238">
        <f>AVERAGE(P3:R3)</f>
        <v>233</v>
      </c>
    </row>
    <row r="4" ht="16" spans="1:19">
      <c r="A4" s="242" t="s">
        <v>1529</v>
      </c>
      <c r="B4" s="243" cm="1">
        <f ca="1" t="array" ref="B4:F8">_xlfn.RANDARRAY(5,5,11,20,TRUE)</f>
        <v>11</v>
      </c>
      <c r="C4" s="243">
        <v>13</v>
      </c>
      <c r="D4" s="243">
        <v>14</v>
      </c>
      <c r="E4" s="243">
        <v>14</v>
      </c>
      <c r="F4" s="243">
        <v>17</v>
      </c>
      <c r="G4" s="244">
        <f ca="1">SUM(B4:F4)</f>
        <v>69</v>
      </c>
      <c r="H4" s="244">
        <f ca="1">MAX(B4:G4)</f>
        <v>69</v>
      </c>
      <c r="I4" s="244">
        <f ca="1">MIN(B4:F4)</f>
        <v>11</v>
      </c>
      <c r="J4" s="244">
        <f ca="1">AVERAGE(B4:F4)</f>
        <v>13.8</v>
      </c>
      <c r="K4" s="244">
        <f ca="1">COUNT(B4:F4)</f>
        <v>5</v>
      </c>
      <c r="L4" s="244">
        <f ca="1">LEN(B4)</f>
        <v>2</v>
      </c>
      <c r="N4" s="236" t="s">
        <v>1530</v>
      </c>
      <c r="O4" s="236" t="s">
        <v>1531</v>
      </c>
      <c r="P4" s="237">
        <v>124</v>
      </c>
      <c r="Q4" s="237" t="s">
        <v>1532</v>
      </c>
      <c r="R4" s="237"/>
      <c r="S4" s="238">
        <f>COUNT(P4:R4)</f>
        <v>1</v>
      </c>
    </row>
    <row r="5" ht="16" spans="1:19">
      <c r="A5" s="242" t="s">
        <v>1533</v>
      </c>
      <c r="B5" s="243">
        <v>20</v>
      </c>
      <c r="C5" s="243">
        <v>16</v>
      </c>
      <c r="D5" s="243">
        <v>13</v>
      </c>
      <c r="E5" s="243">
        <v>11</v>
      </c>
      <c r="F5" s="243">
        <v>15</v>
      </c>
      <c r="G5" s="244">
        <f ca="1">SUM(B5:F5)</f>
        <v>75</v>
      </c>
      <c r="H5" s="244">
        <f ca="1">MAX(B5:G5)</f>
        <v>75</v>
      </c>
      <c r="I5" s="244">
        <f ca="1">MIN(B5:F5)</f>
        <v>11</v>
      </c>
      <c r="J5" s="244">
        <f ca="1">AVERAGE(B5:F5)</f>
        <v>15</v>
      </c>
      <c r="K5" s="244">
        <f ca="1">COUNT(B5:F5)</f>
        <v>5</v>
      </c>
      <c r="L5" s="244">
        <f ca="1">LEN(B5)</f>
        <v>2</v>
      </c>
      <c r="N5" s="236" t="s">
        <v>1534</v>
      </c>
      <c r="O5" s="236" t="s">
        <v>1535</v>
      </c>
      <c r="P5" s="237">
        <v>123</v>
      </c>
      <c r="Q5" s="237">
        <v>46023</v>
      </c>
      <c r="R5" s="237" t="s">
        <v>1532</v>
      </c>
      <c r="S5" s="238">
        <f>COUNTA(P5:R5)</f>
        <v>3</v>
      </c>
    </row>
    <row r="6" ht="16" spans="1:19">
      <c r="A6" s="242" t="s">
        <v>1536</v>
      </c>
      <c r="B6" s="243">
        <v>11</v>
      </c>
      <c r="C6" s="243">
        <v>18</v>
      </c>
      <c r="D6" s="243">
        <v>13</v>
      </c>
      <c r="E6" s="243">
        <v>11</v>
      </c>
      <c r="F6" s="243">
        <v>20</v>
      </c>
      <c r="G6" s="244">
        <f ca="1">SUM(B6:F6)</f>
        <v>73</v>
      </c>
      <c r="H6" s="244">
        <f ca="1">MAX(B6:G6)</f>
        <v>73</v>
      </c>
      <c r="I6" s="244">
        <f ca="1">MIN(B6:F6)</f>
        <v>11</v>
      </c>
      <c r="J6" s="244">
        <f ca="1">AVERAGE(B6:F6)</f>
        <v>14.6</v>
      </c>
      <c r="K6" s="244">
        <f ca="1">COUNT(B6:F6)</f>
        <v>5</v>
      </c>
      <c r="L6" s="244">
        <f ca="1">LEN(B6)</f>
        <v>2</v>
      </c>
      <c r="N6" s="236" t="s">
        <v>1537</v>
      </c>
      <c r="O6" s="236" t="s">
        <v>1538</v>
      </c>
      <c r="P6" s="237"/>
      <c r="Q6" s="237">
        <v>126</v>
      </c>
      <c r="R6" s="237" t="s">
        <v>1532</v>
      </c>
      <c r="S6" s="238">
        <f>COUNTBLANK(P6:R6)</f>
        <v>1</v>
      </c>
    </row>
    <row r="7" ht="16" spans="1:19">
      <c r="A7" s="242" t="s">
        <v>1539</v>
      </c>
      <c r="B7" s="243">
        <v>14</v>
      </c>
      <c r="C7" s="243">
        <v>19</v>
      </c>
      <c r="D7" s="243">
        <v>13</v>
      </c>
      <c r="E7" s="243">
        <v>14</v>
      </c>
      <c r="F7" s="243">
        <v>20</v>
      </c>
      <c r="G7" s="244">
        <f ca="1">SUM(B7:F7)</f>
        <v>80</v>
      </c>
      <c r="H7" s="244">
        <f ca="1">MAX(B7:G7)</f>
        <v>80</v>
      </c>
      <c r="I7" s="244">
        <f ca="1">MIN(B7:F7)</f>
        <v>13</v>
      </c>
      <c r="J7" s="244">
        <f ca="1">AVERAGE(B7:F7)</f>
        <v>16</v>
      </c>
      <c r="K7" s="244">
        <f ca="1">COUNT(B7:F7)</f>
        <v>5</v>
      </c>
      <c r="L7" s="244">
        <f ca="1">LEN(B7)</f>
        <v>2</v>
      </c>
      <c r="N7" s="236" t="s">
        <v>1540</v>
      </c>
      <c r="O7" s="236" t="s">
        <v>1541</v>
      </c>
      <c r="P7" s="237">
        <v>302</v>
      </c>
      <c r="Q7" s="237">
        <v>435</v>
      </c>
      <c r="R7" s="237">
        <v>313</v>
      </c>
      <c r="S7" s="238">
        <f>MAX(P7:R7)</f>
        <v>435</v>
      </c>
    </row>
    <row r="8" ht="16" spans="1:19">
      <c r="A8" s="242" t="s">
        <v>1542</v>
      </c>
      <c r="B8" s="243">
        <v>11</v>
      </c>
      <c r="C8" s="243">
        <v>20</v>
      </c>
      <c r="D8" s="243">
        <v>20</v>
      </c>
      <c r="E8" s="243">
        <v>14</v>
      </c>
      <c r="F8" s="243">
        <v>19</v>
      </c>
      <c r="G8" s="244">
        <f ca="1">SUM(B8:F8)</f>
        <v>84</v>
      </c>
      <c r="H8" s="244">
        <f ca="1">MAX(B8:G8)</f>
        <v>84</v>
      </c>
      <c r="I8" s="244">
        <f ca="1">MIN(B8:F8)</f>
        <v>11</v>
      </c>
      <c r="J8" s="244">
        <f ca="1">AVERAGE(B8:F8)</f>
        <v>16.8</v>
      </c>
      <c r="K8" s="244">
        <f ca="1">COUNT(B8:F8)</f>
        <v>5</v>
      </c>
      <c r="L8" s="244">
        <f ca="1">LEN(B8)</f>
        <v>2</v>
      </c>
      <c r="N8" s="236" t="s">
        <v>1543</v>
      </c>
      <c r="O8" s="236" t="s">
        <v>1544</v>
      </c>
      <c r="P8" s="237">
        <v>887</v>
      </c>
      <c r="Q8" s="237">
        <v>546</v>
      </c>
      <c r="R8" s="237">
        <v>324</v>
      </c>
      <c r="S8" s="238">
        <f>MIN(P8:R8)</f>
        <v>324</v>
      </c>
    </row>
    <row r="9" ht="16" spans="1:19">
      <c r="N9" s="236" t="s">
        <v>1545</v>
      </c>
      <c r="O9" s="236" t="s">
        <v>1546</v>
      </c>
      <c r="P9" s="237">
        <v>10</v>
      </c>
      <c r="Q9" s="237">
        <v>20</v>
      </c>
      <c r="R9" s="237">
        <v>30</v>
      </c>
      <c r="S9" s="238">
        <f>MEDIAN(P9:R9)</f>
        <v>20</v>
      </c>
    </row>
    <row r="10" ht="16" spans="1:19">
      <c r="N10" s="236" t="s">
        <v>1547</v>
      </c>
      <c r="O10" s="236" t="s">
        <v>1548</v>
      </c>
      <c r="P10" s="237">
        <v>2</v>
      </c>
      <c r="Q10" s="237">
        <v>1</v>
      </c>
      <c r="R10" s="237">
        <v>2</v>
      </c>
      <c r="S10" s="238" cm="1">
        <f t="array" ref="S10">MODE(P10:R10)</f>
        <v>2</v>
      </c>
    </row>
    <row r="11" ht="16" spans="1:19">
      <c r="N11" s="236" t="s">
        <v>1549</v>
      </c>
      <c r="O11" s="236" t="s">
        <v>1550</v>
      </c>
      <c r="P11" s="237">
        <v>27.9</v>
      </c>
      <c r="Q11" s="237" t="s">
        <v>1551</v>
      </c>
      <c r="R11" s="237" t="s">
        <v>1551</v>
      </c>
      <c r="S11" s="238">
        <f>ROUND(P11,2)</f>
        <v>27.9</v>
      </c>
    </row>
    <row r="12" ht="16" spans="1:19">
      <c r="N12" s="236" t="s">
        <v>1552</v>
      </c>
      <c r="O12" s="236" t="s">
        <v>1553</v>
      </c>
      <c r="P12" s="237">
        <v>27.9</v>
      </c>
      <c r="Q12" s="237" t="s">
        <v>1551</v>
      </c>
      <c r="R12" s="237" t="s">
        <v>1551</v>
      </c>
      <c r="S12" s="238">
        <f>ROUNDUP(P12,0)</f>
        <v>28</v>
      </c>
    </row>
    <row r="13" ht="16" spans="1:19">
      <c r="N13" s="236" t="s">
        <v>1554</v>
      </c>
      <c r="O13" s="236" t="s">
        <v>1555</v>
      </c>
      <c r="P13" s="237">
        <v>27.9</v>
      </c>
      <c r="Q13" s="237" t="s">
        <v>1551</v>
      </c>
      <c r="R13" s="237" t="s">
        <v>1551</v>
      </c>
      <c r="S13" s="238">
        <f>ROUNDDOWN(P13,0)</f>
        <v>27</v>
      </c>
    </row>
    <row r="14" ht="16" spans="1:19">
      <c r="N14" s="236" t="s">
        <v>1556</v>
      </c>
      <c r="O14" s="236" t="s">
        <v>1557</v>
      </c>
      <c r="P14" s="237">
        <v>-434</v>
      </c>
      <c r="Q14" s="237" t="s">
        <v>1551</v>
      </c>
      <c r="R14" s="237" t="s">
        <v>1551</v>
      </c>
      <c r="S14" s="238">
        <f>ABS(P14)</f>
        <v>434</v>
      </c>
    </row>
    <row r="15" ht="16" spans="1:19">
      <c r="N15" s="236" t="s">
        <v>1558</v>
      </c>
      <c r="O15" s="236" t="s">
        <v>1559</v>
      </c>
      <c r="P15" s="237">
        <v>32.4</v>
      </c>
      <c r="Q15" s="237" t="s">
        <v>1551</v>
      </c>
      <c r="R15" s="237" t="s">
        <v>1551</v>
      </c>
      <c r="S15" s="238">
        <f>INT(P15)</f>
        <v>32</v>
      </c>
    </row>
    <row r="16" ht="16" spans="1:19">
      <c r="N16" s="236" t="s">
        <v>1560</v>
      </c>
      <c r="O16" s="236" t="s">
        <v>1561</v>
      </c>
      <c r="P16" s="237">
        <v>11</v>
      </c>
      <c r="Q16" s="237" t="s">
        <v>1551</v>
      </c>
      <c r="R16" s="237" t="s">
        <v>1551</v>
      </c>
      <c r="S16" s="238">
        <f>MOD(P16,2)</f>
        <v>1</v>
      </c>
    </row>
    <row r="17" ht="16" spans="14:19">
      <c r="N17" s="236" t="s">
        <v>1562</v>
      </c>
      <c r="O17" s="236" t="s">
        <v>1563</v>
      </c>
      <c r="P17" s="237">
        <v>2</v>
      </c>
      <c r="Q17" s="237" t="s">
        <v>1551</v>
      </c>
      <c r="R17" s="237" t="s">
        <v>1551</v>
      </c>
      <c r="S17" s="238">
        <f>SQRT(P17)</f>
        <v>1.4142135623731</v>
      </c>
    </row>
    <row r="18" ht="16" spans="14:19">
      <c r="N18" s="236" t="s">
        <v>1564</v>
      </c>
      <c r="O18" s="236" t="s">
        <v>1565</v>
      </c>
      <c r="P18" s="237">
        <v>2</v>
      </c>
      <c r="Q18" s="237" t="s">
        <v>1551</v>
      </c>
      <c r="R18" s="237" t="s">
        <v>1551</v>
      </c>
      <c r="S18" s="238">
        <f>POWER(P18,2)</f>
        <v>4</v>
      </c>
    </row>
    <row r="19" ht="15.25"/>
  </sheetData>
  <mergeCells count="2">
    <mergeCell ref="P1:R1"/>
    <mergeCell ref="A1:L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zoomScale="97" zoomScaleNormal="97" workbookViewId="0">
      <selection activeCell="I15" sqref="I15"/>
    </sheetView>
  </sheetViews>
  <sheetFormatPr defaultColWidth="8.75454545454545" defaultRowHeight="14.5"/>
  <cols>
    <col min="1" max="2" width="11.6272727272727" customWidth="1"/>
    <col min="3" max="3" width="10.8727272727273" customWidth="1"/>
    <col min="4" max="4" width="10.2545454545455" customWidth="1"/>
    <col min="5" max="5" width="11.3727272727273" customWidth="1"/>
    <col min="6" max="6" width="16.8727272727273" customWidth="1"/>
    <col min="7" max="7" width="11.2545454545455" customWidth="1"/>
    <col min="8" max="8" width="8.5" customWidth="1"/>
    <col min="10" max="10" width="11.6272727272727" customWidth="1"/>
    <col min="11" max="11" width="13.7545454545455" style="227" customWidth="1"/>
    <col min="15" max="15" width="15.3727272727273" customWidth="1"/>
    <col min="16" max="16" width="20.1272727272727" customWidth="1"/>
    <col min="18" max="18" width="11"/>
    <col min="20" max="20" width="8.62727272727273" customWidth="1"/>
  </cols>
  <sheetData>
    <row r="1" ht="16" spans="1:14">
      <c r="A1" s="153" t="s">
        <v>0</v>
      </c>
      <c r="B1" s="153" t="s">
        <v>1</v>
      </c>
      <c r="C1" s="154" t="s">
        <v>2</v>
      </c>
      <c r="D1" s="154" t="s">
        <v>3</v>
      </c>
      <c r="E1" s="155" t="s">
        <v>4</v>
      </c>
      <c r="F1" s="155" t="s">
        <v>1492</v>
      </c>
      <c r="G1" s="155" t="s">
        <v>1493</v>
      </c>
      <c r="H1" s="155" t="s">
        <v>1494</v>
      </c>
      <c r="J1" s="228" t="s">
        <v>0</v>
      </c>
      <c r="K1" s="229" t="s">
        <v>1566</v>
      </c>
      <c r="L1" s="218" t="s">
        <v>1567</v>
      </c>
      <c r="M1" s="218"/>
      <c r="N1" s="218"/>
    </row>
    <row r="2" ht="16" spans="1:14">
      <c r="A2" s="161" t="s">
        <v>5</v>
      </c>
      <c r="B2" s="161" t="s">
        <v>6</v>
      </c>
      <c r="C2" s="161" t="s">
        <v>7</v>
      </c>
      <c r="D2" s="162">
        <v>41954</v>
      </c>
      <c r="E2" s="163">
        <v>46023</v>
      </c>
      <c r="F2" s="164">
        <v>5</v>
      </c>
      <c r="G2" s="164">
        <v>9</v>
      </c>
      <c r="H2" s="164" t="s">
        <v>1495</v>
      </c>
      <c r="J2" s="230" t="s">
        <v>5</v>
      </c>
      <c r="K2" s="231" t="str">
        <f>IFERROR(IF(D2&gt;50000,"SAVINGS",NA()),"NO SAVINGS")</f>
        <v>NO SAVINGS</v>
      </c>
      <c r="L2" s="218"/>
      <c r="M2" s="218"/>
      <c r="N2" s="218"/>
    </row>
    <row r="3" ht="16" spans="1:14">
      <c r="A3" s="161" t="s">
        <v>8</v>
      </c>
      <c r="B3" s="161" t="s">
        <v>9</v>
      </c>
      <c r="C3" s="161" t="s">
        <v>10</v>
      </c>
      <c r="D3" s="162">
        <v>49855</v>
      </c>
      <c r="E3" s="163">
        <v>46024</v>
      </c>
      <c r="F3" s="164">
        <v>6</v>
      </c>
      <c r="G3" s="164">
        <v>5</v>
      </c>
      <c r="H3" s="164" t="s">
        <v>1497</v>
      </c>
      <c r="J3" s="230" t="s">
        <v>8</v>
      </c>
      <c r="K3" s="231" t="str">
        <f t="shared" ref="K3:K13" si="0">IFERROR(IF(D3&gt;50000,"SAVINGS",NA()),"NO SAVINGS")</f>
        <v>NO SAVINGS</v>
      </c>
      <c r="L3" s="81" t="s">
        <v>1568</v>
      </c>
      <c r="M3" s="81"/>
      <c r="N3" s="81"/>
    </row>
    <row r="4" ht="16" spans="1:14">
      <c r="A4" s="161" t="s">
        <v>11</v>
      </c>
      <c r="B4" s="161" t="s">
        <v>12</v>
      </c>
      <c r="C4" s="161" t="s">
        <v>13</v>
      </c>
      <c r="D4" s="162">
        <v>94210</v>
      </c>
      <c r="E4" s="163">
        <v>46025</v>
      </c>
      <c r="F4" s="164">
        <v>7</v>
      </c>
      <c r="G4" s="164">
        <v>3</v>
      </c>
      <c r="H4" s="164" t="s">
        <v>1498</v>
      </c>
      <c r="J4" s="230" t="s">
        <v>11</v>
      </c>
      <c r="K4" s="231" t="str">
        <f t="shared" si="0"/>
        <v>SAVINGS</v>
      </c>
      <c r="L4" s="81"/>
      <c r="M4" s="81"/>
      <c r="N4" s="81"/>
    </row>
    <row r="5" ht="16" spans="1:14">
      <c r="A5" s="161" t="s">
        <v>14</v>
      </c>
      <c r="B5" s="161" t="s">
        <v>15</v>
      </c>
      <c r="C5" s="161" t="s">
        <v>7</v>
      </c>
      <c r="D5" s="162">
        <v>74689</v>
      </c>
      <c r="E5" s="163">
        <v>46026</v>
      </c>
      <c r="F5" s="164">
        <v>8</v>
      </c>
      <c r="G5" s="164">
        <v>5</v>
      </c>
      <c r="H5" s="164" t="s">
        <v>1499</v>
      </c>
      <c r="J5" s="230" t="s">
        <v>14</v>
      </c>
      <c r="K5" s="231" t="str">
        <f t="shared" si="0"/>
        <v>SAVINGS</v>
      </c>
      <c r="L5" s="81"/>
      <c r="M5" s="81"/>
      <c r="N5" s="81"/>
    </row>
    <row r="6" ht="16" spans="1:14">
      <c r="A6" s="161" t="s">
        <v>16</v>
      </c>
      <c r="B6" s="161" t="s">
        <v>17</v>
      </c>
      <c r="C6" s="161" t="s">
        <v>10</v>
      </c>
      <c r="D6" s="162">
        <v>41954</v>
      </c>
      <c r="E6" s="163">
        <v>46027</v>
      </c>
      <c r="F6" s="164">
        <v>9</v>
      </c>
      <c r="G6" s="164">
        <v>7</v>
      </c>
      <c r="H6" s="164" t="s">
        <v>1500</v>
      </c>
      <c r="J6" s="230" t="s">
        <v>16</v>
      </c>
      <c r="K6" s="231" t="str">
        <f t="shared" si="0"/>
        <v>NO SAVINGS</v>
      </c>
      <c r="L6" s="81"/>
      <c r="M6" s="81"/>
      <c r="N6" s="81"/>
    </row>
    <row r="7" ht="16" spans="1:14">
      <c r="A7" s="161" t="s">
        <v>18</v>
      </c>
      <c r="B7" s="161" t="s">
        <v>12</v>
      </c>
      <c r="C7" s="161" t="s">
        <v>10</v>
      </c>
      <c r="D7" s="162">
        <v>74820</v>
      </c>
      <c r="E7" s="163">
        <v>46028</v>
      </c>
      <c r="F7" s="164">
        <v>0</v>
      </c>
      <c r="G7" s="164">
        <v>5</v>
      </c>
      <c r="H7" s="164" t="s">
        <v>1501</v>
      </c>
      <c r="J7" s="230" t="s">
        <v>18</v>
      </c>
      <c r="K7" s="231" t="str">
        <f t="shared" si="0"/>
        <v>SAVINGS</v>
      </c>
      <c r="L7" s="81"/>
      <c r="M7" s="81"/>
      <c r="N7" s="81"/>
    </row>
    <row r="8" ht="16" spans="1:14">
      <c r="A8" s="161" t="s">
        <v>19</v>
      </c>
      <c r="B8" s="161" t="s">
        <v>20</v>
      </c>
      <c r="C8" s="161" t="s">
        <v>13</v>
      </c>
      <c r="D8" s="162">
        <v>85206</v>
      </c>
      <c r="E8" s="163">
        <v>46029</v>
      </c>
      <c r="F8" s="164">
        <v>3</v>
      </c>
      <c r="G8" s="164">
        <v>6</v>
      </c>
      <c r="H8" s="164" t="s">
        <v>1495</v>
      </c>
      <c r="J8" s="232" t="s">
        <v>19</v>
      </c>
      <c r="K8" s="233" t="str">
        <f t="shared" si="0"/>
        <v>SAVINGS</v>
      </c>
      <c r="L8" s="207"/>
    </row>
    <row r="9" ht="16" spans="1:14">
      <c r="A9" s="161" t="s">
        <v>21</v>
      </c>
      <c r="B9" s="161" t="s">
        <v>22</v>
      </c>
      <c r="C9" s="161" t="s">
        <v>7</v>
      </c>
      <c r="D9" s="162">
        <v>30924</v>
      </c>
      <c r="E9" s="163">
        <v>46030</v>
      </c>
      <c r="F9" s="164">
        <v>0</v>
      </c>
      <c r="G9" s="164">
        <v>7</v>
      </c>
      <c r="H9" s="164" t="s">
        <v>1497</v>
      </c>
      <c r="J9" s="232" t="s">
        <v>21</v>
      </c>
      <c r="K9" s="233" t="str">
        <f t="shared" si="0"/>
        <v>NO SAVINGS</v>
      </c>
    </row>
    <row r="10" ht="16" spans="1:14">
      <c r="A10" s="161" t="s">
        <v>23</v>
      </c>
      <c r="B10" s="161" t="s">
        <v>24</v>
      </c>
      <c r="C10" s="161" t="s">
        <v>10</v>
      </c>
      <c r="D10" s="162">
        <v>57737</v>
      </c>
      <c r="E10" s="163">
        <v>46031</v>
      </c>
      <c r="F10" s="164">
        <v>2</v>
      </c>
      <c r="G10" s="164">
        <v>8</v>
      </c>
      <c r="H10" s="164" t="s">
        <v>1498</v>
      </c>
      <c r="J10" s="232" t="s">
        <v>23</v>
      </c>
      <c r="K10" s="233" t="str">
        <f t="shared" si="0"/>
        <v>SAVINGS</v>
      </c>
    </row>
    <row r="11" ht="16" spans="1:14">
      <c r="A11" s="161" t="s">
        <v>25</v>
      </c>
      <c r="B11" s="161" t="s">
        <v>26</v>
      </c>
      <c r="C11" s="161" t="s">
        <v>13</v>
      </c>
      <c r="D11" s="162">
        <v>36000</v>
      </c>
      <c r="E11" s="163">
        <v>46032</v>
      </c>
      <c r="F11" s="164">
        <v>9</v>
      </c>
      <c r="G11" s="164">
        <v>9</v>
      </c>
      <c r="H11" s="164" t="s">
        <v>1499</v>
      </c>
      <c r="J11" s="232" t="s">
        <v>25</v>
      </c>
      <c r="K11" s="233" t="str">
        <f t="shared" si="0"/>
        <v>NO SAVINGS</v>
      </c>
    </row>
    <row r="12" ht="16" spans="1:14">
      <c r="A12" s="161" t="s">
        <v>27</v>
      </c>
      <c r="B12" s="161" t="s">
        <v>28</v>
      </c>
      <c r="C12" s="161" t="s">
        <v>13</v>
      </c>
      <c r="D12" s="162">
        <v>96371</v>
      </c>
      <c r="E12" s="163">
        <v>46033</v>
      </c>
      <c r="F12" s="164">
        <v>-5</v>
      </c>
      <c r="G12" s="164">
        <v>4</v>
      </c>
      <c r="H12" s="164" t="s">
        <v>1500</v>
      </c>
      <c r="J12" s="232" t="s">
        <v>27</v>
      </c>
      <c r="K12" s="233" t="str">
        <f t="shared" si="0"/>
        <v>SAVINGS</v>
      </c>
    </row>
    <row r="13" ht="16" spans="1:14">
      <c r="A13" s="161" t="s">
        <v>29</v>
      </c>
      <c r="B13" s="161" t="s">
        <v>30</v>
      </c>
      <c r="C13" s="161" t="s">
        <v>10</v>
      </c>
      <c r="D13" s="162">
        <v>85028</v>
      </c>
      <c r="E13" s="163">
        <v>46034</v>
      </c>
      <c r="F13" s="164">
        <v>3</v>
      </c>
      <c r="G13" s="164">
        <v>3</v>
      </c>
      <c r="H13" s="164" t="s">
        <v>1501</v>
      </c>
      <c r="J13" s="232" t="s">
        <v>29</v>
      </c>
      <c r="K13" s="233" t="str">
        <f t="shared" si="0"/>
        <v>SAVINGS</v>
      </c>
    </row>
    <row r="14" ht="15.25"/>
  </sheetData>
  <mergeCells count="2">
    <mergeCell ref="L1:N2"/>
    <mergeCell ref="L3:N7"/>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4"/>
  <sheetViews>
    <sheetView zoomScale="91" zoomScaleNormal="91" workbookViewId="0">
      <selection activeCell="E1" sqref="E$1:E$1048576"/>
    </sheetView>
  </sheetViews>
  <sheetFormatPr defaultColWidth="8.75454545454545" defaultRowHeight="14.5"/>
  <cols>
    <col min="1" max="2" width="11.6272727272727" customWidth="1"/>
    <col min="3" max="3" width="10.8727272727273" customWidth="1"/>
    <col min="4" max="4" width="10.2545454545455" customWidth="1"/>
    <col min="5" max="5" width="11.3727272727273" customWidth="1"/>
    <col min="6" max="6" width="16.8727272727273" customWidth="1"/>
    <col min="7" max="7" width="11.2545454545455" customWidth="1"/>
    <col min="8" max="8" width="8.5" customWidth="1"/>
    <col min="10" max="10" width="11.6272727272727" style="211" customWidth="1"/>
    <col min="14" max="14" width="15.3727272727273" customWidth="1"/>
    <col min="15" max="15" width="20.1272727272727" customWidth="1"/>
    <col min="17" max="17" width="11"/>
    <col min="19" max="19" width="8.62727272727273" customWidth="1"/>
  </cols>
  <sheetData>
    <row r="1" ht="16" spans="1:15">
      <c r="A1" s="153" t="s">
        <v>0</v>
      </c>
      <c r="B1" s="153" t="s">
        <v>1</v>
      </c>
      <c r="C1" s="154" t="s">
        <v>2</v>
      </c>
      <c r="D1" s="154" t="s">
        <v>3</v>
      </c>
      <c r="E1" s="155" t="s">
        <v>4</v>
      </c>
      <c r="F1" s="155" t="s">
        <v>1492</v>
      </c>
      <c r="G1" s="155" t="s">
        <v>1493</v>
      </c>
      <c r="H1" s="155" t="s">
        <v>1494</v>
      </c>
      <c r="J1" s="212" t="s">
        <v>1569</v>
      </c>
      <c r="K1" s="218" t="s">
        <v>1570</v>
      </c>
      <c r="L1" s="218"/>
      <c r="M1" s="219"/>
      <c r="N1" s="220" t="s">
        <v>1509</v>
      </c>
      <c r="O1" s="220" t="s">
        <v>1510</v>
      </c>
    </row>
    <row r="2" ht="16" spans="1:15">
      <c r="A2" s="161" t="s">
        <v>5</v>
      </c>
      <c r="B2" s="161" t="s">
        <v>6</v>
      </c>
      <c r="C2" s="161" t="s">
        <v>7</v>
      </c>
      <c r="D2" s="162">
        <v>41954</v>
      </c>
      <c r="E2" s="163">
        <v>46023</v>
      </c>
      <c r="F2" s="164">
        <v>5</v>
      </c>
      <c r="G2" s="164">
        <v>9</v>
      </c>
      <c r="H2" s="164" t="s">
        <v>1495</v>
      </c>
      <c r="J2" s="221">
        <f>_xlfn.MINIFS(D2:D13,C2:C13,"Sales",G2:G13,"&gt;5")</f>
        <v>36000</v>
      </c>
      <c r="K2" s="222"/>
      <c r="L2" s="218"/>
      <c r="M2" s="219"/>
      <c r="N2" s="223" t="s">
        <v>1571</v>
      </c>
      <c r="O2" s="223" t="s">
        <v>1572</v>
      </c>
    </row>
    <row r="3" ht="16" spans="1:15">
      <c r="A3" s="161" t="s">
        <v>8</v>
      </c>
      <c r="B3" s="161" t="s">
        <v>9</v>
      </c>
      <c r="C3" s="161" t="s">
        <v>10</v>
      </c>
      <c r="D3" s="162">
        <v>49855</v>
      </c>
      <c r="E3" s="163">
        <v>46024</v>
      </c>
      <c r="F3" s="164">
        <v>6</v>
      </c>
      <c r="G3" s="164">
        <v>5</v>
      </c>
      <c r="H3" s="164" t="s">
        <v>1497</v>
      </c>
      <c r="J3" s="224"/>
      <c r="K3" s="225" t="s">
        <v>1573</v>
      </c>
      <c r="L3" s="81"/>
      <c r="M3" s="226"/>
      <c r="N3" s="223" t="s">
        <v>1574</v>
      </c>
      <c r="O3" s="223" t="s">
        <v>1575</v>
      </c>
    </row>
    <row r="4" ht="16" spans="1:15">
      <c r="A4" s="161" t="s">
        <v>11</v>
      </c>
      <c r="B4" s="161" t="s">
        <v>12</v>
      </c>
      <c r="C4" s="161" t="s">
        <v>13</v>
      </c>
      <c r="D4" s="162">
        <v>94210</v>
      </c>
      <c r="E4" s="163">
        <v>46025</v>
      </c>
      <c r="F4" s="164">
        <v>7</v>
      </c>
      <c r="G4" s="164">
        <v>3</v>
      </c>
      <c r="H4" s="164" t="s">
        <v>1498</v>
      </c>
      <c r="K4" s="81"/>
      <c r="L4" s="81"/>
      <c r="M4" s="226"/>
      <c r="N4" s="223" t="s">
        <v>1576</v>
      </c>
      <c r="O4" s="223" t="s">
        <v>1577</v>
      </c>
    </row>
    <row r="5" ht="16" spans="1:15">
      <c r="A5" s="161" t="s">
        <v>14</v>
      </c>
      <c r="B5" s="161" t="s">
        <v>15</v>
      </c>
      <c r="C5" s="161" t="s">
        <v>7</v>
      </c>
      <c r="D5" s="162">
        <v>74689</v>
      </c>
      <c r="E5" s="163">
        <v>46026</v>
      </c>
      <c r="F5" s="164">
        <v>8</v>
      </c>
      <c r="G5" s="164">
        <v>5</v>
      </c>
      <c r="H5" s="164" t="s">
        <v>1499</v>
      </c>
      <c r="K5" s="81"/>
      <c r="L5" s="81"/>
      <c r="M5" s="226"/>
      <c r="N5" s="223" t="s">
        <v>1578</v>
      </c>
      <c r="O5" s="223" t="s">
        <v>1575</v>
      </c>
    </row>
    <row r="6" ht="16" spans="1:15">
      <c r="A6" s="161" t="s">
        <v>16</v>
      </c>
      <c r="B6" s="161" t="s">
        <v>17</v>
      </c>
      <c r="C6" s="161" t="s">
        <v>10</v>
      </c>
      <c r="D6" s="162">
        <v>41954</v>
      </c>
      <c r="E6" s="163">
        <v>46027</v>
      </c>
      <c r="F6" s="164">
        <v>9</v>
      </c>
      <c r="G6" s="164">
        <v>7</v>
      </c>
      <c r="H6" s="164" t="s">
        <v>1500</v>
      </c>
      <c r="K6" s="81"/>
      <c r="L6" s="81"/>
      <c r="M6" s="226"/>
      <c r="N6" s="223" t="s">
        <v>1579</v>
      </c>
      <c r="O6" s="223" t="s">
        <v>1580</v>
      </c>
    </row>
    <row r="7" ht="16" spans="1:15">
      <c r="A7" s="161" t="s">
        <v>18</v>
      </c>
      <c r="B7" s="161" t="s">
        <v>12</v>
      </c>
      <c r="C7" s="161" t="s">
        <v>10</v>
      </c>
      <c r="D7" s="162">
        <v>74820</v>
      </c>
      <c r="E7" s="163">
        <v>46028</v>
      </c>
      <c r="F7" s="164">
        <v>0</v>
      </c>
      <c r="G7" s="164">
        <v>5</v>
      </c>
      <c r="H7" s="164" t="s">
        <v>1501</v>
      </c>
      <c r="K7" s="81"/>
      <c r="L7" s="81"/>
      <c r="M7" s="226"/>
      <c r="N7" s="223" t="s">
        <v>1581</v>
      </c>
      <c r="O7" s="223" t="s">
        <v>1575</v>
      </c>
    </row>
    <row r="8" ht="16" spans="1:15">
      <c r="A8" s="161" t="s">
        <v>19</v>
      </c>
      <c r="B8" s="161" t="s">
        <v>20</v>
      </c>
      <c r="C8" s="161" t="s">
        <v>13</v>
      </c>
      <c r="D8" s="162">
        <v>85206</v>
      </c>
      <c r="E8" s="163">
        <v>46029</v>
      </c>
      <c r="F8" s="164">
        <v>3</v>
      </c>
      <c r="G8" s="164">
        <v>6</v>
      </c>
      <c r="H8" s="164" t="s">
        <v>1495</v>
      </c>
      <c r="K8" s="207"/>
      <c r="N8" s="223" t="s">
        <v>1582</v>
      </c>
      <c r="O8" s="223" t="s">
        <v>1575</v>
      </c>
    </row>
    <row r="9" ht="16" spans="1:15">
      <c r="A9" s="161" t="s">
        <v>21</v>
      </c>
      <c r="B9" s="161" t="s">
        <v>22</v>
      </c>
      <c r="C9" s="161" t="s">
        <v>7</v>
      </c>
      <c r="D9" s="162">
        <v>30924</v>
      </c>
      <c r="E9" s="163">
        <v>46030</v>
      </c>
      <c r="F9" s="164">
        <v>0</v>
      </c>
      <c r="G9" s="164">
        <v>7</v>
      </c>
      <c r="H9" s="164" t="s">
        <v>1497</v>
      </c>
      <c r="N9" s="223" t="s">
        <v>1583</v>
      </c>
      <c r="O9" s="223" t="s">
        <v>1575</v>
      </c>
    </row>
    <row r="10" ht="16" spans="1:15">
      <c r="A10" s="161" t="s">
        <v>23</v>
      </c>
      <c r="B10" s="161" t="s">
        <v>24</v>
      </c>
      <c r="C10" s="161" t="s">
        <v>10</v>
      </c>
      <c r="D10" s="162">
        <v>57737</v>
      </c>
      <c r="E10" s="163">
        <v>46031</v>
      </c>
      <c r="F10" s="164">
        <v>2</v>
      </c>
      <c r="G10" s="164">
        <v>8</v>
      </c>
      <c r="H10" s="164" t="s">
        <v>1498</v>
      </c>
    </row>
    <row r="11" ht="16" spans="1:15">
      <c r="A11" s="161" t="s">
        <v>25</v>
      </c>
      <c r="B11" s="161" t="s">
        <v>26</v>
      </c>
      <c r="C11" s="161" t="s">
        <v>13</v>
      </c>
      <c r="D11" s="162">
        <v>36000</v>
      </c>
      <c r="E11" s="163">
        <v>46032</v>
      </c>
      <c r="F11" s="164">
        <v>9</v>
      </c>
      <c r="G11" s="164">
        <v>9</v>
      </c>
      <c r="H11" s="164" t="s">
        <v>1499</v>
      </c>
    </row>
    <row r="12" ht="16" spans="1:15">
      <c r="A12" s="161" t="s">
        <v>27</v>
      </c>
      <c r="B12" s="161" t="s">
        <v>28</v>
      </c>
      <c r="C12" s="161" t="s">
        <v>13</v>
      </c>
      <c r="D12" s="162">
        <v>96371</v>
      </c>
      <c r="E12" s="163">
        <v>46033</v>
      </c>
      <c r="F12" s="164">
        <v>-5</v>
      </c>
      <c r="G12" s="164">
        <v>4</v>
      </c>
      <c r="H12" s="164" t="s">
        <v>1500</v>
      </c>
    </row>
    <row r="13" ht="16" spans="1:15">
      <c r="A13" s="161" t="s">
        <v>29</v>
      </c>
      <c r="B13" s="161" t="s">
        <v>30</v>
      </c>
      <c r="C13" s="161" t="s">
        <v>10</v>
      </c>
      <c r="D13" s="162">
        <v>85028</v>
      </c>
      <c r="E13" s="163">
        <v>46034</v>
      </c>
      <c r="F13" s="164">
        <v>3</v>
      </c>
      <c r="G13" s="164">
        <v>3</v>
      </c>
      <c r="H13" s="164" t="s">
        <v>1501</v>
      </c>
    </row>
    <row r="14" ht="15.25"/>
  </sheetData>
  <mergeCells count="3">
    <mergeCell ref="J2:J3"/>
    <mergeCell ref="K1:M2"/>
    <mergeCell ref="K3:M7"/>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3"/>
  <sheetViews>
    <sheetView zoomScale="91" zoomScaleNormal="91" workbookViewId="0">
      <selection activeCell="J2" sqref="J2"/>
    </sheetView>
  </sheetViews>
  <sheetFormatPr defaultColWidth="8.75454545454545" defaultRowHeight="14.5"/>
  <cols>
    <col min="1" max="1" width="11.6272727272727" customWidth="1"/>
    <col min="2" max="2" width="15.8727272727273" customWidth="1"/>
    <col min="3" max="3" width="10.8727272727273" customWidth="1"/>
    <col min="4" max="4" width="10.2545454545455" customWidth="1"/>
    <col min="5" max="5" width="11.3727272727273" customWidth="1"/>
    <col min="6" max="6" width="16.8727272727273" customWidth="1"/>
    <col min="7" max="7" width="11.2545454545455" customWidth="1"/>
    <col min="8" max="8" width="8.5" customWidth="1"/>
    <col min="10" max="10" width="20.5" style="211" customWidth="1"/>
    <col min="14" max="14" width="15.3727272727273" customWidth="1"/>
    <col min="15" max="15" width="28" customWidth="1"/>
    <col min="17" max="17" width="11"/>
    <col min="19" max="19" width="8.62727272727273" customWidth="1"/>
  </cols>
  <sheetData>
    <row r="1" ht="16" spans="1:15">
      <c r="A1" s="194" t="s">
        <v>0</v>
      </c>
      <c r="B1" s="194" t="s">
        <v>1</v>
      </c>
      <c r="C1" s="195" t="s">
        <v>2</v>
      </c>
      <c r="D1" s="195" t="s">
        <v>3</v>
      </c>
      <c r="E1" s="196" t="s">
        <v>1584</v>
      </c>
      <c r="F1" s="196" t="s">
        <v>1585</v>
      </c>
      <c r="G1" s="196" t="s">
        <v>1493</v>
      </c>
      <c r="H1" s="196" t="s">
        <v>1494</v>
      </c>
      <c r="J1" s="212" t="s">
        <v>1586</v>
      </c>
      <c r="K1" s="199" t="s">
        <v>1587</v>
      </c>
      <c r="L1" s="199"/>
      <c r="M1" s="201"/>
      <c r="N1" s="213" t="s">
        <v>1509</v>
      </c>
      <c r="O1" s="213" t="s">
        <v>1510</v>
      </c>
    </row>
    <row r="2" ht="16" spans="1:15">
      <c r="A2" s="61" t="s">
        <v>5</v>
      </c>
      <c r="B2" s="61" t="s">
        <v>1588</v>
      </c>
      <c r="C2" s="61" t="s">
        <v>7</v>
      </c>
      <c r="D2" s="62">
        <v>41954</v>
      </c>
      <c r="E2" s="61" t="s">
        <v>1589</v>
      </c>
      <c r="F2" s="61">
        <v>110001</v>
      </c>
      <c r="G2" s="64">
        <v>9</v>
      </c>
      <c r="H2" s="64" t="s">
        <v>1495</v>
      </c>
      <c r="J2" s="214" t="b">
        <f>EXACT(C2,"Finance")</f>
        <v>1</v>
      </c>
      <c r="K2" s="204"/>
      <c r="L2" s="199"/>
      <c r="M2" s="201"/>
      <c r="N2" s="215" t="s">
        <v>1590</v>
      </c>
      <c r="O2" s="215" t="s">
        <v>1591</v>
      </c>
    </row>
    <row r="3" ht="16" spans="1:15">
      <c r="A3" s="61" t="s">
        <v>8</v>
      </c>
      <c r="B3" s="61" t="s">
        <v>1592</v>
      </c>
      <c r="C3" s="61" t="s">
        <v>10</v>
      </c>
      <c r="D3" s="62">
        <v>49855</v>
      </c>
      <c r="E3" s="61" t="s">
        <v>1593</v>
      </c>
      <c r="F3" s="61">
        <v>400001</v>
      </c>
      <c r="G3" s="64">
        <v>5</v>
      </c>
      <c r="H3" s="64" t="s">
        <v>1497</v>
      </c>
      <c r="J3" s="214" t="b">
        <f t="shared" ref="J3:J13" si="0">EXACT(C3,"Finance")</f>
        <v>0</v>
      </c>
      <c r="K3" s="216" t="s">
        <v>1594</v>
      </c>
      <c r="L3" s="78"/>
      <c r="M3" s="217"/>
      <c r="N3" s="215" t="s">
        <v>1595</v>
      </c>
      <c r="O3" s="215" t="s">
        <v>1596</v>
      </c>
    </row>
    <row r="4" ht="16" spans="1:15">
      <c r="A4" s="61" t="s">
        <v>11</v>
      </c>
      <c r="B4" s="61" t="s">
        <v>1597</v>
      </c>
      <c r="C4" s="61" t="s">
        <v>13</v>
      </c>
      <c r="D4" s="62">
        <v>94210</v>
      </c>
      <c r="E4" s="61" t="s">
        <v>1598</v>
      </c>
      <c r="F4" s="61">
        <v>411001</v>
      </c>
      <c r="G4" s="64">
        <v>3</v>
      </c>
      <c r="H4" s="64" t="s">
        <v>1498</v>
      </c>
      <c r="J4" s="214" t="b">
        <f t="shared" si="0"/>
        <v>0</v>
      </c>
      <c r="K4" s="216"/>
      <c r="L4" s="78"/>
      <c r="M4" s="217"/>
      <c r="N4" s="215" t="s">
        <v>1599</v>
      </c>
      <c r="O4" s="215" t="s">
        <v>1600</v>
      </c>
    </row>
    <row r="5" ht="16" spans="1:15">
      <c r="A5" s="61" t="s">
        <v>14</v>
      </c>
      <c r="B5" s="61" t="s">
        <v>1601</v>
      </c>
      <c r="C5" s="61" t="s">
        <v>7</v>
      </c>
      <c r="D5" s="62">
        <v>74689</v>
      </c>
      <c r="E5" s="61" t="s">
        <v>1602</v>
      </c>
      <c r="F5" s="61">
        <v>560001</v>
      </c>
      <c r="G5" s="64">
        <v>5</v>
      </c>
      <c r="H5" s="64" t="s">
        <v>1499</v>
      </c>
      <c r="J5" s="214" t="b">
        <f t="shared" si="0"/>
        <v>1</v>
      </c>
      <c r="K5" s="216"/>
      <c r="L5" s="78"/>
      <c r="M5" s="217"/>
      <c r="N5" s="215" t="s">
        <v>1603</v>
      </c>
      <c r="O5" s="215" t="s">
        <v>1604</v>
      </c>
    </row>
    <row r="6" ht="16" spans="1:15">
      <c r="A6" s="61" t="s">
        <v>16</v>
      </c>
      <c r="B6" s="61" t="s">
        <v>1605</v>
      </c>
      <c r="C6" s="61" t="s">
        <v>10</v>
      </c>
      <c r="D6" s="62">
        <v>41954</v>
      </c>
      <c r="E6" s="61" t="s">
        <v>1606</v>
      </c>
      <c r="F6" s="61">
        <v>500001</v>
      </c>
      <c r="G6" s="64">
        <v>7</v>
      </c>
      <c r="H6" s="64" t="s">
        <v>1500</v>
      </c>
      <c r="J6" s="214" t="b">
        <f t="shared" si="0"/>
        <v>0</v>
      </c>
      <c r="K6" s="216"/>
      <c r="L6" s="78"/>
      <c r="M6" s="217"/>
      <c r="N6" s="215" t="s">
        <v>1607</v>
      </c>
      <c r="O6" s="215" t="s">
        <v>1608</v>
      </c>
    </row>
    <row r="7" ht="16" spans="1:15">
      <c r="A7" s="61" t="s">
        <v>18</v>
      </c>
      <c r="B7" s="61" t="s">
        <v>1609</v>
      </c>
      <c r="C7" s="61" t="s">
        <v>10</v>
      </c>
      <c r="D7" s="62">
        <v>74820</v>
      </c>
      <c r="E7" s="61" t="s">
        <v>1610</v>
      </c>
      <c r="F7" s="61">
        <v>380001</v>
      </c>
      <c r="G7" s="64">
        <v>5</v>
      </c>
      <c r="H7" s="64" t="s">
        <v>1501</v>
      </c>
      <c r="J7" s="214" t="b">
        <f t="shared" si="0"/>
        <v>0</v>
      </c>
      <c r="K7" s="216"/>
      <c r="L7" s="78"/>
      <c r="M7" s="217"/>
      <c r="N7" s="215" t="s">
        <v>1611</v>
      </c>
      <c r="O7" s="215" t="s">
        <v>1612</v>
      </c>
    </row>
    <row r="8" ht="16" spans="1:15">
      <c r="A8" s="61" t="s">
        <v>19</v>
      </c>
      <c r="B8" s="61" t="s">
        <v>1613</v>
      </c>
      <c r="C8" s="61" t="s">
        <v>13</v>
      </c>
      <c r="D8" s="62">
        <v>85206</v>
      </c>
      <c r="E8" s="61" t="s">
        <v>1614</v>
      </c>
      <c r="F8" s="61">
        <v>700001</v>
      </c>
      <c r="G8" s="64">
        <v>6</v>
      </c>
      <c r="H8" s="64" t="s">
        <v>1495</v>
      </c>
      <c r="J8" s="214" t="b">
        <f t="shared" si="0"/>
        <v>0</v>
      </c>
      <c r="K8" s="207"/>
      <c r="N8" s="215" t="s">
        <v>1615</v>
      </c>
      <c r="O8" s="215" t="s">
        <v>1616</v>
      </c>
    </row>
    <row r="9" ht="16" spans="1:15">
      <c r="A9" s="61" t="s">
        <v>21</v>
      </c>
      <c r="B9" s="61" t="s">
        <v>1617</v>
      </c>
      <c r="C9" s="61" t="s">
        <v>7</v>
      </c>
      <c r="D9" s="62">
        <v>30924</v>
      </c>
      <c r="E9" s="61" t="s">
        <v>1618</v>
      </c>
      <c r="F9" s="61">
        <v>160017</v>
      </c>
      <c r="G9" s="64">
        <v>7</v>
      </c>
      <c r="H9" s="64" t="s">
        <v>1497</v>
      </c>
      <c r="J9" s="214" t="b">
        <f t="shared" si="0"/>
        <v>1</v>
      </c>
      <c r="N9" s="215" t="s">
        <v>1619</v>
      </c>
      <c r="O9" s="215" t="s">
        <v>1620</v>
      </c>
    </row>
    <row r="10" ht="16" spans="1:15">
      <c r="A10" s="61" t="s">
        <v>23</v>
      </c>
      <c r="B10" s="61" t="s">
        <v>1621</v>
      </c>
      <c r="C10" s="61" t="s">
        <v>10</v>
      </c>
      <c r="D10" s="62">
        <v>57737</v>
      </c>
      <c r="E10" s="61" t="s">
        <v>1622</v>
      </c>
      <c r="F10" s="61">
        <v>122001</v>
      </c>
      <c r="G10" s="64">
        <v>8</v>
      </c>
      <c r="H10" s="64" t="s">
        <v>1498</v>
      </c>
      <c r="J10" s="214" t="b">
        <f t="shared" si="0"/>
        <v>0</v>
      </c>
      <c r="N10" s="215" t="s">
        <v>1623</v>
      </c>
      <c r="O10" s="215" t="s">
        <v>1624</v>
      </c>
    </row>
    <row r="11" ht="16" spans="1:15">
      <c r="A11" s="61" t="s">
        <v>25</v>
      </c>
      <c r="B11" s="61" t="s">
        <v>1625</v>
      </c>
      <c r="C11" s="61" t="s">
        <v>13</v>
      </c>
      <c r="D11" s="62">
        <v>36000</v>
      </c>
      <c r="E11" s="61" t="s">
        <v>1626</v>
      </c>
      <c r="F11" s="61">
        <v>600001</v>
      </c>
      <c r="G11" s="64">
        <v>9</v>
      </c>
      <c r="H11" s="64" t="s">
        <v>1499</v>
      </c>
      <c r="J11" s="214" t="b">
        <f t="shared" si="0"/>
        <v>0</v>
      </c>
      <c r="N11" s="215" t="s">
        <v>1627</v>
      </c>
      <c r="O11" s="215" t="s">
        <v>1628</v>
      </c>
    </row>
    <row r="12" ht="16" spans="1:15">
      <c r="A12" s="61" t="s">
        <v>27</v>
      </c>
      <c r="B12" s="61" t="s">
        <v>1629</v>
      </c>
      <c r="C12" s="61" t="s">
        <v>13</v>
      </c>
      <c r="D12" s="62">
        <v>96371</v>
      </c>
      <c r="E12" s="61" t="s">
        <v>1630</v>
      </c>
      <c r="F12" s="61">
        <v>226001</v>
      </c>
      <c r="G12" s="64">
        <v>4</v>
      </c>
      <c r="H12" s="64" t="s">
        <v>1500</v>
      </c>
      <c r="J12" s="214" t="b">
        <f t="shared" si="0"/>
        <v>0</v>
      </c>
      <c r="N12" s="215" t="s">
        <v>1631</v>
      </c>
      <c r="O12" s="215" t="s">
        <v>1632</v>
      </c>
    </row>
    <row r="13" ht="16" spans="1:15">
      <c r="A13" s="61" t="s">
        <v>29</v>
      </c>
      <c r="B13" s="61" t="s">
        <v>1633</v>
      </c>
      <c r="C13" s="61" t="s">
        <v>10</v>
      </c>
      <c r="D13" s="62">
        <v>85028</v>
      </c>
      <c r="E13" s="61" t="s">
        <v>1634</v>
      </c>
      <c r="F13" s="61">
        <v>302001</v>
      </c>
      <c r="G13" s="64">
        <v>3</v>
      </c>
      <c r="H13" s="64" t="s">
        <v>1501</v>
      </c>
      <c r="J13" s="214" t="b">
        <f t="shared" si="0"/>
        <v>0</v>
      </c>
      <c r="N13" s="215" t="s">
        <v>1635</v>
      </c>
      <c r="O13" s="215" t="s">
        <v>1636</v>
      </c>
    </row>
    <row r="14" ht="16" spans="1:15">
      <c r="J14"/>
      <c r="N14" s="215" t="s">
        <v>1637</v>
      </c>
      <c r="O14" s="215" t="s">
        <v>1638</v>
      </c>
    </row>
    <row r="15" ht="16" spans="1:15">
      <c r="J15"/>
      <c r="N15" s="215" t="s">
        <v>1639</v>
      </c>
      <c r="O15" s="215" t="s">
        <v>1640</v>
      </c>
    </row>
    <row r="16" ht="16" spans="1:15">
      <c r="J16"/>
      <c r="N16" s="215" t="s">
        <v>1641</v>
      </c>
      <c r="O16" s="215" t="s">
        <v>1642</v>
      </c>
    </row>
    <row r="17" ht="16" spans="10:15">
      <c r="J17"/>
      <c r="N17" s="215" t="s">
        <v>1643</v>
      </c>
      <c r="O17" s="215" t="s">
        <v>1644</v>
      </c>
    </row>
    <row r="18" ht="15.25" spans="10:15">
      <c r="J18"/>
    </row>
    <row r="19" spans="10:15">
      <c r="J19"/>
    </row>
    <row r="20" spans="10:15">
      <c r="J20"/>
    </row>
    <row r="21" spans="10:15">
      <c r="J21"/>
    </row>
    <row r="22" spans="10:15">
      <c r="J22"/>
    </row>
    <row r="23" spans="10:15">
      <c r="J23"/>
    </row>
    <row r="24" spans="10:15">
      <c r="J24"/>
    </row>
    <row r="25" spans="10:15">
      <c r="J25"/>
    </row>
    <row r="26" spans="10:15">
      <c r="J26"/>
    </row>
    <row r="27" spans="10:15">
      <c r="J27"/>
    </row>
    <row r="28" spans="10:15">
      <c r="J28"/>
    </row>
    <row r="29" spans="10:15">
      <c r="J29"/>
    </row>
    <row r="30" spans="10:15">
      <c r="J30"/>
    </row>
    <row r="31" spans="10:15">
      <c r="J31"/>
    </row>
    <row r="32" spans="10:15">
      <c r="J32"/>
    </row>
    <row r="33" ht="15.5" spans="3:3">
      <c r="C33" s="210"/>
    </row>
  </sheetData>
  <mergeCells count="2">
    <mergeCell ref="K1:M2"/>
    <mergeCell ref="K3:M7"/>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3"/>
  <sheetViews>
    <sheetView zoomScale="83" zoomScaleNormal="83" workbookViewId="0">
      <selection activeCell="J18" sqref="J18"/>
    </sheetView>
  </sheetViews>
  <sheetFormatPr defaultColWidth="8.75454545454545" defaultRowHeight="14.5"/>
  <cols>
    <col min="1" max="1" width="11.6272727272727" customWidth="1"/>
    <col min="2" max="2" width="15.8727272727273" customWidth="1"/>
    <col min="3" max="3" width="10.8727272727273" customWidth="1"/>
    <col min="4" max="4" width="10.2545454545455" customWidth="1"/>
    <col min="5" max="5" width="11.3727272727273" customWidth="1"/>
    <col min="6" max="6" width="20.8727272727273" style="172" customWidth="1"/>
    <col min="7" max="7" width="20.8727272727273" style="192" customWidth="1"/>
    <col min="8" max="8" width="17.7545454545455" style="193" customWidth="1"/>
    <col min="10" max="10" width="22.8727272727273" style="193"/>
    <col min="12" max="12" width="15.3727272727273" customWidth="1"/>
    <col min="13" max="13" width="28" customWidth="1"/>
    <col min="15" max="15" width="11"/>
    <col min="17" max="17" width="8.62727272727273" customWidth="1"/>
  </cols>
  <sheetData>
    <row r="1" ht="16" spans="1:13">
      <c r="A1" s="194" t="s">
        <v>0</v>
      </c>
      <c r="B1" s="194" t="s">
        <v>1</v>
      </c>
      <c r="C1" s="195" t="s">
        <v>2</v>
      </c>
      <c r="D1" s="195" t="s">
        <v>3</v>
      </c>
      <c r="E1" s="196" t="s">
        <v>1584</v>
      </c>
      <c r="F1" s="196" t="s">
        <v>4</v>
      </c>
      <c r="G1" s="197" t="s">
        <v>1645</v>
      </c>
      <c r="H1" s="198" t="s">
        <v>1646</v>
      </c>
      <c r="I1" s="199" t="s">
        <v>1647</v>
      </c>
      <c r="J1" s="200"/>
      <c r="K1" s="201"/>
      <c r="L1" s="202" t="s">
        <v>1509</v>
      </c>
      <c r="M1" s="202" t="s">
        <v>1510</v>
      </c>
    </row>
    <row r="2" ht="16" spans="1:13">
      <c r="A2" s="61" t="s">
        <v>5</v>
      </c>
      <c r="B2" s="61" t="s">
        <v>1588</v>
      </c>
      <c r="C2" s="61" t="s">
        <v>7</v>
      </c>
      <c r="D2" s="62">
        <v>41954</v>
      </c>
      <c r="E2" s="61" t="s">
        <v>1589</v>
      </c>
      <c r="F2" s="63">
        <v>46204</v>
      </c>
      <c r="G2" s="63">
        <v>46386</v>
      </c>
      <c r="H2" s="203">
        <f>NETWORKDAYS(F2,G2,J10:J11)</f>
        <v>129</v>
      </c>
      <c r="I2" s="204"/>
      <c r="J2" s="200"/>
      <c r="K2" s="201"/>
      <c r="L2" s="205" t="s">
        <v>1648</v>
      </c>
      <c r="M2" s="205" t="s">
        <v>1649</v>
      </c>
    </row>
    <row r="3" ht="16" spans="1:13">
      <c r="A3" s="61" t="s">
        <v>8</v>
      </c>
      <c r="B3" s="61" t="s">
        <v>1592</v>
      </c>
      <c r="C3" s="61" t="s">
        <v>10</v>
      </c>
      <c r="D3" s="62">
        <v>49855</v>
      </c>
      <c r="E3" s="61" t="s">
        <v>1593</v>
      </c>
      <c r="F3" s="63">
        <v>46205</v>
      </c>
      <c r="G3" s="63">
        <v>46752</v>
      </c>
      <c r="H3" s="203">
        <f t="shared" ref="H3:H13" si="0">NETWORKDAYS(F3,G3,J11:J12)</f>
        <v>391</v>
      </c>
      <c r="I3" s="78" t="s">
        <v>1650</v>
      </c>
      <c r="J3" s="206"/>
      <c r="K3" s="78"/>
      <c r="L3" s="205" t="s">
        <v>1651</v>
      </c>
      <c r="M3" s="205" t="s">
        <v>1652</v>
      </c>
    </row>
    <row r="4" ht="16" spans="1:13">
      <c r="A4" s="61" t="s">
        <v>11</v>
      </c>
      <c r="B4" s="61" t="s">
        <v>1597</v>
      </c>
      <c r="C4" s="61" t="s">
        <v>13</v>
      </c>
      <c r="D4" s="62">
        <v>94210</v>
      </c>
      <c r="E4" s="61" t="s">
        <v>1598</v>
      </c>
      <c r="F4" s="63">
        <v>46206</v>
      </c>
      <c r="G4" s="63">
        <v>46539</v>
      </c>
      <c r="H4" s="203">
        <f t="shared" si="0"/>
        <v>238</v>
      </c>
      <c r="I4" s="78"/>
      <c r="J4" s="206"/>
      <c r="K4" s="78"/>
      <c r="L4" s="205" t="s">
        <v>1653</v>
      </c>
      <c r="M4" s="205" t="s">
        <v>1654</v>
      </c>
    </row>
    <row r="5" ht="16" spans="1:13">
      <c r="A5" s="61" t="s">
        <v>14</v>
      </c>
      <c r="B5" s="61" t="s">
        <v>1601</v>
      </c>
      <c r="C5" s="61" t="s">
        <v>7</v>
      </c>
      <c r="D5" s="62">
        <v>74689</v>
      </c>
      <c r="E5" s="61" t="s">
        <v>1602</v>
      </c>
      <c r="F5" s="63">
        <v>46207</v>
      </c>
      <c r="G5" s="63">
        <v>46479</v>
      </c>
      <c r="H5" s="203">
        <f t="shared" si="0"/>
        <v>195</v>
      </c>
      <c r="I5" s="78"/>
      <c r="J5" s="206"/>
      <c r="K5" s="78"/>
      <c r="L5" s="205" t="s">
        <v>1655</v>
      </c>
      <c r="M5" s="205" t="s">
        <v>1656</v>
      </c>
    </row>
    <row r="6" ht="16" spans="1:13">
      <c r="A6" s="61" t="s">
        <v>16</v>
      </c>
      <c r="B6" s="61" t="s">
        <v>1605</v>
      </c>
      <c r="C6" s="61" t="s">
        <v>10</v>
      </c>
      <c r="D6" s="62">
        <v>41954</v>
      </c>
      <c r="E6" s="61" t="s">
        <v>1606</v>
      </c>
      <c r="F6" s="63">
        <v>46208</v>
      </c>
      <c r="G6" s="63">
        <v>46694</v>
      </c>
      <c r="H6" s="203">
        <f t="shared" si="0"/>
        <v>348</v>
      </c>
      <c r="I6" s="78"/>
      <c r="J6" s="206"/>
      <c r="K6" s="78"/>
      <c r="L6" s="205" t="s">
        <v>1657</v>
      </c>
      <c r="M6" s="205" t="s">
        <v>1658</v>
      </c>
    </row>
    <row r="7" ht="16" spans="1:13">
      <c r="A7" s="61" t="s">
        <v>18</v>
      </c>
      <c r="B7" s="61" t="s">
        <v>1609</v>
      </c>
      <c r="C7" s="61" t="s">
        <v>10</v>
      </c>
      <c r="D7" s="62">
        <v>74820</v>
      </c>
      <c r="E7" s="61" t="s">
        <v>1610</v>
      </c>
      <c r="F7" s="63">
        <v>46209</v>
      </c>
      <c r="G7" s="63">
        <v>46450</v>
      </c>
      <c r="H7" s="203">
        <f t="shared" si="0"/>
        <v>174</v>
      </c>
      <c r="I7" s="78"/>
      <c r="J7" s="206"/>
      <c r="K7" s="78"/>
      <c r="L7" s="205" t="s">
        <v>1659</v>
      </c>
      <c r="M7" s="205" t="s">
        <v>1660</v>
      </c>
    </row>
    <row r="8" ht="16" spans="1:13">
      <c r="A8" s="61" t="s">
        <v>19</v>
      </c>
      <c r="B8" s="61" t="s">
        <v>1613</v>
      </c>
      <c r="C8" s="61" t="s">
        <v>13</v>
      </c>
      <c r="D8" s="62">
        <v>85206</v>
      </c>
      <c r="E8" s="61" t="s">
        <v>1614</v>
      </c>
      <c r="F8" s="63">
        <v>46210</v>
      </c>
      <c r="G8" s="63">
        <v>46512</v>
      </c>
      <c r="H8" s="203">
        <f t="shared" si="0"/>
        <v>217</v>
      </c>
      <c r="I8" s="207"/>
      <c r="L8" s="205" t="s">
        <v>1661</v>
      </c>
      <c r="M8" s="205" t="s">
        <v>1662</v>
      </c>
    </row>
    <row r="9" ht="16" spans="1:13">
      <c r="A9" s="61" t="s">
        <v>21</v>
      </c>
      <c r="B9" s="61" t="s">
        <v>1617</v>
      </c>
      <c r="C9" s="61" t="s">
        <v>7</v>
      </c>
      <c r="D9" s="62">
        <v>30924</v>
      </c>
      <c r="E9" s="61" t="s">
        <v>1618</v>
      </c>
      <c r="F9" s="63">
        <v>46211</v>
      </c>
      <c r="G9" s="63">
        <v>46413</v>
      </c>
      <c r="H9" s="203">
        <f t="shared" si="0"/>
        <v>145</v>
      </c>
      <c r="J9" s="208" t="s">
        <v>1663</v>
      </c>
      <c r="L9" s="205" t="s">
        <v>1664</v>
      </c>
      <c r="M9" s="205" t="s">
        <v>1665</v>
      </c>
    </row>
    <row r="10" ht="16" spans="1:13">
      <c r="A10" s="61" t="s">
        <v>23</v>
      </c>
      <c r="B10" s="61" t="s">
        <v>1621</v>
      </c>
      <c r="C10" s="61" t="s">
        <v>10</v>
      </c>
      <c r="D10" s="62">
        <v>57737</v>
      </c>
      <c r="E10" s="61" t="s">
        <v>1622</v>
      </c>
      <c r="F10" s="63">
        <v>46212</v>
      </c>
      <c r="G10" s="63">
        <v>46534</v>
      </c>
      <c r="H10" s="203">
        <f t="shared" si="0"/>
        <v>231</v>
      </c>
      <c r="J10" s="209">
        <v>46233</v>
      </c>
      <c r="L10" s="205" t="s">
        <v>1666</v>
      </c>
      <c r="M10" s="205" t="s">
        <v>1667</v>
      </c>
    </row>
    <row r="11" ht="16" spans="1:13">
      <c r="A11" s="61" t="s">
        <v>25</v>
      </c>
      <c r="B11" s="61" t="s">
        <v>1625</v>
      </c>
      <c r="C11" s="61" t="s">
        <v>13</v>
      </c>
      <c r="D11" s="62">
        <v>36000</v>
      </c>
      <c r="E11" s="61" t="s">
        <v>1626</v>
      </c>
      <c r="F11" s="63">
        <v>46213</v>
      </c>
      <c r="G11" s="63">
        <v>46395</v>
      </c>
      <c r="H11" s="203">
        <f t="shared" si="0"/>
        <v>131</v>
      </c>
      <c r="J11" s="209">
        <v>46238</v>
      </c>
      <c r="L11" s="205" t="s">
        <v>1668</v>
      </c>
      <c r="M11" s="205" t="s">
        <v>1669</v>
      </c>
    </row>
    <row r="12" ht="16" spans="1:13">
      <c r="A12" s="61" t="s">
        <v>27</v>
      </c>
      <c r="B12" s="61" t="s">
        <v>1629</v>
      </c>
      <c r="C12" s="61" t="s">
        <v>13</v>
      </c>
      <c r="D12" s="62">
        <v>96371</v>
      </c>
      <c r="E12" s="61" t="s">
        <v>1630</v>
      </c>
      <c r="F12" s="63">
        <v>46214</v>
      </c>
      <c r="G12" s="63">
        <v>46751</v>
      </c>
      <c r="H12" s="203">
        <f t="shared" si="0"/>
        <v>384</v>
      </c>
      <c r="L12" s="205" t="s">
        <v>1670</v>
      </c>
      <c r="M12" s="205" t="s">
        <v>1671</v>
      </c>
    </row>
    <row r="13" ht="16" spans="1:13">
      <c r="A13" s="61" t="s">
        <v>29</v>
      </c>
      <c r="B13" s="61" t="s">
        <v>1633</v>
      </c>
      <c r="C13" s="61" t="s">
        <v>10</v>
      </c>
      <c r="D13" s="62">
        <v>85028</v>
      </c>
      <c r="E13" s="61" t="s">
        <v>1634</v>
      </c>
      <c r="F13" s="63">
        <v>46215</v>
      </c>
      <c r="G13" s="63">
        <v>46397</v>
      </c>
      <c r="H13" s="203">
        <f t="shared" si="0"/>
        <v>130</v>
      </c>
    </row>
    <row r="14" ht="15.25"/>
    <row r="33" ht="15.5" spans="3:3">
      <c r="C33" s="210"/>
    </row>
  </sheetData>
  <mergeCells count="2">
    <mergeCell ref="I1:K2"/>
    <mergeCell ref="I3:K7"/>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36"/>
  <sheetViews>
    <sheetView zoomScale="74" zoomScaleNormal="74" topLeftCell="A209" workbookViewId="0">
      <selection activeCell="J226" sqref="J226"/>
    </sheetView>
  </sheetViews>
  <sheetFormatPr defaultColWidth="8.75454545454545" defaultRowHeight="14.5"/>
  <cols>
    <col min="1" max="1" width="11.6272727272727" customWidth="1"/>
    <col min="2" max="2" width="15.8727272727273" customWidth="1"/>
    <col min="3" max="3" width="10.8727272727273" customWidth="1"/>
    <col min="4" max="4" width="10.2545454545455" customWidth="1"/>
    <col min="5" max="5" width="11.3727272727273" customWidth="1"/>
    <col min="6" max="7" width="20.8727272727273" customWidth="1"/>
    <col min="8" max="8" width="17.7545454545455" customWidth="1"/>
    <col min="9" max="9" width="22.2545454545455" customWidth="1"/>
    <col min="10" max="10" width="17.7545454545455" customWidth="1"/>
    <col min="11" max="11" width="11.6272727272727" customWidth="1"/>
    <col min="12" max="12" width="16.8727272727273" customWidth="1"/>
    <col min="13" max="13" width="11" customWidth="1"/>
    <col min="14" max="14" width="11.6272727272727" customWidth="1"/>
    <col min="15" max="15" width="11.3727272727273" customWidth="1"/>
    <col min="16" max="16" width="16.8727272727273" customWidth="1"/>
    <col min="17" max="17" width="11.2545454545455" customWidth="1"/>
    <col min="18" max="18" width="9" customWidth="1"/>
    <col min="20" max="20" width="14.6272727272727" customWidth="1"/>
    <col min="21" max="21" width="18.3727272727273" customWidth="1"/>
  </cols>
  <sheetData>
    <row r="1" ht="16" spans="1:21">
      <c r="A1" s="153" t="s">
        <v>0</v>
      </c>
      <c r="B1" s="153" t="s">
        <v>1</v>
      </c>
      <c r="C1" s="153" t="s">
        <v>2</v>
      </c>
      <c r="D1" s="154" t="s">
        <v>3</v>
      </c>
      <c r="E1" s="155" t="s">
        <v>4</v>
      </c>
      <c r="F1" s="155" t="s">
        <v>1492</v>
      </c>
      <c r="G1" s="155" t="s">
        <v>1493</v>
      </c>
      <c r="H1" s="156" t="s">
        <v>1494</v>
      </c>
      <c r="I1" s="157" t="s">
        <v>1672</v>
      </c>
      <c r="J1" s="157"/>
      <c r="K1" s="158" t="s">
        <v>0</v>
      </c>
      <c r="L1" s="153" t="s">
        <v>1</v>
      </c>
      <c r="M1" s="153" t="s">
        <v>2</v>
      </c>
      <c r="N1" s="159" t="s">
        <v>3</v>
      </c>
      <c r="O1" s="155" t="s">
        <v>4</v>
      </c>
      <c r="P1" s="155" t="s">
        <v>1492</v>
      </c>
      <c r="Q1" s="155" t="s">
        <v>1493</v>
      </c>
      <c r="R1" s="155" t="s">
        <v>1494</v>
      </c>
      <c r="T1" s="160" t="s">
        <v>1509</v>
      </c>
      <c r="U1" s="160" t="s">
        <v>1510</v>
      </c>
    </row>
    <row r="2" ht="16" spans="1:21">
      <c r="A2" s="161" t="s">
        <v>5</v>
      </c>
      <c r="B2" s="161" t="s">
        <v>6</v>
      </c>
      <c r="C2" s="161" t="s">
        <v>7</v>
      </c>
      <c r="D2" s="162">
        <v>41954</v>
      </c>
      <c r="E2" s="163">
        <v>46023</v>
      </c>
      <c r="F2" s="164">
        <v>5</v>
      </c>
      <c r="G2" s="164">
        <v>9</v>
      </c>
      <c r="H2" s="165" t="s">
        <v>1495</v>
      </c>
      <c r="I2" s="166" t="s">
        <v>1673</v>
      </c>
      <c r="J2" s="167" t="s">
        <v>13</v>
      </c>
      <c r="K2" s="23" t="str" cm="1">
        <f t="array" ref="K2:R9">_xlfn._xlws.FILTER(A1:H21,C1:C21=J2)</f>
        <v>EMP003</v>
      </c>
      <c r="L2" s="23" t="str">
        <v>Employee_3</v>
      </c>
      <c r="M2" s="23" t="str">
        <v>Sales</v>
      </c>
      <c r="N2" s="168">
        <v>94210</v>
      </c>
      <c r="O2" s="169">
        <v>46025</v>
      </c>
      <c r="P2" s="23">
        <v>7</v>
      </c>
      <c r="Q2" s="23">
        <v>3</v>
      </c>
      <c r="R2" s="23" t="str">
        <v>Jhon</v>
      </c>
      <c r="T2" s="170" t="s">
        <v>1672</v>
      </c>
      <c r="U2" s="170" t="s">
        <v>1674</v>
      </c>
    </row>
    <row r="3" ht="16" spans="1:21">
      <c r="A3" s="161" t="s">
        <v>8</v>
      </c>
      <c r="B3" s="161" t="s">
        <v>9</v>
      </c>
      <c r="C3" s="161" t="s">
        <v>10</v>
      </c>
      <c r="D3" s="162">
        <v>49855</v>
      </c>
      <c r="E3" s="163">
        <v>46024</v>
      </c>
      <c r="F3" s="164">
        <v>6</v>
      </c>
      <c r="G3" s="164">
        <v>5</v>
      </c>
      <c r="H3" s="164" t="s">
        <v>1497</v>
      </c>
      <c r="K3" s="23" t="str">
        <v>EMP007</v>
      </c>
      <c r="L3" s="23" t="str">
        <v>Employee_7</v>
      </c>
      <c r="M3" s="23" t="str">
        <v>Sales</v>
      </c>
      <c r="N3" s="168">
        <v>85206</v>
      </c>
      <c r="O3" s="169">
        <v>46029</v>
      </c>
      <c r="P3" s="23">
        <v>3</v>
      </c>
      <c r="Q3" s="23">
        <v>6</v>
      </c>
      <c r="R3" s="23" t="str">
        <v>Dhanush</v>
      </c>
      <c r="T3" s="170" t="s">
        <v>1675</v>
      </c>
      <c r="U3" s="170" t="s">
        <v>1676</v>
      </c>
    </row>
    <row r="4" ht="16" spans="1:21">
      <c r="A4" s="161" t="s">
        <v>11</v>
      </c>
      <c r="B4" s="161" t="s">
        <v>12</v>
      </c>
      <c r="C4" s="161" t="s">
        <v>13</v>
      </c>
      <c r="D4" s="162">
        <v>94210</v>
      </c>
      <c r="E4" s="163">
        <v>46025</v>
      </c>
      <c r="F4" s="164">
        <v>7</v>
      </c>
      <c r="G4" s="164">
        <v>3</v>
      </c>
      <c r="H4" s="164" t="s">
        <v>1498</v>
      </c>
      <c r="K4" s="23" t="str">
        <v>EMP010</v>
      </c>
      <c r="L4" s="23" t="str">
        <v>Employee_10</v>
      </c>
      <c r="M4" s="23" t="str">
        <v>Sales</v>
      </c>
      <c r="N4" s="168">
        <v>36000</v>
      </c>
      <c r="O4" s="169">
        <v>46032</v>
      </c>
      <c r="P4" s="23">
        <v>9</v>
      </c>
      <c r="Q4" s="23">
        <v>9</v>
      </c>
      <c r="R4" s="23" t="str">
        <v>Marry</v>
      </c>
      <c r="T4" s="170" t="s">
        <v>1677</v>
      </c>
      <c r="U4" s="170" t="s">
        <v>1678</v>
      </c>
    </row>
    <row r="5" ht="16" spans="1:21">
      <c r="A5" s="161" t="s">
        <v>14</v>
      </c>
      <c r="B5" s="161" t="s">
        <v>15</v>
      </c>
      <c r="C5" s="161" t="s">
        <v>7</v>
      </c>
      <c r="D5" s="162">
        <v>74689</v>
      </c>
      <c r="E5" s="163">
        <v>46026</v>
      </c>
      <c r="F5" s="164">
        <v>8</v>
      </c>
      <c r="G5" s="164">
        <v>5</v>
      </c>
      <c r="H5" s="164" t="s">
        <v>1499</v>
      </c>
      <c r="K5" s="23" t="str">
        <v>EMP011</v>
      </c>
      <c r="L5" s="23" t="str">
        <v>Employee_11</v>
      </c>
      <c r="M5" s="23" t="str">
        <v>Sales</v>
      </c>
      <c r="N5" s="168">
        <v>96371</v>
      </c>
      <c r="O5" s="169">
        <v>46033</v>
      </c>
      <c r="P5" s="23">
        <v>5</v>
      </c>
      <c r="Q5" s="23">
        <v>4</v>
      </c>
      <c r="R5" s="23" t="str">
        <v>Crimson</v>
      </c>
      <c r="T5" s="170" t="s">
        <v>1679</v>
      </c>
      <c r="U5" s="170" t="s">
        <v>1680</v>
      </c>
    </row>
    <row r="6" ht="16" spans="1:21">
      <c r="A6" s="161" t="s">
        <v>16</v>
      </c>
      <c r="B6" s="161" t="s">
        <v>17</v>
      </c>
      <c r="C6" s="161" t="s">
        <v>10</v>
      </c>
      <c r="D6" s="162">
        <v>41954</v>
      </c>
      <c r="E6" s="163">
        <v>46027</v>
      </c>
      <c r="F6" s="164">
        <v>9</v>
      </c>
      <c r="G6" s="164">
        <v>7</v>
      </c>
      <c r="H6" s="164" t="s">
        <v>1500</v>
      </c>
      <c r="K6" s="23" t="str">
        <v>EMP015</v>
      </c>
      <c r="L6" s="23" t="str">
        <v>Employee_15</v>
      </c>
      <c r="M6" s="23" t="str">
        <v>Sales</v>
      </c>
      <c r="N6" s="168">
        <v>71737</v>
      </c>
      <c r="O6" s="169">
        <v>46037</v>
      </c>
      <c r="P6" s="23">
        <v>5</v>
      </c>
      <c r="Q6" s="23">
        <v>9</v>
      </c>
      <c r="R6" s="23" t="str">
        <v>Jhon</v>
      </c>
      <c r="T6" s="170" t="s">
        <v>1681</v>
      </c>
      <c r="U6" s="170" t="s">
        <v>1682</v>
      </c>
    </row>
    <row r="7" ht="16" spans="1:21">
      <c r="A7" s="161" t="s">
        <v>18</v>
      </c>
      <c r="B7" s="161" t="s">
        <v>12</v>
      </c>
      <c r="C7" s="161" t="s">
        <v>10</v>
      </c>
      <c r="D7" s="162">
        <v>74820</v>
      </c>
      <c r="E7" s="163">
        <v>46028</v>
      </c>
      <c r="F7" s="164">
        <v>4</v>
      </c>
      <c r="G7" s="164">
        <v>5</v>
      </c>
      <c r="H7" s="164" t="s">
        <v>1501</v>
      </c>
      <c r="K7" s="23" t="str">
        <v>EMP016</v>
      </c>
      <c r="L7" s="23" t="str">
        <v>Employee_16</v>
      </c>
      <c r="M7" s="23" t="str">
        <v>Sales</v>
      </c>
      <c r="N7" s="168">
        <v>89576</v>
      </c>
      <c r="O7" s="169">
        <v>46038</v>
      </c>
      <c r="P7" s="23">
        <v>6</v>
      </c>
      <c r="Q7" s="23">
        <v>5</v>
      </c>
      <c r="R7" s="23" t="str">
        <v>Marry</v>
      </c>
      <c r="T7" s="170" t="s">
        <v>1683</v>
      </c>
      <c r="U7" s="170" t="s">
        <v>1684</v>
      </c>
    </row>
    <row r="8" ht="16" spans="1:21">
      <c r="A8" s="161" t="s">
        <v>19</v>
      </c>
      <c r="B8" s="161" t="s">
        <v>20</v>
      </c>
      <c r="C8" s="161" t="s">
        <v>13</v>
      </c>
      <c r="D8" s="162">
        <v>85206</v>
      </c>
      <c r="E8" s="163">
        <v>46029</v>
      </c>
      <c r="F8" s="164">
        <v>3</v>
      </c>
      <c r="G8" s="164">
        <v>6</v>
      </c>
      <c r="H8" s="164" t="s">
        <v>1495</v>
      </c>
      <c r="K8" s="23" t="str">
        <v>EMP017</v>
      </c>
      <c r="L8" s="23" t="str">
        <v>Employee_17</v>
      </c>
      <c r="M8" s="23" t="str">
        <v>Sales</v>
      </c>
      <c r="N8" s="168">
        <v>45503</v>
      </c>
      <c r="O8" s="169">
        <v>46039</v>
      </c>
      <c r="P8" s="23">
        <v>7</v>
      </c>
      <c r="Q8" s="23">
        <v>3</v>
      </c>
      <c r="R8" s="23" t="str">
        <v>Crimson</v>
      </c>
      <c r="T8" s="170" t="s">
        <v>1685</v>
      </c>
      <c r="U8" s="170" t="s">
        <v>1686</v>
      </c>
    </row>
    <row r="9" ht="16" spans="1:21">
      <c r="A9" s="161" t="s">
        <v>21</v>
      </c>
      <c r="B9" s="161" t="s">
        <v>22</v>
      </c>
      <c r="C9" s="161" t="s">
        <v>7</v>
      </c>
      <c r="D9" s="162">
        <v>30924</v>
      </c>
      <c r="E9" s="163">
        <v>46030</v>
      </c>
      <c r="F9" s="164">
        <v>8</v>
      </c>
      <c r="G9" s="164">
        <v>7</v>
      </c>
      <c r="H9" s="164" t="s">
        <v>1497</v>
      </c>
      <c r="K9" s="23" t="str">
        <v>EMP020</v>
      </c>
      <c r="L9" s="23" t="str">
        <v>Employee_20</v>
      </c>
      <c r="M9" s="23" t="str">
        <v>Sales</v>
      </c>
      <c r="N9" s="168" t="str">
        <v>₹  97,208.00</v>
      </c>
      <c r="O9" s="169">
        <v>46042</v>
      </c>
      <c r="P9" s="23">
        <v>4</v>
      </c>
      <c r="Q9" s="23">
        <v>5</v>
      </c>
      <c r="R9" s="23" t="str">
        <v>Arun</v>
      </c>
      <c r="T9" s="170" t="s">
        <v>1687</v>
      </c>
      <c r="U9" s="170" t="s">
        <v>1688</v>
      </c>
    </row>
    <row r="10" ht="16" spans="1:21">
      <c r="A10" s="161" t="s">
        <v>23</v>
      </c>
      <c r="B10" s="161" t="s">
        <v>24</v>
      </c>
      <c r="C10" s="161" t="s">
        <v>10</v>
      </c>
      <c r="D10" s="162">
        <v>57737</v>
      </c>
      <c r="E10" s="163">
        <v>46031</v>
      </c>
      <c r="F10" s="164">
        <v>2</v>
      </c>
      <c r="G10" s="164">
        <v>8</v>
      </c>
      <c r="H10" s="164" t="s">
        <v>1498</v>
      </c>
      <c r="N10" s="171"/>
      <c r="O10" s="172"/>
      <c r="T10" s="170" t="s">
        <v>1689</v>
      </c>
      <c r="U10" s="170" t="s">
        <v>1690</v>
      </c>
    </row>
    <row r="11" ht="16" spans="1:21">
      <c r="A11" s="161" t="s">
        <v>25</v>
      </c>
      <c r="B11" s="161" t="s">
        <v>26</v>
      </c>
      <c r="C11" s="161" t="s">
        <v>13</v>
      </c>
      <c r="D11" s="162">
        <v>36000</v>
      </c>
      <c r="E11" s="163">
        <v>46032</v>
      </c>
      <c r="F11" s="164">
        <v>9</v>
      </c>
      <c r="G11" s="164">
        <v>9</v>
      </c>
      <c r="H11" s="164" t="s">
        <v>1499</v>
      </c>
      <c r="I11" s="173" t="s">
        <v>1691</v>
      </c>
      <c r="J11" s="174" t="s">
        <v>1495</v>
      </c>
      <c r="K11" s="158" t="s">
        <v>0</v>
      </c>
      <c r="L11" s="153" t="s">
        <v>1</v>
      </c>
      <c r="M11" s="153" t="s">
        <v>2</v>
      </c>
      <c r="N11" s="159" t="s">
        <v>3</v>
      </c>
      <c r="O11" s="155" t="s">
        <v>4</v>
      </c>
      <c r="P11" s="155" t="s">
        <v>1492</v>
      </c>
      <c r="Q11" s="155" t="s">
        <v>1493</v>
      </c>
      <c r="R11" s="155" t="s">
        <v>1494</v>
      </c>
      <c r="T11" s="170" t="s">
        <v>1692</v>
      </c>
      <c r="U11" s="170" t="s">
        <v>1693</v>
      </c>
    </row>
    <row r="12" ht="16" spans="1:21">
      <c r="A12" s="161" t="s">
        <v>27</v>
      </c>
      <c r="B12" s="161" t="s">
        <v>28</v>
      </c>
      <c r="C12" s="161" t="s">
        <v>13</v>
      </c>
      <c r="D12" s="162">
        <v>96371</v>
      </c>
      <c r="E12" s="163">
        <v>46033</v>
      </c>
      <c r="F12" s="164">
        <v>5</v>
      </c>
      <c r="G12" s="164">
        <v>4</v>
      </c>
      <c r="H12" s="164" t="s">
        <v>1500</v>
      </c>
      <c r="K12" s="23" t="str" cm="1">
        <f t="array" ref="K12:R15">_xlfn._xlws.FILTER(A1:H21,H1:H21=J11)</f>
        <v>EMP001</v>
      </c>
      <c r="L12" s="23" t="str">
        <v>Employee_1</v>
      </c>
      <c r="M12" s="23" t="str">
        <v>Finance</v>
      </c>
      <c r="N12" s="168">
        <v>41954</v>
      </c>
      <c r="O12" s="169">
        <v>46023</v>
      </c>
      <c r="P12" s="23">
        <v>5</v>
      </c>
      <c r="Q12" s="23">
        <v>9</v>
      </c>
      <c r="R12" s="23" t="str">
        <v>Dhanush</v>
      </c>
    </row>
    <row r="13" ht="16" spans="1:21">
      <c r="A13" s="161" t="s">
        <v>29</v>
      </c>
      <c r="B13" s="161" t="s">
        <v>30</v>
      </c>
      <c r="C13" s="161" t="s">
        <v>10</v>
      </c>
      <c r="D13" s="162">
        <v>85028</v>
      </c>
      <c r="E13" s="163">
        <v>46034</v>
      </c>
      <c r="F13" s="164">
        <v>3</v>
      </c>
      <c r="G13" s="164">
        <v>3</v>
      </c>
      <c r="H13" s="164" t="s">
        <v>1501</v>
      </c>
      <c r="K13" s="23" t="str">
        <v>EMP007</v>
      </c>
      <c r="L13" s="23" t="str">
        <v>Employee_7</v>
      </c>
      <c r="M13" s="23" t="str">
        <v>Sales</v>
      </c>
      <c r="N13" s="168">
        <v>85206</v>
      </c>
      <c r="O13" s="169">
        <v>46029</v>
      </c>
      <c r="P13" s="23">
        <v>3</v>
      </c>
      <c r="Q13" s="23">
        <v>6</v>
      </c>
      <c r="R13" s="23" t="str">
        <v>Dhanush</v>
      </c>
    </row>
    <row r="14" ht="16" spans="1:21">
      <c r="A14" s="161" t="s">
        <v>31</v>
      </c>
      <c r="B14" s="161" t="s">
        <v>32</v>
      </c>
      <c r="C14" s="161" t="s">
        <v>33</v>
      </c>
      <c r="D14" s="162">
        <v>51378</v>
      </c>
      <c r="E14" s="163">
        <v>46035</v>
      </c>
      <c r="F14" s="164">
        <v>5</v>
      </c>
      <c r="G14" s="164">
        <v>8</v>
      </c>
      <c r="H14" s="164" t="s">
        <v>1495</v>
      </c>
      <c r="K14" s="23" t="str">
        <v>EMP013</v>
      </c>
      <c r="L14" s="23" t="str">
        <v>Employee_13</v>
      </c>
      <c r="M14" s="23" t="str">
        <v>IT</v>
      </c>
      <c r="N14" s="168">
        <v>51378</v>
      </c>
      <c r="O14" s="169">
        <v>46035</v>
      </c>
      <c r="P14" s="23">
        <v>5</v>
      </c>
      <c r="Q14" s="23">
        <v>8</v>
      </c>
      <c r="R14" s="23" t="str">
        <v>Dhanush</v>
      </c>
    </row>
    <row r="15" ht="16" spans="1:21">
      <c r="A15" s="161" t="s">
        <v>34</v>
      </c>
      <c r="B15" s="161" t="s">
        <v>35</v>
      </c>
      <c r="C15" s="161" t="s">
        <v>7</v>
      </c>
      <c r="D15" s="162">
        <v>49898</v>
      </c>
      <c r="E15" s="163">
        <v>46036</v>
      </c>
      <c r="F15" s="164">
        <v>7</v>
      </c>
      <c r="G15" s="164">
        <v>2</v>
      </c>
      <c r="H15" s="164" t="s">
        <v>1497</v>
      </c>
      <c r="K15" s="23" t="str">
        <v>EMP019</v>
      </c>
      <c r="L15" s="23" t="str">
        <v>Employee_19</v>
      </c>
      <c r="M15" s="23" t="str">
        <v>IT</v>
      </c>
      <c r="N15" s="168" t="str">
        <v>₹  89,685.00</v>
      </c>
      <c r="O15" s="169">
        <v>46041</v>
      </c>
      <c r="P15" s="23">
        <v>9</v>
      </c>
      <c r="Q15" s="23">
        <v>7</v>
      </c>
      <c r="R15" s="23" t="str">
        <v>Dhanush</v>
      </c>
    </row>
    <row r="16" ht="16" spans="1:21">
      <c r="A16" s="161" t="s">
        <v>36</v>
      </c>
      <c r="B16" s="161" t="s">
        <v>37</v>
      </c>
      <c r="C16" s="161" t="s">
        <v>13</v>
      </c>
      <c r="D16" s="162">
        <v>71737</v>
      </c>
      <c r="E16" s="163">
        <v>46037</v>
      </c>
      <c r="F16" s="164">
        <v>5</v>
      </c>
      <c r="G16" s="164">
        <v>9</v>
      </c>
      <c r="H16" s="164" t="s">
        <v>1498</v>
      </c>
      <c r="N16" s="171"/>
      <c r="O16" s="172"/>
    </row>
    <row r="17" ht="16" spans="1:18">
      <c r="A17" s="161" t="s">
        <v>38</v>
      </c>
      <c r="B17" s="161" t="s">
        <v>39</v>
      </c>
      <c r="C17" s="161" t="s">
        <v>13</v>
      </c>
      <c r="D17" s="162">
        <v>89576</v>
      </c>
      <c r="E17" s="163">
        <v>46038</v>
      </c>
      <c r="F17" s="164">
        <v>6</v>
      </c>
      <c r="G17" s="164">
        <v>5</v>
      </c>
      <c r="H17" s="164" t="s">
        <v>1499</v>
      </c>
      <c r="I17" s="173" t="s">
        <v>1694</v>
      </c>
      <c r="J17" s="174">
        <v>5</v>
      </c>
      <c r="K17" s="158" t="s">
        <v>0</v>
      </c>
      <c r="L17" s="153" t="s">
        <v>1</v>
      </c>
      <c r="M17" s="153" t="s">
        <v>2</v>
      </c>
      <c r="N17" s="159" t="s">
        <v>3</v>
      </c>
      <c r="O17" s="155" t="s">
        <v>4</v>
      </c>
      <c r="P17" s="155" t="s">
        <v>1492</v>
      </c>
      <c r="Q17" s="155" t="s">
        <v>1493</v>
      </c>
      <c r="R17" s="155" t="s">
        <v>1494</v>
      </c>
    </row>
    <row r="18" ht="16" spans="1:18">
      <c r="A18" s="161" t="s">
        <v>40</v>
      </c>
      <c r="B18" s="161" t="s">
        <v>41</v>
      </c>
      <c r="C18" s="161" t="s">
        <v>13</v>
      </c>
      <c r="D18" s="162">
        <v>45503</v>
      </c>
      <c r="E18" s="163">
        <v>46039</v>
      </c>
      <c r="F18" s="164">
        <v>7</v>
      </c>
      <c r="G18" s="164">
        <v>3</v>
      </c>
      <c r="H18" s="164" t="s">
        <v>1500</v>
      </c>
      <c r="K18" s="23" t="str" cm="1">
        <f t="array" ref="K18:R23">_xlfn._xlws.FILTER(A1:H21,G1:G21=J17)</f>
        <v>EMP002</v>
      </c>
      <c r="L18" s="23" t="str">
        <v>Employee_2</v>
      </c>
      <c r="M18" s="23" t="str">
        <v>Operations</v>
      </c>
      <c r="N18" s="168">
        <v>49855</v>
      </c>
      <c r="O18" s="169">
        <v>46024</v>
      </c>
      <c r="P18" s="23">
        <v>6</v>
      </c>
      <c r="Q18" s="23">
        <v>5</v>
      </c>
      <c r="R18" s="23" t="str">
        <v>Arun</v>
      </c>
    </row>
    <row r="19" ht="16" spans="1:18">
      <c r="A19" s="161" t="s">
        <v>42</v>
      </c>
      <c r="B19" s="161" t="s">
        <v>43</v>
      </c>
      <c r="C19" s="161" t="s">
        <v>44</v>
      </c>
      <c r="D19" s="162" t="s">
        <v>45</v>
      </c>
      <c r="E19" s="163">
        <v>46040</v>
      </c>
      <c r="F19" s="164">
        <v>8</v>
      </c>
      <c r="G19" s="164">
        <v>5</v>
      </c>
      <c r="H19" s="164" t="s">
        <v>1501</v>
      </c>
      <c r="K19" s="23" t="str">
        <v>EMP004</v>
      </c>
      <c r="L19" s="23" t="str">
        <v>Employee_4</v>
      </c>
      <c r="M19" s="23" t="str">
        <v>Finance</v>
      </c>
      <c r="N19" s="168">
        <v>74689</v>
      </c>
      <c r="O19" s="169">
        <v>46026</v>
      </c>
      <c r="P19" s="23">
        <v>8</v>
      </c>
      <c r="Q19" s="23">
        <v>5</v>
      </c>
      <c r="R19" s="23" t="str">
        <v>Marry</v>
      </c>
    </row>
    <row r="20" ht="16" spans="1:18">
      <c r="A20" s="161" t="s">
        <v>46</v>
      </c>
      <c r="B20" s="161" t="s">
        <v>47</v>
      </c>
      <c r="C20" s="161" t="s">
        <v>33</v>
      </c>
      <c r="D20" s="162" t="s">
        <v>48</v>
      </c>
      <c r="E20" s="163">
        <v>46041</v>
      </c>
      <c r="F20" s="164">
        <v>9</v>
      </c>
      <c r="G20" s="164">
        <v>7</v>
      </c>
      <c r="H20" s="164" t="s">
        <v>1495</v>
      </c>
      <c r="K20" s="23" t="str">
        <v>EMP006</v>
      </c>
      <c r="L20" s="23" t="str">
        <v>Employee_3</v>
      </c>
      <c r="M20" s="23" t="str">
        <v>Operations</v>
      </c>
      <c r="N20" s="168">
        <v>74820</v>
      </c>
      <c r="O20" s="169">
        <v>46028</v>
      </c>
      <c r="P20" s="23">
        <v>4</v>
      </c>
      <c r="Q20" s="23">
        <v>5</v>
      </c>
      <c r="R20" s="23" t="str">
        <v>Bob</v>
      </c>
    </row>
    <row r="21" ht="16" spans="1:18">
      <c r="A21" s="161" t="s">
        <v>49</v>
      </c>
      <c r="B21" s="161" t="s">
        <v>50</v>
      </c>
      <c r="C21" s="161" t="s">
        <v>13</v>
      </c>
      <c r="D21" s="162" t="s">
        <v>51</v>
      </c>
      <c r="E21" s="163">
        <v>46042</v>
      </c>
      <c r="F21" s="164">
        <v>4</v>
      </c>
      <c r="G21" s="164">
        <v>5</v>
      </c>
      <c r="H21" s="164" t="s">
        <v>1497</v>
      </c>
      <c r="K21" s="23" t="str">
        <v>EMP016</v>
      </c>
      <c r="L21" s="23" t="str">
        <v>Employee_16</v>
      </c>
      <c r="M21" s="23" t="str">
        <v>Sales</v>
      </c>
      <c r="N21" s="168">
        <v>89576</v>
      </c>
      <c r="O21" s="169">
        <v>46038</v>
      </c>
      <c r="P21" s="23">
        <v>6</v>
      </c>
      <c r="Q21" s="23">
        <v>5</v>
      </c>
      <c r="R21" s="23" t="str">
        <v>Marry</v>
      </c>
    </row>
    <row r="22" ht="16" spans="1:18">
      <c r="K22" s="23" t="str">
        <v>EMP018</v>
      </c>
      <c r="L22" s="23" t="str">
        <v>Employee_18</v>
      </c>
      <c r="M22" s="23" t="str">
        <v>HR</v>
      </c>
      <c r="N22" s="168" t="str">
        <v>₹  54,752.00</v>
      </c>
      <c r="O22" s="169">
        <v>46040</v>
      </c>
      <c r="P22" s="23">
        <v>8</v>
      </c>
      <c r="Q22" s="23">
        <v>5</v>
      </c>
      <c r="R22" s="23" t="str">
        <v>Bob</v>
      </c>
    </row>
    <row r="23" ht="15.25" spans="1:18">
      <c r="K23" s="23" t="str">
        <v>EMP020</v>
      </c>
      <c r="L23" s="23" t="str">
        <v>Employee_20</v>
      </c>
      <c r="M23" s="23" t="str">
        <v>Sales</v>
      </c>
      <c r="N23" s="175" t="str">
        <v>₹  97,208.00</v>
      </c>
      <c r="O23" s="169">
        <v>46042</v>
      </c>
      <c r="P23" s="23">
        <v>4</v>
      </c>
      <c r="Q23" s="23">
        <v>5</v>
      </c>
      <c r="R23" s="23" t="str">
        <v>Arun</v>
      </c>
    </row>
    <row r="24" spans="1:18">
      <c r="N24" s="171"/>
      <c r="O24" s="172"/>
    </row>
    <row r="25" ht="15.25" spans="1:18">
      <c r="N25" s="171"/>
      <c r="O25" s="172"/>
    </row>
    <row r="26" ht="16" spans="1:18">
      <c r="A26" s="153" t="s">
        <v>0</v>
      </c>
      <c r="B26" s="153" t="s">
        <v>1</v>
      </c>
      <c r="C26" s="153" t="s">
        <v>2</v>
      </c>
      <c r="D26" s="154" t="s">
        <v>3</v>
      </c>
      <c r="E26" s="155" t="s">
        <v>4</v>
      </c>
      <c r="F26" s="155" t="s">
        <v>1492</v>
      </c>
      <c r="G26" s="155" t="s">
        <v>1493</v>
      </c>
      <c r="H26" s="176" t="s">
        <v>1494</v>
      </c>
      <c r="I26" s="157" t="s">
        <v>1675</v>
      </c>
      <c r="J26" s="157"/>
      <c r="K26" s="158" t="str" cm="1">
        <f t="array" ref="K26:R46">_xlfn._xlws.SORT(A26:H46,4,-1)</f>
        <v>Employee ID</v>
      </c>
      <c r="L26" s="153" t="str">
        <v>Name</v>
      </c>
      <c r="M26" s="153" t="str">
        <v>Department</v>
      </c>
      <c r="N26" s="159" t="str">
        <v>Salary</v>
      </c>
      <c r="O26" s="155" t="str">
        <v>Joining Date</v>
      </c>
      <c r="P26" s="155" t="str">
        <v>Performance_Rate</v>
      </c>
      <c r="Q26" s="155" t="str">
        <v>No_Projects</v>
      </c>
      <c r="R26" s="155" t="str">
        <v>Manager</v>
      </c>
    </row>
    <row r="27" ht="16" spans="1:18">
      <c r="A27" s="161" t="s">
        <v>5</v>
      </c>
      <c r="B27" s="161" t="s">
        <v>6</v>
      </c>
      <c r="C27" s="161" t="s">
        <v>7</v>
      </c>
      <c r="D27" s="162">
        <v>41954</v>
      </c>
      <c r="E27" s="163">
        <v>46023</v>
      </c>
      <c r="F27" s="164">
        <v>5</v>
      </c>
      <c r="G27" s="165">
        <v>9</v>
      </c>
      <c r="H27" s="177" t="s">
        <v>1495</v>
      </c>
      <c r="K27" s="23" t="str">
        <v>EMP020</v>
      </c>
      <c r="L27" s="23" t="str">
        <v>Employee_20</v>
      </c>
      <c r="M27" s="23" t="str">
        <v>Sales</v>
      </c>
      <c r="N27" s="168" t="str">
        <v>₹  97,208.00</v>
      </c>
      <c r="O27" s="169">
        <v>46042</v>
      </c>
      <c r="P27" s="23">
        <v>4</v>
      </c>
      <c r="Q27" s="23">
        <v>5</v>
      </c>
      <c r="R27" s="23" t="str">
        <v>Arun</v>
      </c>
    </row>
    <row r="28" ht="16" spans="1:18">
      <c r="A28" s="161" t="s">
        <v>8</v>
      </c>
      <c r="B28" s="161" t="s">
        <v>9</v>
      </c>
      <c r="C28" s="161" t="s">
        <v>10</v>
      </c>
      <c r="D28" s="162">
        <v>49855</v>
      </c>
      <c r="E28" s="163">
        <v>46024</v>
      </c>
      <c r="F28" s="164">
        <v>6</v>
      </c>
      <c r="G28" s="164">
        <v>5</v>
      </c>
      <c r="H28" s="177" t="s">
        <v>1497</v>
      </c>
      <c r="K28" s="23" t="str">
        <v>EMP019</v>
      </c>
      <c r="L28" s="23" t="str">
        <v>Employee_19</v>
      </c>
      <c r="M28" s="23" t="str">
        <v>IT</v>
      </c>
      <c r="N28" s="168" t="str">
        <v>₹  89,685.00</v>
      </c>
      <c r="O28" s="169">
        <v>46041</v>
      </c>
      <c r="P28" s="23">
        <v>9</v>
      </c>
      <c r="Q28" s="23">
        <v>7</v>
      </c>
      <c r="R28" s="23" t="str">
        <v>Dhanush</v>
      </c>
    </row>
    <row r="29" ht="16" spans="1:18">
      <c r="A29" s="161" t="s">
        <v>11</v>
      </c>
      <c r="B29" s="161" t="s">
        <v>12</v>
      </c>
      <c r="C29" s="161" t="s">
        <v>13</v>
      </c>
      <c r="D29" s="162">
        <v>94210</v>
      </c>
      <c r="E29" s="163">
        <v>46025</v>
      </c>
      <c r="F29" s="164">
        <v>7</v>
      </c>
      <c r="G29" s="164">
        <v>3</v>
      </c>
      <c r="H29" s="164" t="s">
        <v>1498</v>
      </c>
      <c r="K29" s="23" t="str">
        <v>EMP018</v>
      </c>
      <c r="L29" s="23" t="str">
        <v>Employee_18</v>
      </c>
      <c r="M29" s="23" t="str">
        <v>HR</v>
      </c>
      <c r="N29" s="168" t="str">
        <v>₹  54,752.00</v>
      </c>
      <c r="O29" s="169">
        <v>46040</v>
      </c>
      <c r="P29" s="23">
        <v>8</v>
      </c>
      <c r="Q29" s="23">
        <v>5</v>
      </c>
      <c r="R29" s="23" t="str">
        <v>Bob</v>
      </c>
    </row>
    <row r="30" ht="16" spans="1:18">
      <c r="A30" s="161" t="s">
        <v>14</v>
      </c>
      <c r="B30" s="161" t="s">
        <v>15</v>
      </c>
      <c r="C30" s="161" t="s">
        <v>7</v>
      </c>
      <c r="D30" s="162">
        <v>74689</v>
      </c>
      <c r="E30" s="163">
        <v>46026</v>
      </c>
      <c r="F30" s="164">
        <v>8</v>
      </c>
      <c r="G30" s="164">
        <v>5</v>
      </c>
      <c r="H30" s="164" t="s">
        <v>1499</v>
      </c>
      <c r="K30" s="23" t="str">
        <v>EMP011</v>
      </c>
      <c r="L30" s="23" t="str">
        <v>Employee_11</v>
      </c>
      <c r="M30" s="23" t="str">
        <v>Sales</v>
      </c>
      <c r="N30" s="168">
        <v>96371</v>
      </c>
      <c r="O30" s="169">
        <v>46033</v>
      </c>
      <c r="P30" s="23">
        <v>5</v>
      </c>
      <c r="Q30" s="23">
        <v>4</v>
      </c>
      <c r="R30" s="23" t="str">
        <v>Crimson</v>
      </c>
    </row>
    <row r="31" ht="16" spans="1:18">
      <c r="A31" s="161" t="s">
        <v>16</v>
      </c>
      <c r="B31" s="161" t="s">
        <v>17</v>
      </c>
      <c r="C31" s="161" t="s">
        <v>10</v>
      </c>
      <c r="D31" s="162">
        <v>41954</v>
      </c>
      <c r="E31" s="163">
        <v>46027</v>
      </c>
      <c r="F31" s="164">
        <v>9</v>
      </c>
      <c r="G31" s="164">
        <v>7</v>
      </c>
      <c r="H31" s="164" t="s">
        <v>1500</v>
      </c>
      <c r="K31" s="23" t="str">
        <v>EMP003</v>
      </c>
      <c r="L31" s="23" t="str">
        <v>Employee_3</v>
      </c>
      <c r="M31" s="23" t="str">
        <v>Sales</v>
      </c>
      <c r="N31" s="168">
        <v>94210</v>
      </c>
      <c r="O31" s="169">
        <v>46025</v>
      </c>
      <c r="P31" s="23">
        <v>7</v>
      </c>
      <c r="Q31" s="23">
        <v>3</v>
      </c>
      <c r="R31" s="23" t="str">
        <v>Jhon</v>
      </c>
    </row>
    <row r="32" ht="16" spans="1:18">
      <c r="A32" s="161" t="s">
        <v>18</v>
      </c>
      <c r="B32" s="161" t="s">
        <v>12</v>
      </c>
      <c r="C32" s="161" t="s">
        <v>10</v>
      </c>
      <c r="D32" s="162">
        <v>74820</v>
      </c>
      <c r="E32" s="163">
        <v>46028</v>
      </c>
      <c r="F32" s="164">
        <v>4</v>
      </c>
      <c r="G32" s="164">
        <v>5</v>
      </c>
      <c r="H32" s="164" t="s">
        <v>1501</v>
      </c>
      <c r="K32" s="23" t="str">
        <v>EMP016</v>
      </c>
      <c r="L32" s="23" t="str">
        <v>Employee_16</v>
      </c>
      <c r="M32" s="23" t="str">
        <v>Sales</v>
      </c>
      <c r="N32" s="168">
        <v>89576</v>
      </c>
      <c r="O32" s="169">
        <v>46038</v>
      </c>
      <c r="P32" s="23">
        <v>6</v>
      </c>
      <c r="Q32" s="23">
        <v>5</v>
      </c>
      <c r="R32" s="23" t="str">
        <v>Marry</v>
      </c>
    </row>
    <row r="33" ht="16" spans="1:18">
      <c r="A33" s="161" t="s">
        <v>19</v>
      </c>
      <c r="B33" s="161" t="s">
        <v>20</v>
      </c>
      <c r="C33" s="161" t="s">
        <v>13</v>
      </c>
      <c r="D33" s="162">
        <v>85206</v>
      </c>
      <c r="E33" s="163">
        <v>46029</v>
      </c>
      <c r="F33" s="164">
        <v>3</v>
      </c>
      <c r="G33" s="164">
        <v>6</v>
      </c>
      <c r="H33" s="164" t="s">
        <v>1495</v>
      </c>
      <c r="K33" s="23" t="str">
        <v>EMP007</v>
      </c>
      <c r="L33" s="23" t="str">
        <v>Employee_7</v>
      </c>
      <c r="M33" s="23" t="str">
        <v>Sales</v>
      </c>
      <c r="N33" s="168">
        <v>85206</v>
      </c>
      <c r="O33" s="169">
        <v>46029</v>
      </c>
      <c r="P33" s="23">
        <v>3</v>
      </c>
      <c r="Q33" s="23">
        <v>6</v>
      </c>
      <c r="R33" s="23" t="str">
        <v>Dhanush</v>
      </c>
    </row>
    <row r="34" ht="16" spans="1:18">
      <c r="A34" s="161" t="s">
        <v>21</v>
      </c>
      <c r="B34" s="161" t="s">
        <v>22</v>
      </c>
      <c r="C34" s="161" t="s">
        <v>7</v>
      </c>
      <c r="D34" s="162">
        <v>30924</v>
      </c>
      <c r="E34" s="163">
        <v>46030</v>
      </c>
      <c r="F34" s="164">
        <v>8</v>
      </c>
      <c r="G34" s="164">
        <v>7</v>
      </c>
      <c r="H34" s="164" t="s">
        <v>1497</v>
      </c>
      <c r="K34" s="23" t="str">
        <v>EMP012</v>
      </c>
      <c r="L34" s="23" t="str">
        <v>Employee_12</v>
      </c>
      <c r="M34" s="23" t="str">
        <v>Operations</v>
      </c>
      <c r="N34" s="168">
        <v>85028</v>
      </c>
      <c r="O34" s="169">
        <v>46034</v>
      </c>
      <c r="P34" s="23">
        <v>3</v>
      </c>
      <c r="Q34" s="23">
        <v>3</v>
      </c>
      <c r="R34" s="23" t="str">
        <v>Bob</v>
      </c>
    </row>
    <row r="35" ht="16" spans="1:18">
      <c r="A35" s="161" t="s">
        <v>23</v>
      </c>
      <c r="B35" s="161" t="s">
        <v>24</v>
      </c>
      <c r="C35" s="161" t="s">
        <v>10</v>
      </c>
      <c r="D35" s="162">
        <v>57737</v>
      </c>
      <c r="E35" s="163">
        <v>46031</v>
      </c>
      <c r="F35" s="164">
        <v>2</v>
      </c>
      <c r="G35" s="164">
        <v>8</v>
      </c>
      <c r="H35" s="164" t="s">
        <v>1498</v>
      </c>
      <c r="K35" s="23" t="str">
        <v>EMP006</v>
      </c>
      <c r="L35" s="23" t="str">
        <v>Employee_3</v>
      </c>
      <c r="M35" s="23" t="str">
        <v>Operations</v>
      </c>
      <c r="N35" s="168">
        <v>74820</v>
      </c>
      <c r="O35" s="169">
        <v>46028</v>
      </c>
      <c r="P35" s="23">
        <v>4</v>
      </c>
      <c r="Q35" s="23">
        <v>5</v>
      </c>
      <c r="R35" s="23" t="str">
        <v>Bob</v>
      </c>
    </row>
    <row r="36" ht="16" spans="1:18">
      <c r="A36" s="161" t="s">
        <v>25</v>
      </c>
      <c r="B36" s="161" t="s">
        <v>26</v>
      </c>
      <c r="C36" s="161" t="s">
        <v>13</v>
      </c>
      <c r="D36" s="162">
        <v>36000</v>
      </c>
      <c r="E36" s="163">
        <v>46032</v>
      </c>
      <c r="F36" s="164">
        <v>9</v>
      </c>
      <c r="G36" s="164">
        <v>9</v>
      </c>
      <c r="H36" s="164" t="s">
        <v>1499</v>
      </c>
      <c r="K36" s="23" t="str">
        <v>EMP004</v>
      </c>
      <c r="L36" s="23" t="str">
        <v>Employee_4</v>
      </c>
      <c r="M36" s="23" t="str">
        <v>Finance</v>
      </c>
      <c r="N36" s="168">
        <v>74689</v>
      </c>
      <c r="O36" s="169">
        <v>46026</v>
      </c>
      <c r="P36" s="23">
        <v>8</v>
      </c>
      <c r="Q36" s="23">
        <v>5</v>
      </c>
      <c r="R36" s="23" t="str">
        <v>Marry</v>
      </c>
    </row>
    <row r="37" ht="16" spans="1:18">
      <c r="A37" s="161" t="s">
        <v>27</v>
      </c>
      <c r="B37" s="161" t="s">
        <v>28</v>
      </c>
      <c r="C37" s="161" t="s">
        <v>13</v>
      </c>
      <c r="D37" s="162">
        <v>96371</v>
      </c>
      <c r="E37" s="163">
        <v>46033</v>
      </c>
      <c r="F37" s="164">
        <v>5</v>
      </c>
      <c r="G37" s="164">
        <v>4</v>
      </c>
      <c r="H37" s="164" t="s">
        <v>1500</v>
      </c>
      <c r="K37" s="23" t="str">
        <v>EMP015</v>
      </c>
      <c r="L37" s="23" t="str">
        <v>Employee_15</v>
      </c>
      <c r="M37" s="23" t="str">
        <v>Sales</v>
      </c>
      <c r="N37" s="168">
        <v>71737</v>
      </c>
      <c r="O37" s="169">
        <v>46037</v>
      </c>
      <c r="P37" s="23">
        <v>5</v>
      </c>
      <c r="Q37" s="23">
        <v>9</v>
      </c>
      <c r="R37" s="23" t="str">
        <v>Jhon</v>
      </c>
    </row>
    <row r="38" ht="16" spans="1:18">
      <c r="A38" s="161" t="s">
        <v>29</v>
      </c>
      <c r="B38" s="161" t="s">
        <v>30</v>
      </c>
      <c r="C38" s="161" t="s">
        <v>10</v>
      </c>
      <c r="D38" s="162">
        <v>85028</v>
      </c>
      <c r="E38" s="163">
        <v>46034</v>
      </c>
      <c r="F38" s="164">
        <v>3</v>
      </c>
      <c r="G38" s="164">
        <v>3</v>
      </c>
      <c r="H38" s="164" t="s">
        <v>1501</v>
      </c>
      <c r="K38" s="23" t="str">
        <v>EMP009</v>
      </c>
      <c r="L38" s="23" t="str">
        <v>Employee_9</v>
      </c>
      <c r="M38" s="23" t="str">
        <v>Operations</v>
      </c>
      <c r="N38" s="168">
        <v>57737</v>
      </c>
      <c r="O38" s="169">
        <v>46031</v>
      </c>
      <c r="P38" s="23">
        <v>2</v>
      </c>
      <c r="Q38" s="23">
        <v>8</v>
      </c>
      <c r="R38" s="23" t="str">
        <v>Jhon</v>
      </c>
    </row>
    <row r="39" ht="16" spans="1:18">
      <c r="A39" s="161" t="s">
        <v>31</v>
      </c>
      <c r="B39" s="161" t="s">
        <v>32</v>
      </c>
      <c r="C39" s="161" t="s">
        <v>33</v>
      </c>
      <c r="D39" s="162">
        <v>51378</v>
      </c>
      <c r="E39" s="163">
        <v>46035</v>
      </c>
      <c r="F39" s="164">
        <v>5</v>
      </c>
      <c r="G39" s="164">
        <v>8</v>
      </c>
      <c r="H39" s="164" t="s">
        <v>1495</v>
      </c>
      <c r="K39" s="23" t="str">
        <v>EMP013</v>
      </c>
      <c r="L39" s="23" t="str">
        <v>Employee_13</v>
      </c>
      <c r="M39" s="23" t="str">
        <v>IT</v>
      </c>
      <c r="N39" s="168">
        <v>51378</v>
      </c>
      <c r="O39" s="169">
        <v>46035</v>
      </c>
      <c r="P39" s="23">
        <v>5</v>
      </c>
      <c r="Q39" s="23">
        <v>8</v>
      </c>
      <c r="R39" s="23" t="str">
        <v>Dhanush</v>
      </c>
    </row>
    <row r="40" ht="16" spans="1:18">
      <c r="A40" s="161" t="s">
        <v>34</v>
      </c>
      <c r="B40" s="161" t="s">
        <v>35</v>
      </c>
      <c r="C40" s="161" t="s">
        <v>7</v>
      </c>
      <c r="D40" s="162">
        <v>49898</v>
      </c>
      <c r="E40" s="163">
        <v>46036</v>
      </c>
      <c r="F40" s="164">
        <v>7</v>
      </c>
      <c r="G40" s="164">
        <v>2</v>
      </c>
      <c r="H40" s="164" t="s">
        <v>1497</v>
      </c>
      <c r="K40" s="23" t="str">
        <v>EMP014</v>
      </c>
      <c r="L40" s="23" t="str">
        <v>Employee_14</v>
      </c>
      <c r="M40" s="23" t="str">
        <v>Finance</v>
      </c>
      <c r="N40" s="168">
        <v>49898</v>
      </c>
      <c r="O40" s="169">
        <v>46036</v>
      </c>
      <c r="P40" s="23">
        <v>7</v>
      </c>
      <c r="Q40" s="23">
        <v>2</v>
      </c>
      <c r="R40" s="23" t="str">
        <v>Arun</v>
      </c>
    </row>
    <row r="41" ht="16" spans="1:18">
      <c r="A41" s="161" t="s">
        <v>36</v>
      </c>
      <c r="B41" s="161" t="s">
        <v>37</v>
      </c>
      <c r="C41" s="161" t="s">
        <v>13</v>
      </c>
      <c r="D41" s="162">
        <v>71737</v>
      </c>
      <c r="E41" s="163">
        <v>46037</v>
      </c>
      <c r="F41" s="164">
        <v>5</v>
      </c>
      <c r="G41" s="164">
        <v>9</v>
      </c>
      <c r="H41" s="164" t="s">
        <v>1498</v>
      </c>
      <c r="K41" s="23" t="str">
        <v>EMP002</v>
      </c>
      <c r="L41" s="23" t="str">
        <v>Employee_2</v>
      </c>
      <c r="M41" s="23" t="str">
        <v>Operations</v>
      </c>
      <c r="N41" s="168">
        <v>49855</v>
      </c>
      <c r="O41" s="169">
        <v>46024</v>
      </c>
      <c r="P41" s="23">
        <v>6</v>
      </c>
      <c r="Q41" s="23">
        <v>5</v>
      </c>
      <c r="R41" s="23" t="str">
        <v>Arun</v>
      </c>
    </row>
    <row r="42" ht="16" spans="1:18">
      <c r="A42" s="161" t="s">
        <v>38</v>
      </c>
      <c r="B42" s="161" t="s">
        <v>39</v>
      </c>
      <c r="C42" s="161" t="s">
        <v>13</v>
      </c>
      <c r="D42" s="162">
        <v>89576</v>
      </c>
      <c r="E42" s="163">
        <v>46038</v>
      </c>
      <c r="F42" s="164">
        <v>6</v>
      </c>
      <c r="G42" s="164">
        <v>5</v>
      </c>
      <c r="H42" s="164" t="s">
        <v>1499</v>
      </c>
      <c r="K42" s="23" t="str">
        <v>EMP017</v>
      </c>
      <c r="L42" s="23" t="str">
        <v>Employee_17</v>
      </c>
      <c r="M42" s="23" t="str">
        <v>Sales</v>
      </c>
      <c r="N42" s="168">
        <v>45503</v>
      </c>
      <c r="O42" s="169">
        <v>46039</v>
      </c>
      <c r="P42" s="23">
        <v>7</v>
      </c>
      <c r="Q42" s="23">
        <v>3</v>
      </c>
      <c r="R42" s="23" t="str">
        <v>Crimson</v>
      </c>
    </row>
    <row r="43" ht="16" spans="1:18">
      <c r="A43" s="161" t="s">
        <v>40</v>
      </c>
      <c r="B43" s="161" t="s">
        <v>41</v>
      </c>
      <c r="C43" s="161" t="s">
        <v>13</v>
      </c>
      <c r="D43" s="162">
        <v>45503</v>
      </c>
      <c r="E43" s="163">
        <v>46039</v>
      </c>
      <c r="F43" s="164">
        <v>7</v>
      </c>
      <c r="G43" s="164">
        <v>3</v>
      </c>
      <c r="H43" s="164" t="s">
        <v>1500</v>
      </c>
      <c r="K43" s="23" t="str">
        <v>EMP001</v>
      </c>
      <c r="L43" s="23" t="str">
        <v>Employee_1</v>
      </c>
      <c r="M43" s="23" t="str">
        <v>Finance</v>
      </c>
      <c r="N43" s="168">
        <v>41954</v>
      </c>
      <c r="O43" s="169">
        <v>46023</v>
      </c>
      <c r="P43" s="23">
        <v>5</v>
      </c>
      <c r="Q43" s="23">
        <v>9</v>
      </c>
      <c r="R43" s="23" t="str">
        <v>Dhanush</v>
      </c>
    </row>
    <row r="44" ht="16" spans="1:18">
      <c r="A44" s="161" t="s">
        <v>42</v>
      </c>
      <c r="B44" s="161" t="s">
        <v>43</v>
      </c>
      <c r="C44" s="161" t="s">
        <v>44</v>
      </c>
      <c r="D44" s="162" t="s">
        <v>45</v>
      </c>
      <c r="E44" s="163">
        <v>46040</v>
      </c>
      <c r="F44" s="164">
        <v>8</v>
      </c>
      <c r="G44" s="164">
        <v>5</v>
      </c>
      <c r="H44" s="164" t="s">
        <v>1501</v>
      </c>
      <c r="K44" s="23" t="str">
        <v>EMP005</v>
      </c>
      <c r="L44" s="23" t="str">
        <v>Employee_5</v>
      </c>
      <c r="M44" s="23" t="str">
        <v>Operations</v>
      </c>
      <c r="N44" s="168">
        <v>41954</v>
      </c>
      <c r="O44" s="169">
        <v>46027</v>
      </c>
      <c r="P44" s="23">
        <v>9</v>
      </c>
      <c r="Q44" s="23">
        <v>7</v>
      </c>
      <c r="R44" s="23" t="str">
        <v>Crimson</v>
      </c>
    </row>
    <row r="45" ht="16" spans="1:18">
      <c r="A45" s="161" t="s">
        <v>46</v>
      </c>
      <c r="B45" s="161" t="s">
        <v>47</v>
      </c>
      <c r="C45" s="161" t="s">
        <v>33</v>
      </c>
      <c r="D45" s="162" t="s">
        <v>48</v>
      </c>
      <c r="E45" s="163">
        <v>46041</v>
      </c>
      <c r="F45" s="164">
        <v>9</v>
      </c>
      <c r="G45" s="164">
        <v>7</v>
      </c>
      <c r="H45" s="164" t="s">
        <v>1495</v>
      </c>
      <c r="K45" s="23" t="str">
        <v>EMP010</v>
      </c>
      <c r="L45" s="23" t="str">
        <v>Employee_10</v>
      </c>
      <c r="M45" s="23" t="str">
        <v>Sales</v>
      </c>
      <c r="N45" s="168">
        <v>36000</v>
      </c>
      <c r="O45" s="169">
        <v>46032</v>
      </c>
      <c r="P45" s="23">
        <v>9</v>
      </c>
      <c r="Q45" s="23">
        <v>9</v>
      </c>
      <c r="R45" s="23" t="str">
        <v>Marry</v>
      </c>
    </row>
    <row r="46" ht="16" spans="1:18">
      <c r="A46" s="161" t="s">
        <v>49</v>
      </c>
      <c r="B46" s="161" t="s">
        <v>50</v>
      </c>
      <c r="C46" s="161" t="s">
        <v>13</v>
      </c>
      <c r="D46" s="162" t="s">
        <v>51</v>
      </c>
      <c r="E46" s="163">
        <v>46042</v>
      </c>
      <c r="F46" s="164">
        <v>4</v>
      </c>
      <c r="G46" s="164">
        <v>5</v>
      </c>
      <c r="H46" s="164" t="s">
        <v>1497</v>
      </c>
      <c r="K46" s="23" t="str">
        <v>EMP008</v>
      </c>
      <c r="L46" s="23" t="str">
        <v>Employee_8</v>
      </c>
      <c r="M46" s="23" t="str">
        <v>Finance</v>
      </c>
      <c r="N46" s="168">
        <v>30924</v>
      </c>
      <c r="O46" s="169">
        <v>46030</v>
      </c>
      <c r="P46" s="23">
        <v>8</v>
      </c>
      <c r="Q46" s="23">
        <v>7</v>
      </c>
      <c r="R46" s="23" t="str">
        <v>Arun</v>
      </c>
    </row>
    <row r="47" ht="15.25" spans="1:18">
      <c r="N47" s="171"/>
      <c r="O47" s="172"/>
    </row>
    <row r="48" spans="1:18">
      <c r="N48" s="171"/>
      <c r="O48" s="172"/>
    </row>
    <row r="49" spans="1:18">
      <c r="N49" s="171"/>
      <c r="O49" s="172"/>
    </row>
    <row r="50" ht="15.25" spans="1:18">
      <c r="N50" s="171"/>
      <c r="O50" s="172"/>
    </row>
    <row r="51" ht="16" spans="1:18">
      <c r="A51" s="153" t="s">
        <v>0</v>
      </c>
      <c r="B51" s="153" t="s">
        <v>1</v>
      </c>
      <c r="C51" s="153" t="s">
        <v>2</v>
      </c>
      <c r="D51" s="154" t="s">
        <v>3</v>
      </c>
      <c r="E51" s="155" t="s">
        <v>4</v>
      </c>
      <c r="F51" s="155" t="s">
        <v>1492</v>
      </c>
      <c r="G51" s="155" t="s">
        <v>1493</v>
      </c>
      <c r="H51" s="176" t="s">
        <v>1494</v>
      </c>
      <c r="I51" s="157" t="s">
        <v>1677</v>
      </c>
      <c r="J51" s="157"/>
      <c r="K51" s="158" t="str" cm="1">
        <f t="array" ref="K51:R71">_xlfn.SORTBY(A51:H71,F51:F71,-1,D51:D71,-1)</f>
        <v>Employee ID</v>
      </c>
      <c r="L51" s="153" t="str">
        <v>Name</v>
      </c>
      <c r="M51" s="153" t="str">
        <v>Department</v>
      </c>
      <c r="N51" s="159" t="str">
        <v>Salary</v>
      </c>
      <c r="O51" s="155" t="str">
        <v>Joining Date</v>
      </c>
      <c r="P51" s="155" t="str">
        <v>Performance_Rate</v>
      </c>
      <c r="Q51" s="155" t="str">
        <v>No_Projects</v>
      </c>
      <c r="R51" s="155" t="str">
        <v>Manager</v>
      </c>
    </row>
    <row r="52" ht="16" spans="1:18">
      <c r="A52" s="161" t="s">
        <v>5</v>
      </c>
      <c r="B52" s="161" t="s">
        <v>6</v>
      </c>
      <c r="C52" s="161" t="s">
        <v>7</v>
      </c>
      <c r="D52" s="162">
        <v>41954</v>
      </c>
      <c r="E52" s="163">
        <v>46023</v>
      </c>
      <c r="F52" s="164">
        <v>5</v>
      </c>
      <c r="G52" s="165">
        <v>9</v>
      </c>
      <c r="H52" s="177" t="s">
        <v>1495</v>
      </c>
      <c r="K52" s="23" t="str">
        <v>EMP019</v>
      </c>
      <c r="L52" s="23" t="str">
        <v>Employee_19</v>
      </c>
      <c r="M52" s="23" t="str">
        <v>IT</v>
      </c>
      <c r="N52" s="168" t="str">
        <v>₹  89,685.00</v>
      </c>
      <c r="O52" s="169">
        <v>46041</v>
      </c>
      <c r="P52" s="23">
        <v>9</v>
      </c>
      <c r="Q52" s="23">
        <v>7</v>
      </c>
      <c r="R52" s="23" t="str">
        <v>Dhanush</v>
      </c>
    </row>
    <row r="53" ht="16" spans="1:18">
      <c r="A53" s="161" t="s">
        <v>8</v>
      </c>
      <c r="B53" s="161" t="s">
        <v>9</v>
      </c>
      <c r="C53" s="161" t="s">
        <v>10</v>
      </c>
      <c r="D53" s="162">
        <v>49855</v>
      </c>
      <c r="E53" s="163">
        <v>46024</v>
      </c>
      <c r="F53" s="164">
        <v>6</v>
      </c>
      <c r="G53" s="164">
        <v>5</v>
      </c>
      <c r="H53" s="177" t="s">
        <v>1497</v>
      </c>
      <c r="K53" s="23" t="str">
        <v>EMP005</v>
      </c>
      <c r="L53" s="23" t="str">
        <v>Employee_5</v>
      </c>
      <c r="M53" s="23" t="str">
        <v>Operations</v>
      </c>
      <c r="N53" s="168">
        <v>41954</v>
      </c>
      <c r="O53" s="169">
        <v>46027</v>
      </c>
      <c r="P53" s="23">
        <v>9</v>
      </c>
      <c r="Q53" s="23">
        <v>7</v>
      </c>
      <c r="R53" s="23" t="str">
        <v>Crimson</v>
      </c>
    </row>
    <row r="54" ht="16" spans="1:18">
      <c r="A54" s="161" t="s">
        <v>11</v>
      </c>
      <c r="B54" s="161" t="s">
        <v>12</v>
      </c>
      <c r="C54" s="161" t="s">
        <v>13</v>
      </c>
      <c r="D54" s="162">
        <v>94210</v>
      </c>
      <c r="E54" s="163">
        <v>46025</v>
      </c>
      <c r="F54" s="164">
        <v>7</v>
      </c>
      <c r="G54" s="164">
        <v>3</v>
      </c>
      <c r="H54" s="164" t="s">
        <v>1498</v>
      </c>
      <c r="K54" s="23" t="str">
        <v>EMP010</v>
      </c>
      <c r="L54" s="23" t="str">
        <v>Employee_10</v>
      </c>
      <c r="M54" s="23" t="str">
        <v>Sales</v>
      </c>
      <c r="N54" s="168">
        <v>36000</v>
      </c>
      <c r="O54" s="169">
        <v>46032</v>
      </c>
      <c r="P54" s="23">
        <v>9</v>
      </c>
      <c r="Q54" s="23">
        <v>9</v>
      </c>
      <c r="R54" s="23" t="str">
        <v>Marry</v>
      </c>
    </row>
    <row r="55" ht="16" spans="1:18">
      <c r="A55" s="161" t="s">
        <v>14</v>
      </c>
      <c r="B55" s="161" t="s">
        <v>15</v>
      </c>
      <c r="C55" s="161" t="s">
        <v>7</v>
      </c>
      <c r="D55" s="162">
        <v>74689</v>
      </c>
      <c r="E55" s="163">
        <v>46026</v>
      </c>
      <c r="F55" s="164">
        <v>8</v>
      </c>
      <c r="G55" s="164">
        <v>5</v>
      </c>
      <c r="H55" s="164" t="s">
        <v>1499</v>
      </c>
      <c r="K55" s="23" t="str">
        <v>EMP018</v>
      </c>
      <c r="L55" s="23" t="str">
        <v>Employee_18</v>
      </c>
      <c r="M55" s="23" t="str">
        <v>HR</v>
      </c>
      <c r="N55" s="168" t="str">
        <v>₹  54,752.00</v>
      </c>
      <c r="O55" s="169">
        <v>46040</v>
      </c>
      <c r="P55" s="23">
        <v>8</v>
      </c>
      <c r="Q55" s="23">
        <v>5</v>
      </c>
      <c r="R55" s="23" t="str">
        <v>Bob</v>
      </c>
    </row>
    <row r="56" ht="16" spans="1:18">
      <c r="A56" s="161" t="s">
        <v>16</v>
      </c>
      <c r="B56" s="161" t="s">
        <v>17</v>
      </c>
      <c r="C56" s="161" t="s">
        <v>10</v>
      </c>
      <c r="D56" s="162">
        <v>41954</v>
      </c>
      <c r="E56" s="163">
        <v>46027</v>
      </c>
      <c r="F56" s="164">
        <v>9</v>
      </c>
      <c r="G56" s="164">
        <v>7</v>
      </c>
      <c r="H56" s="164" t="s">
        <v>1500</v>
      </c>
      <c r="K56" s="23" t="str">
        <v>EMP004</v>
      </c>
      <c r="L56" s="23" t="str">
        <v>Employee_4</v>
      </c>
      <c r="M56" s="23" t="str">
        <v>Finance</v>
      </c>
      <c r="N56" s="168">
        <v>74689</v>
      </c>
      <c r="O56" s="169">
        <v>46026</v>
      </c>
      <c r="P56" s="23">
        <v>8</v>
      </c>
      <c r="Q56" s="23">
        <v>5</v>
      </c>
      <c r="R56" s="23" t="str">
        <v>Marry</v>
      </c>
    </row>
    <row r="57" ht="16" spans="1:18">
      <c r="A57" s="161" t="s">
        <v>18</v>
      </c>
      <c r="B57" s="161" t="s">
        <v>12</v>
      </c>
      <c r="C57" s="161" t="s">
        <v>10</v>
      </c>
      <c r="D57" s="162">
        <v>74820</v>
      </c>
      <c r="E57" s="163">
        <v>46028</v>
      </c>
      <c r="F57" s="164">
        <v>4</v>
      </c>
      <c r="G57" s="164">
        <v>5</v>
      </c>
      <c r="H57" s="164" t="s">
        <v>1501</v>
      </c>
      <c r="K57" s="23" t="str">
        <v>EMP008</v>
      </c>
      <c r="L57" s="23" t="str">
        <v>Employee_8</v>
      </c>
      <c r="M57" s="23" t="str">
        <v>Finance</v>
      </c>
      <c r="N57" s="168">
        <v>30924</v>
      </c>
      <c r="O57" s="169">
        <v>46030</v>
      </c>
      <c r="P57" s="23">
        <v>8</v>
      </c>
      <c r="Q57" s="23">
        <v>7</v>
      </c>
      <c r="R57" s="23" t="str">
        <v>Arun</v>
      </c>
    </row>
    <row r="58" ht="16" spans="1:18">
      <c r="A58" s="161" t="s">
        <v>19</v>
      </c>
      <c r="B58" s="161" t="s">
        <v>20</v>
      </c>
      <c r="C58" s="161" t="s">
        <v>13</v>
      </c>
      <c r="D58" s="162">
        <v>85206</v>
      </c>
      <c r="E58" s="163">
        <v>46029</v>
      </c>
      <c r="F58" s="164">
        <v>3</v>
      </c>
      <c r="G58" s="164">
        <v>6</v>
      </c>
      <c r="H58" s="164" t="s">
        <v>1495</v>
      </c>
      <c r="K58" s="23" t="str">
        <v>EMP003</v>
      </c>
      <c r="L58" s="23" t="str">
        <v>Employee_3</v>
      </c>
      <c r="M58" s="23" t="str">
        <v>Sales</v>
      </c>
      <c r="N58" s="168">
        <v>94210</v>
      </c>
      <c r="O58" s="169">
        <v>46025</v>
      </c>
      <c r="P58" s="23">
        <v>7</v>
      </c>
      <c r="Q58" s="23">
        <v>3</v>
      </c>
      <c r="R58" s="23" t="str">
        <v>Jhon</v>
      </c>
    </row>
    <row r="59" ht="16" spans="1:18">
      <c r="A59" s="161" t="s">
        <v>21</v>
      </c>
      <c r="B59" s="161" t="s">
        <v>22</v>
      </c>
      <c r="C59" s="161" t="s">
        <v>7</v>
      </c>
      <c r="D59" s="162">
        <v>30924</v>
      </c>
      <c r="E59" s="163">
        <v>46030</v>
      </c>
      <c r="F59" s="164">
        <v>8</v>
      </c>
      <c r="G59" s="164">
        <v>7</v>
      </c>
      <c r="H59" s="164" t="s">
        <v>1497</v>
      </c>
      <c r="K59" s="23" t="str">
        <v>EMP014</v>
      </c>
      <c r="L59" s="23" t="str">
        <v>Employee_14</v>
      </c>
      <c r="M59" s="23" t="str">
        <v>Finance</v>
      </c>
      <c r="N59" s="168">
        <v>49898</v>
      </c>
      <c r="O59" s="169">
        <v>46036</v>
      </c>
      <c r="P59" s="23">
        <v>7</v>
      </c>
      <c r="Q59" s="23">
        <v>2</v>
      </c>
      <c r="R59" s="23" t="str">
        <v>Arun</v>
      </c>
    </row>
    <row r="60" ht="16" spans="1:18">
      <c r="A60" s="161" t="s">
        <v>23</v>
      </c>
      <c r="B60" s="161" t="s">
        <v>24</v>
      </c>
      <c r="C60" s="161" t="s">
        <v>10</v>
      </c>
      <c r="D60" s="162">
        <v>57737</v>
      </c>
      <c r="E60" s="163">
        <v>46031</v>
      </c>
      <c r="F60" s="164">
        <v>2</v>
      </c>
      <c r="G60" s="164">
        <v>8</v>
      </c>
      <c r="H60" s="164" t="s">
        <v>1498</v>
      </c>
      <c r="K60" s="23" t="str">
        <v>EMP017</v>
      </c>
      <c r="L60" s="23" t="str">
        <v>Employee_17</v>
      </c>
      <c r="M60" s="23" t="str">
        <v>Sales</v>
      </c>
      <c r="N60" s="168">
        <v>45503</v>
      </c>
      <c r="O60" s="169">
        <v>46039</v>
      </c>
      <c r="P60" s="23">
        <v>7</v>
      </c>
      <c r="Q60" s="23">
        <v>3</v>
      </c>
      <c r="R60" s="23" t="str">
        <v>Crimson</v>
      </c>
    </row>
    <row r="61" ht="16" spans="1:18">
      <c r="A61" s="161" t="s">
        <v>25</v>
      </c>
      <c r="B61" s="161" t="s">
        <v>26</v>
      </c>
      <c r="C61" s="161" t="s">
        <v>13</v>
      </c>
      <c r="D61" s="162">
        <v>36000</v>
      </c>
      <c r="E61" s="163">
        <v>46032</v>
      </c>
      <c r="F61" s="164">
        <v>9</v>
      </c>
      <c r="G61" s="164">
        <v>9</v>
      </c>
      <c r="H61" s="164" t="s">
        <v>1499</v>
      </c>
      <c r="K61" s="23" t="str">
        <v>EMP016</v>
      </c>
      <c r="L61" s="23" t="str">
        <v>Employee_16</v>
      </c>
      <c r="M61" s="23" t="str">
        <v>Sales</v>
      </c>
      <c r="N61" s="168">
        <v>89576</v>
      </c>
      <c r="O61" s="169">
        <v>46038</v>
      </c>
      <c r="P61" s="23">
        <v>6</v>
      </c>
      <c r="Q61" s="23">
        <v>5</v>
      </c>
      <c r="R61" s="23" t="str">
        <v>Marry</v>
      </c>
    </row>
    <row r="62" ht="16" spans="1:18">
      <c r="A62" s="161" t="s">
        <v>27</v>
      </c>
      <c r="B62" s="161" t="s">
        <v>28</v>
      </c>
      <c r="C62" s="161" t="s">
        <v>13</v>
      </c>
      <c r="D62" s="162">
        <v>96371</v>
      </c>
      <c r="E62" s="163">
        <v>46033</v>
      </c>
      <c r="F62" s="164">
        <v>5</v>
      </c>
      <c r="G62" s="164">
        <v>4</v>
      </c>
      <c r="H62" s="164" t="s">
        <v>1500</v>
      </c>
      <c r="K62" s="23" t="str">
        <v>EMP002</v>
      </c>
      <c r="L62" s="23" t="str">
        <v>Employee_2</v>
      </c>
      <c r="M62" s="23" t="str">
        <v>Operations</v>
      </c>
      <c r="N62" s="168">
        <v>49855</v>
      </c>
      <c r="O62" s="169">
        <v>46024</v>
      </c>
      <c r="P62" s="23">
        <v>6</v>
      </c>
      <c r="Q62" s="23">
        <v>5</v>
      </c>
      <c r="R62" s="23" t="str">
        <v>Arun</v>
      </c>
    </row>
    <row r="63" ht="16" spans="1:18">
      <c r="A63" s="161" t="s">
        <v>29</v>
      </c>
      <c r="B63" s="161" t="s">
        <v>30</v>
      </c>
      <c r="C63" s="161" t="s">
        <v>10</v>
      </c>
      <c r="D63" s="162">
        <v>85028</v>
      </c>
      <c r="E63" s="163">
        <v>46034</v>
      </c>
      <c r="F63" s="164">
        <v>3</v>
      </c>
      <c r="G63" s="164">
        <v>3</v>
      </c>
      <c r="H63" s="164" t="s">
        <v>1501</v>
      </c>
      <c r="K63" s="23" t="str">
        <v>EMP011</v>
      </c>
      <c r="L63" s="23" t="str">
        <v>Employee_11</v>
      </c>
      <c r="M63" s="23" t="str">
        <v>Sales</v>
      </c>
      <c r="N63" s="168">
        <v>96371</v>
      </c>
      <c r="O63" s="169">
        <v>46033</v>
      </c>
      <c r="P63" s="23">
        <v>5</v>
      </c>
      <c r="Q63" s="23">
        <v>4</v>
      </c>
      <c r="R63" s="23" t="str">
        <v>Crimson</v>
      </c>
    </row>
    <row r="64" ht="16" spans="1:18">
      <c r="A64" s="161" t="s">
        <v>31</v>
      </c>
      <c r="B64" s="161" t="s">
        <v>32</v>
      </c>
      <c r="C64" s="161" t="s">
        <v>33</v>
      </c>
      <c r="D64" s="162">
        <v>51378</v>
      </c>
      <c r="E64" s="163">
        <v>46035</v>
      </c>
      <c r="F64" s="164">
        <v>5</v>
      </c>
      <c r="G64" s="164">
        <v>8</v>
      </c>
      <c r="H64" s="164" t="s">
        <v>1495</v>
      </c>
      <c r="K64" s="23" t="str">
        <v>EMP015</v>
      </c>
      <c r="L64" s="23" t="str">
        <v>Employee_15</v>
      </c>
      <c r="M64" s="23" t="str">
        <v>Sales</v>
      </c>
      <c r="N64" s="168">
        <v>71737</v>
      </c>
      <c r="O64" s="169">
        <v>46037</v>
      </c>
      <c r="P64" s="23">
        <v>5</v>
      </c>
      <c r="Q64" s="23">
        <v>9</v>
      </c>
      <c r="R64" s="23" t="str">
        <v>Jhon</v>
      </c>
    </row>
    <row r="65" ht="16" spans="1:18">
      <c r="A65" s="161" t="s">
        <v>34</v>
      </c>
      <c r="B65" s="161" t="s">
        <v>35</v>
      </c>
      <c r="C65" s="161" t="s">
        <v>7</v>
      </c>
      <c r="D65" s="162">
        <v>49898</v>
      </c>
      <c r="E65" s="163">
        <v>46036</v>
      </c>
      <c r="F65" s="164">
        <v>7</v>
      </c>
      <c r="G65" s="164">
        <v>2</v>
      </c>
      <c r="H65" s="164" t="s">
        <v>1497</v>
      </c>
      <c r="K65" s="23" t="str">
        <v>EMP013</v>
      </c>
      <c r="L65" s="23" t="str">
        <v>Employee_13</v>
      </c>
      <c r="M65" s="23" t="str">
        <v>IT</v>
      </c>
      <c r="N65" s="168">
        <v>51378</v>
      </c>
      <c r="O65" s="169">
        <v>46035</v>
      </c>
      <c r="P65" s="23">
        <v>5</v>
      </c>
      <c r="Q65" s="23">
        <v>8</v>
      </c>
      <c r="R65" s="23" t="str">
        <v>Dhanush</v>
      </c>
    </row>
    <row r="66" ht="16" spans="1:18">
      <c r="A66" s="161" t="s">
        <v>36</v>
      </c>
      <c r="B66" s="161" t="s">
        <v>37</v>
      </c>
      <c r="C66" s="161" t="s">
        <v>13</v>
      </c>
      <c r="D66" s="162">
        <v>71737</v>
      </c>
      <c r="E66" s="163">
        <v>46037</v>
      </c>
      <c r="F66" s="164">
        <v>5</v>
      </c>
      <c r="G66" s="164">
        <v>9</v>
      </c>
      <c r="H66" s="164" t="s">
        <v>1498</v>
      </c>
      <c r="K66" s="23" t="str">
        <v>EMP001</v>
      </c>
      <c r="L66" s="23" t="str">
        <v>Employee_1</v>
      </c>
      <c r="M66" s="23" t="str">
        <v>Finance</v>
      </c>
      <c r="N66" s="168">
        <v>41954</v>
      </c>
      <c r="O66" s="169">
        <v>46023</v>
      </c>
      <c r="P66" s="23">
        <v>5</v>
      </c>
      <c r="Q66" s="23">
        <v>9</v>
      </c>
      <c r="R66" s="23" t="str">
        <v>Dhanush</v>
      </c>
    </row>
    <row r="67" ht="16" spans="1:18">
      <c r="A67" s="161" t="s">
        <v>38</v>
      </c>
      <c r="B67" s="161" t="s">
        <v>39</v>
      </c>
      <c r="C67" s="161" t="s">
        <v>13</v>
      </c>
      <c r="D67" s="162">
        <v>89576</v>
      </c>
      <c r="E67" s="163">
        <v>46038</v>
      </c>
      <c r="F67" s="164">
        <v>6</v>
      </c>
      <c r="G67" s="164">
        <v>5</v>
      </c>
      <c r="H67" s="164" t="s">
        <v>1499</v>
      </c>
      <c r="K67" s="23" t="str">
        <v>EMP020</v>
      </c>
      <c r="L67" s="23" t="str">
        <v>Employee_20</v>
      </c>
      <c r="M67" s="23" t="str">
        <v>Sales</v>
      </c>
      <c r="N67" s="168" t="str">
        <v>₹  97,208.00</v>
      </c>
      <c r="O67" s="169">
        <v>46042</v>
      </c>
      <c r="P67" s="23">
        <v>4</v>
      </c>
      <c r="Q67" s="23">
        <v>5</v>
      </c>
      <c r="R67" s="23" t="str">
        <v>Arun</v>
      </c>
    </row>
    <row r="68" ht="16" spans="1:18">
      <c r="A68" s="161" t="s">
        <v>40</v>
      </c>
      <c r="B68" s="161" t="s">
        <v>41</v>
      </c>
      <c r="C68" s="161" t="s">
        <v>13</v>
      </c>
      <c r="D68" s="162">
        <v>45503</v>
      </c>
      <c r="E68" s="163">
        <v>46039</v>
      </c>
      <c r="F68" s="164">
        <v>7</v>
      </c>
      <c r="G68" s="164">
        <v>3</v>
      </c>
      <c r="H68" s="164" t="s">
        <v>1500</v>
      </c>
      <c r="K68" s="23" t="str">
        <v>EMP006</v>
      </c>
      <c r="L68" s="23" t="str">
        <v>Employee_3</v>
      </c>
      <c r="M68" s="23" t="str">
        <v>Operations</v>
      </c>
      <c r="N68" s="168">
        <v>74820</v>
      </c>
      <c r="O68" s="169">
        <v>46028</v>
      </c>
      <c r="P68" s="23">
        <v>4</v>
      </c>
      <c r="Q68" s="23">
        <v>5</v>
      </c>
      <c r="R68" s="23" t="str">
        <v>Bob</v>
      </c>
    </row>
    <row r="69" ht="16" spans="1:18">
      <c r="A69" s="161" t="s">
        <v>42</v>
      </c>
      <c r="B69" s="161" t="s">
        <v>43</v>
      </c>
      <c r="C69" s="161" t="s">
        <v>44</v>
      </c>
      <c r="D69" s="162" t="s">
        <v>45</v>
      </c>
      <c r="E69" s="163">
        <v>46040</v>
      </c>
      <c r="F69" s="164">
        <v>8</v>
      </c>
      <c r="G69" s="164">
        <v>5</v>
      </c>
      <c r="H69" s="164" t="s">
        <v>1501</v>
      </c>
      <c r="K69" s="23" t="str">
        <v>EMP007</v>
      </c>
      <c r="L69" s="23" t="str">
        <v>Employee_7</v>
      </c>
      <c r="M69" s="23" t="str">
        <v>Sales</v>
      </c>
      <c r="N69" s="168">
        <v>85206</v>
      </c>
      <c r="O69" s="169">
        <v>46029</v>
      </c>
      <c r="P69" s="23">
        <v>3</v>
      </c>
      <c r="Q69" s="23">
        <v>6</v>
      </c>
      <c r="R69" s="23" t="str">
        <v>Dhanush</v>
      </c>
    </row>
    <row r="70" ht="16" spans="1:18">
      <c r="A70" s="161" t="s">
        <v>46</v>
      </c>
      <c r="B70" s="161" t="s">
        <v>47</v>
      </c>
      <c r="C70" s="161" t="s">
        <v>33</v>
      </c>
      <c r="D70" s="162" t="s">
        <v>48</v>
      </c>
      <c r="E70" s="163">
        <v>46041</v>
      </c>
      <c r="F70" s="164">
        <v>9</v>
      </c>
      <c r="G70" s="164">
        <v>7</v>
      </c>
      <c r="H70" s="164" t="s">
        <v>1495</v>
      </c>
      <c r="K70" s="23" t="str">
        <v>EMP012</v>
      </c>
      <c r="L70" s="23" t="str">
        <v>Employee_12</v>
      </c>
      <c r="M70" s="23" t="str">
        <v>Operations</v>
      </c>
      <c r="N70" s="168">
        <v>85028</v>
      </c>
      <c r="O70" s="169">
        <v>46034</v>
      </c>
      <c r="P70" s="23">
        <v>3</v>
      </c>
      <c r="Q70" s="23">
        <v>3</v>
      </c>
      <c r="R70" s="23" t="str">
        <v>Bob</v>
      </c>
    </row>
    <row r="71" ht="16" spans="1:18">
      <c r="A71" s="161" t="s">
        <v>49</v>
      </c>
      <c r="B71" s="161" t="s">
        <v>50</v>
      </c>
      <c r="C71" s="161" t="s">
        <v>13</v>
      </c>
      <c r="D71" s="162" t="s">
        <v>51</v>
      </c>
      <c r="E71" s="163">
        <v>46042</v>
      </c>
      <c r="F71" s="164">
        <v>4</v>
      </c>
      <c r="G71" s="164">
        <v>5</v>
      </c>
      <c r="H71" s="164" t="s">
        <v>1497</v>
      </c>
      <c r="K71" s="23" t="str">
        <v>EMP009</v>
      </c>
      <c r="L71" s="23" t="str">
        <v>Employee_9</v>
      </c>
      <c r="M71" s="23" t="str">
        <v>Operations</v>
      </c>
      <c r="N71" s="168">
        <v>57737</v>
      </c>
      <c r="O71" s="169">
        <v>46031</v>
      </c>
      <c r="P71" s="23">
        <v>2</v>
      </c>
      <c r="Q71" s="23">
        <v>8</v>
      </c>
      <c r="R71" s="23" t="str">
        <v>Jhon</v>
      </c>
    </row>
    <row r="72" ht="15.25" spans="1:18">
      <c r="N72" s="171"/>
      <c r="O72" s="172"/>
    </row>
    <row r="73" spans="1:18">
      <c r="N73" s="171"/>
      <c r="O73" s="172"/>
    </row>
    <row r="74" spans="1:18">
      <c r="N74" s="171"/>
      <c r="O74" s="172"/>
    </row>
    <row r="75" spans="1:18">
      <c r="N75" s="171"/>
      <c r="O75" s="172"/>
    </row>
    <row r="76" ht="15.25" spans="1:18">
      <c r="N76" s="171"/>
      <c r="O76" s="172"/>
    </row>
    <row r="77" ht="16" spans="1:18">
      <c r="A77" s="153" t="s">
        <v>0</v>
      </c>
      <c r="B77" s="153" t="s">
        <v>1</v>
      </c>
      <c r="C77" s="153" t="s">
        <v>2</v>
      </c>
      <c r="D77" s="154" t="s">
        <v>3</v>
      </c>
      <c r="E77" s="155" t="s">
        <v>4</v>
      </c>
      <c r="F77" s="155" t="s">
        <v>1492</v>
      </c>
      <c r="G77" s="155" t="s">
        <v>1493</v>
      </c>
      <c r="H77" s="176" t="s">
        <v>1494</v>
      </c>
      <c r="I77" s="157" t="s">
        <v>1679</v>
      </c>
      <c r="J77" s="157"/>
      <c r="K77" s="158" t="str" cm="1">
        <f t="array" ref="K77:K82">_xlfn.UNIQUE(C77:C97)</f>
        <v>Department</v>
      </c>
      <c r="L77" s="153" t="str" cm="1">
        <f t="array" ref="L77:L85">_xlfn.UNIQUE(F77:F97)</f>
        <v>Performance_Rate</v>
      </c>
      <c r="M77" s="153" t="str" cm="1">
        <f t="array" ref="M77:M83">_xlfn.UNIQUE(H77:H97)</f>
        <v>Manager</v>
      </c>
    </row>
    <row r="78" ht="16" spans="1:18">
      <c r="A78" s="161" t="s">
        <v>5</v>
      </c>
      <c r="B78" s="161" t="s">
        <v>6</v>
      </c>
      <c r="C78" s="161" t="s">
        <v>7</v>
      </c>
      <c r="D78" s="162">
        <v>41954</v>
      </c>
      <c r="E78" s="163">
        <v>46023</v>
      </c>
      <c r="F78" s="164">
        <v>5</v>
      </c>
      <c r="G78" s="165">
        <v>9</v>
      </c>
      <c r="H78" s="177" t="s">
        <v>1495</v>
      </c>
      <c r="K78" s="23" t="str">
        <v>Finance</v>
      </c>
      <c r="L78" s="23">
        <v>5</v>
      </c>
      <c r="M78" s="23" t="str">
        <v>Dhanush</v>
      </c>
    </row>
    <row r="79" ht="16" spans="1:18">
      <c r="A79" s="161" t="s">
        <v>8</v>
      </c>
      <c r="B79" s="161" t="s">
        <v>9</v>
      </c>
      <c r="C79" s="161" t="s">
        <v>10</v>
      </c>
      <c r="D79" s="162">
        <v>49855</v>
      </c>
      <c r="E79" s="163">
        <v>46024</v>
      </c>
      <c r="F79" s="164">
        <v>6</v>
      </c>
      <c r="G79" s="164">
        <v>5</v>
      </c>
      <c r="H79" s="177" t="s">
        <v>1497</v>
      </c>
      <c r="K79" s="23" t="str">
        <v>Operations</v>
      </c>
      <c r="L79" s="23">
        <v>6</v>
      </c>
      <c r="M79" s="23" t="str">
        <v>Arun</v>
      </c>
    </row>
    <row r="80" ht="16" spans="1:18">
      <c r="A80" s="161" t="s">
        <v>11</v>
      </c>
      <c r="B80" s="161" t="s">
        <v>12</v>
      </c>
      <c r="C80" s="161" t="s">
        <v>13</v>
      </c>
      <c r="D80" s="162">
        <v>94210</v>
      </c>
      <c r="E80" s="163">
        <v>46025</v>
      </c>
      <c r="F80" s="164">
        <v>7</v>
      </c>
      <c r="G80" s="164">
        <v>3</v>
      </c>
      <c r="H80" s="164" t="s">
        <v>1498</v>
      </c>
      <c r="K80" s="23" t="str">
        <v>Sales</v>
      </c>
      <c r="L80" s="23">
        <v>7</v>
      </c>
      <c r="M80" s="23" t="str">
        <v>Jhon</v>
      </c>
    </row>
    <row r="81" ht="16" spans="1:13">
      <c r="A81" s="161" t="s">
        <v>14</v>
      </c>
      <c r="B81" s="161" t="s">
        <v>15</v>
      </c>
      <c r="C81" s="161" t="s">
        <v>7</v>
      </c>
      <c r="D81" s="162">
        <v>74689</v>
      </c>
      <c r="E81" s="163">
        <v>46026</v>
      </c>
      <c r="F81" s="164">
        <v>8</v>
      </c>
      <c r="G81" s="164">
        <v>5</v>
      </c>
      <c r="H81" s="164" t="s">
        <v>1499</v>
      </c>
      <c r="K81" s="23" t="str">
        <v>IT</v>
      </c>
      <c r="L81" s="23">
        <v>8</v>
      </c>
      <c r="M81" s="23" t="str">
        <v>Marry</v>
      </c>
    </row>
    <row r="82" ht="16" spans="1:13">
      <c r="A82" s="161" t="s">
        <v>16</v>
      </c>
      <c r="B82" s="161" t="s">
        <v>17</v>
      </c>
      <c r="C82" s="161" t="s">
        <v>10</v>
      </c>
      <c r="D82" s="162">
        <v>41954</v>
      </c>
      <c r="E82" s="163">
        <v>46027</v>
      </c>
      <c r="F82" s="164">
        <v>9</v>
      </c>
      <c r="G82" s="164">
        <v>7</v>
      </c>
      <c r="H82" s="164" t="s">
        <v>1500</v>
      </c>
      <c r="K82" s="23" t="str">
        <v>HR</v>
      </c>
      <c r="L82" s="23">
        <v>9</v>
      </c>
      <c r="M82" s="23" t="str">
        <v>Crimson</v>
      </c>
    </row>
    <row r="83" ht="16" spans="1:13">
      <c r="A83" s="161" t="s">
        <v>18</v>
      </c>
      <c r="B83" s="161" t="s">
        <v>12</v>
      </c>
      <c r="C83" s="161" t="s">
        <v>10</v>
      </c>
      <c r="D83" s="162">
        <v>74820</v>
      </c>
      <c r="E83" s="163">
        <v>46028</v>
      </c>
      <c r="F83" s="164">
        <v>4</v>
      </c>
      <c r="G83" s="164">
        <v>5</v>
      </c>
      <c r="H83" s="164" t="s">
        <v>1501</v>
      </c>
      <c r="K83" s="23"/>
      <c r="L83" s="23">
        <v>4</v>
      </c>
      <c r="M83" s="23" t="str">
        <v>Bob</v>
      </c>
    </row>
    <row r="84" ht="16" spans="1:13">
      <c r="A84" s="161" t="s">
        <v>19</v>
      </c>
      <c r="B84" s="161" t="s">
        <v>20</v>
      </c>
      <c r="C84" s="161" t="s">
        <v>13</v>
      </c>
      <c r="D84" s="162">
        <v>85206</v>
      </c>
      <c r="E84" s="163">
        <v>46029</v>
      </c>
      <c r="F84" s="164">
        <v>3</v>
      </c>
      <c r="G84" s="164">
        <v>6</v>
      </c>
      <c r="H84" s="164" t="s">
        <v>1495</v>
      </c>
      <c r="K84" s="23"/>
      <c r="L84" s="23">
        <v>3</v>
      </c>
      <c r="M84" s="23"/>
    </row>
    <row r="85" ht="16" spans="1:13">
      <c r="A85" s="161" t="s">
        <v>21</v>
      </c>
      <c r="B85" s="161" t="s">
        <v>22</v>
      </c>
      <c r="C85" s="161" t="s">
        <v>7</v>
      </c>
      <c r="D85" s="162">
        <v>30924</v>
      </c>
      <c r="E85" s="163">
        <v>46030</v>
      </c>
      <c r="F85" s="164">
        <v>8</v>
      </c>
      <c r="G85" s="164">
        <v>7</v>
      </c>
      <c r="H85" s="164" t="s">
        <v>1497</v>
      </c>
      <c r="K85" s="23"/>
      <c r="L85" s="23">
        <v>2</v>
      </c>
      <c r="M85" s="23"/>
    </row>
    <row r="86" ht="16" spans="1:13">
      <c r="A86" s="161" t="s">
        <v>23</v>
      </c>
      <c r="B86" s="161" t="s">
        <v>24</v>
      </c>
      <c r="C86" s="161" t="s">
        <v>10</v>
      </c>
      <c r="D86" s="162">
        <v>57737</v>
      </c>
      <c r="E86" s="163">
        <v>46031</v>
      </c>
      <c r="F86" s="164">
        <v>2</v>
      </c>
      <c r="G86" s="164">
        <v>8</v>
      </c>
      <c r="H86" s="164" t="s">
        <v>1498</v>
      </c>
    </row>
    <row r="87" ht="16" spans="1:13">
      <c r="A87" s="161" t="s">
        <v>25</v>
      </c>
      <c r="B87" s="161" t="s">
        <v>26</v>
      </c>
      <c r="C87" s="161" t="s">
        <v>13</v>
      </c>
      <c r="D87" s="162">
        <v>36000</v>
      </c>
      <c r="E87" s="163">
        <v>46032</v>
      </c>
      <c r="F87" s="164">
        <v>9</v>
      </c>
      <c r="G87" s="164">
        <v>9</v>
      </c>
      <c r="H87" s="164" t="s">
        <v>1499</v>
      </c>
    </row>
    <row r="88" ht="16" spans="1:13">
      <c r="A88" s="161" t="s">
        <v>27</v>
      </c>
      <c r="B88" s="161" t="s">
        <v>28</v>
      </c>
      <c r="C88" s="161" t="s">
        <v>13</v>
      </c>
      <c r="D88" s="162">
        <v>96371</v>
      </c>
      <c r="E88" s="163">
        <v>46033</v>
      </c>
      <c r="F88" s="164">
        <v>5</v>
      </c>
      <c r="G88" s="164">
        <v>4</v>
      </c>
      <c r="H88" s="164" t="s">
        <v>1500</v>
      </c>
    </row>
    <row r="89" ht="16" spans="1:13">
      <c r="A89" s="161" t="s">
        <v>29</v>
      </c>
      <c r="B89" s="161" t="s">
        <v>30</v>
      </c>
      <c r="C89" s="161" t="s">
        <v>10</v>
      </c>
      <c r="D89" s="162">
        <v>85028</v>
      </c>
      <c r="E89" s="163">
        <v>46034</v>
      </c>
      <c r="F89" s="164">
        <v>3</v>
      </c>
      <c r="G89" s="164">
        <v>3</v>
      </c>
      <c r="H89" s="164" t="s">
        <v>1501</v>
      </c>
    </row>
    <row r="90" ht="16" spans="1:13">
      <c r="A90" s="161" t="s">
        <v>31</v>
      </c>
      <c r="B90" s="161" t="s">
        <v>32</v>
      </c>
      <c r="C90" s="161" t="s">
        <v>33</v>
      </c>
      <c r="D90" s="162">
        <v>51378</v>
      </c>
      <c r="E90" s="163">
        <v>46035</v>
      </c>
      <c r="F90" s="164">
        <v>5</v>
      </c>
      <c r="G90" s="164">
        <v>8</v>
      </c>
      <c r="H90" s="164" t="s">
        <v>1495</v>
      </c>
    </row>
    <row r="91" ht="16" spans="1:13">
      <c r="A91" s="161" t="s">
        <v>34</v>
      </c>
      <c r="B91" s="161" t="s">
        <v>35</v>
      </c>
      <c r="C91" s="161" t="s">
        <v>7</v>
      </c>
      <c r="D91" s="162">
        <v>49898</v>
      </c>
      <c r="E91" s="163">
        <v>46036</v>
      </c>
      <c r="F91" s="164">
        <v>7</v>
      </c>
      <c r="G91" s="164">
        <v>2</v>
      </c>
      <c r="H91" s="164" t="s">
        <v>1497</v>
      </c>
    </row>
    <row r="92" ht="16" spans="1:13">
      <c r="A92" s="161" t="s">
        <v>36</v>
      </c>
      <c r="B92" s="161" t="s">
        <v>37</v>
      </c>
      <c r="C92" s="161" t="s">
        <v>13</v>
      </c>
      <c r="D92" s="162">
        <v>71737</v>
      </c>
      <c r="E92" s="163">
        <v>46037</v>
      </c>
      <c r="F92" s="164">
        <v>5</v>
      </c>
      <c r="G92" s="164">
        <v>9</v>
      </c>
      <c r="H92" s="164" t="s">
        <v>1498</v>
      </c>
    </row>
    <row r="93" ht="16" spans="1:13">
      <c r="A93" s="161" t="s">
        <v>38</v>
      </c>
      <c r="B93" s="161" t="s">
        <v>39</v>
      </c>
      <c r="C93" s="161" t="s">
        <v>13</v>
      </c>
      <c r="D93" s="162">
        <v>89576</v>
      </c>
      <c r="E93" s="163">
        <v>46038</v>
      </c>
      <c r="F93" s="164">
        <v>6</v>
      </c>
      <c r="G93" s="164">
        <v>5</v>
      </c>
      <c r="H93" s="164" t="s">
        <v>1499</v>
      </c>
    </row>
    <row r="94" ht="16" spans="1:13">
      <c r="A94" s="161" t="s">
        <v>40</v>
      </c>
      <c r="B94" s="161" t="s">
        <v>41</v>
      </c>
      <c r="C94" s="161" t="s">
        <v>13</v>
      </c>
      <c r="D94" s="162">
        <v>45503</v>
      </c>
      <c r="E94" s="163">
        <v>46039</v>
      </c>
      <c r="F94" s="164">
        <v>7</v>
      </c>
      <c r="G94" s="164">
        <v>3</v>
      </c>
      <c r="H94" s="164" t="s">
        <v>1500</v>
      </c>
    </row>
    <row r="95" ht="16" spans="1:13">
      <c r="A95" s="161" t="s">
        <v>42</v>
      </c>
      <c r="B95" s="161" t="s">
        <v>43</v>
      </c>
      <c r="C95" s="161" t="s">
        <v>44</v>
      </c>
      <c r="D95" s="162" t="s">
        <v>45</v>
      </c>
      <c r="E95" s="163">
        <v>46040</v>
      </c>
      <c r="F95" s="164">
        <v>8</v>
      </c>
      <c r="G95" s="164">
        <v>5</v>
      </c>
      <c r="H95" s="164" t="s">
        <v>1501</v>
      </c>
    </row>
    <row r="96" ht="16" spans="1:13">
      <c r="A96" s="161" t="s">
        <v>46</v>
      </c>
      <c r="B96" s="161" t="s">
        <v>47</v>
      </c>
      <c r="C96" s="161" t="s">
        <v>33</v>
      </c>
      <c r="D96" s="162" t="s">
        <v>48</v>
      </c>
      <c r="E96" s="163">
        <v>46041</v>
      </c>
      <c r="F96" s="164">
        <v>9</v>
      </c>
      <c r="G96" s="164">
        <v>7</v>
      </c>
      <c r="H96" s="164" t="s">
        <v>1495</v>
      </c>
    </row>
    <row r="97" ht="16" spans="1:21">
      <c r="A97" s="161" t="s">
        <v>49</v>
      </c>
      <c r="B97" s="161" t="s">
        <v>50</v>
      </c>
      <c r="C97" s="161" t="s">
        <v>13</v>
      </c>
      <c r="D97" s="162" t="s">
        <v>51</v>
      </c>
      <c r="E97" s="163">
        <v>46042</v>
      </c>
      <c r="F97" s="164">
        <v>4</v>
      </c>
      <c r="G97" s="164">
        <v>5</v>
      </c>
      <c r="H97" s="164" t="s">
        <v>1497</v>
      </c>
    </row>
    <row r="98" ht="15.25" spans="1:21">
      <c r="N98" s="171"/>
      <c r="O98" s="172"/>
    </row>
    <row r="99" spans="1:21">
      <c r="N99" s="171"/>
      <c r="O99" s="172"/>
    </row>
    <row r="100" ht="15.25" spans="1:21">
      <c r="N100" s="171"/>
      <c r="O100" s="172"/>
    </row>
    <row r="101" ht="15.25" spans="1:21">
      <c r="A101" s="178" cm="1">
        <f t="array" ref="A101:J110">_xlfn.SEQUENCE(10,10,1,1)</f>
        <v>1</v>
      </c>
      <c r="B101" s="178">
        <v>2</v>
      </c>
      <c r="C101" s="178">
        <v>3</v>
      </c>
      <c r="D101" s="178">
        <v>4</v>
      </c>
      <c r="E101" s="178">
        <v>5</v>
      </c>
      <c r="F101" s="178">
        <v>6</v>
      </c>
      <c r="G101" s="178">
        <v>7</v>
      </c>
      <c r="H101" s="178">
        <v>8</v>
      </c>
      <c r="I101" s="178">
        <v>9</v>
      </c>
      <c r="J101" s="178">
        <v>10</v>
      </c>
      <c r="K101" s="179" t="s">
        <v>1695</v>
      </c>
      <c r="N101" s="171"/>
      <c r="O101" s="172"/>
    </row>
    <row r="102" ht="16" spans="1:21">
      <c r="A102" s="178">
        <v>11</v>
      </c>
      <c r="B102" s="178">
        <v>12</v>
      </c>
      <c r="C102" s="178">
        <v>13</v>
      </c>
      <c r="D102" s="178">
        <v>14</v>
      </c>
      <c r="E102" s="178">
        <v>15</v>
      </c>
      <c r="F102" s="178">
        <v>16</v>
      </c>
      <c r="G102" s="178">
        <v>17</v>
      </c>
      <c r="H102" s="178">
        <v>18</v>
      </c>
      <c r="I102" s="178">
        <v>19</v>
      </c>
      <c r="J102" s="178">
        <v>20</v>
      </c>
      <c r="K102" s="179"/>
      <c r="N102" s="171"/>
      <c r="O102" s="172"/>
      <c r="T102" s="160" t="s">
        <v>1509</v>
      </c>
      <c r="U102" s="160" t="s">
        <v>1510</v>
      </c>
    </row>
    <row r="103" ht="16" spans="1:21">
      <c r="A103" s="178">
        <v>21</v>
      </c>
      <c r="B103" s="178">
        <v>22</v>
      </c>
      <c r="C103" s="178">
        <v>23</v>
      </c>
      <c r="D103" s="178">
        <v>24</v>
      </c>
      <c r="E103" s="178">
        <v>25</v>
      </c>
      <c r="F103" s="178">
        <v>26</v>
      </c>
      <c r="G103" s="178">
        <v>27</v>
      </c>
      <c r="H103" s="178">
        <v>28</v>
      </c>
      <c r="I103" s="178">
        <v>29</v>
      </c>
      <c r="J103" s="178">
        <v>30</v>
      </c>
      <c r="K103" s="179"/>
      <c r="N103" s="171"/>
      <c r="O103" s="172"/>
      <c r="T103" s="170" t="s">
        <v>1672</v>
      </c>
      <c r="U103" s="170" t="s">
        <v>1674</v>
      </c>
    </row>
    <row r="104" ht="16" spans="1:21">
      <c r="A104" s="178">
        <v>31</v>
      </c>
      <c r="B104" s="178">
        <v>32</v>
      </c>
      <c r="C104" s="178">
        <v>33</v>
      </c>
      <c r="D104" s="178">
        <v>34</v>
      </c>
      <c r="E104" s="178">
        <v>35</v>
      </c>
      <c r="F104" s="178">
        <v>36</v>
      </c>
      <c r="G104" s="178">
        <v>37</v>
      </c>
      <c r="H104" s="178">
        <v>38</v>
      </c>
      <c r="I104" s="178">
        <v>39</v>
      </c>
      <c r="J104" s="178">
        <v>40</v>
      </c>
      <c r="K104" s="179"/>
      <c r="N104" s="171"/>
      <c r="O104" s="172"/>
      <c r="T104" s="170" t="s">
        <v>1675</v>
      </c>
      <c r="U104" s="170" t="s">
        <v>1676</v>
      </c>
    </row>
    <row r="105" ht="16" spans="1:21">
      <c r="A105" s="178">
        <v>41</v>
      </c>
      <c r="B105" s="178">
        <v>42</v>
      </c>
      <c r="C105" s="178">
        <v>43</v>
      </c>
      <c r="D105" s="178">
        <v>44</v>
      </c>
      <c r="E105" s="178">
        <v>45</v>
      </c>
      <c r="F105" s="178">
        <v>46</v>
      </c>
      <c r="G105" s="178">
        <v>47</v>
      </c>
      <c r="H105" s="178">
        <v>48</v>
      </c>
      <c r="I105" s="178">
        <v>49</v>
      </c>
      <c r="J105" s="178">
        <v>50</v>
      </c>
      <c r="K105" s="179"/>
      <c r="N105" s="171"/>
      <c r="O105" s="172"/>
      <c r="T105" s="170" t="s">
        <v>1677</v>
      </c>
      <c r="U105" s="170" t="s">
        <v>1678</v>
      </c>
    </row>
    <row r="106" ht="16" spans="1:21">
      <c r="A106" s="178">
        <v>51</v>
      </c>
      <c r="B106" s="178">
        <v>52</v>
      </c>
      <c r="C106" s="178">
        <v>53</v>
      </c>
      <c r="D106" s="178">
        <v>54</v>
      </c>
      <c r="E106" s="178">
        <v>55</v>
      </c>
      <c r="F106" s="178">
        <v>56</v>
      </c>
      <c r="G106" s="178">
        <v>57</v>
      </c>
      <c r="H106" s="178">
        <v>58</v>
      </c>
      <c r="I106" s="178">
        <v>59</v>
      </c>
      <c r="J106" s="178">
        <v>60</v>
      </c>
      <c r="K106" s="179"/>
      <c r="N106" s="171"/>
      <c r="O106" s="172"/>
      <c r="T106" s="170" t="s">
        <v>1679</v>
      </c>
      <c r="U106" s="170" t="s">
        <v>1680</v>
      </c>
    </row>
    <row r="107" ht="16" spans="1:21">
      <c r="A107" s="178">
        <v>61</v>
      </c>
      <c r="B107" s="178">
        <v>62</v>
      </c>
      <c r="C107" s="178">
        <v>63</v>
      </c>
      <c r="D107" s="178">
        <v>64</v>
      </c>
      <c r="E107" s="178">
        <v>65</v>
      </c>
      <c r="F107" s="178">
        <v>66</v>
      </c>
      <c r="G107" s="178">
        <v>67</v>
      </c>
      <c r="H107" s="178">
        <v>68</v>
      </c>
      <c r="I107" s="178">
        <v>69</v>
      </c>
      <c r="J107" s="178">
        <v>70</v>
      </c>
      <c r="K107" s="179"/>
      <c r="N107" s="171"/>
      <c r="O107" s="172"/>
      <c r="T107" s="170" t="s">
        <v>1681</v>
      </c>
      <c r="U107" s="170" t="s">
        <v>1682</v>
      </c>
    </row>
    <row r="108" ht="16" spans="1:21">
      <c r="A108" s="178">
        <v>71</v>
      </c>
      <c r="B108" s="178">
        <v>72</v>
      </c>
      <c r="C108" s="178">
        <v>73</v>
      </c>
      <c r="D108" s="178">
        <v>74</v>
      </c>
      <c r="E108" s="178">
        <v>75</v>
      </c>
      <c r="F108" s="178">
        <v>76</v>
      </c>
      <c r="G108" s="178">
        <v>77</v>
      </c>
      <c r="H108" s="178">
        <v>78</v>
      </c>
      <c r="I108" s="178">
        <v>79</v>
      </c>
      <c r="J108" s="178">
        <v>80</v>
      </c>
      <c r="K108" s="179"/>
      <c r="N108" s="171"/>
      <c r="O108" s="172"/>
      <c r="T108" s="170" t="s">
        <v>1683</v>
      </c>
      <c r="U108" s="170" t="s">
        <v>1684</v>
      </c>
    </row>
    <row r="109" ht="16" spans="1:21">
      <c r="A109" s="178">
        <v>81</v>
      </c>
      <c r="B109" s="178">
        <v>82</v>
      </c>
      <c r="C109" s="178">
        <v>83</v>
      </c>
      <c r="D109" s="178">
        <v>84</v>
      </c>
      <c r="E109" s="178">
        <v>85</v>
      </c>
      <c r="F109" s="178">
        <v>86</v>
      </c>
      <c r="G109" s="178">
        <v>87</v>
      </c>
      <c r="H109" s="178">
        <v>88</v>
      </c>
      <c r="I109" s="178">
        <v>89</v>
      </c>
      <c r="J109" s="178">
        <v>90</v>
      </c>
      <c r="K109" s="179"/>
      <c r="N109" s="171"/>
      <c r="O109" s="172"/>
      <c r="T109" s="170" t="s">
        <v>1685</v>
      </c>
      <c r="U109" s="170" t="s">
        <v>1686</v>
      </c>
    </row>
    <row r="110" ht="16" spans="1:21">
      <c r="A110" s="178">
        <v>91</v>
      </c>
      <c r="B110" s="178">
        <v>92</v>
      </c>
      <c r="C110" s="178">
        <v>93</v>
      </c>
      <c r="D110" s="178">
        <v>94</v>
      </c>
      <c r="E110" s="178">
        <v>95</v>
      </c>
      <c r="F110" s="178">
        <v>96</v>
      </c>
      <c r="G110" s="178">
        <v>97</v>
      </c>
      <c r="H110" s="178">
        <v>98</v>
      </c>
      <c r="I110" s="178">
        <v>99</v>
      </c>
      <c r="J110" s="178">
        <v>100</v>
      </c>
      <c r="K110" s="179"/>
      <c r="N110" s="171"/>
      <c r="O110" s="172"/>
      <c r="T110" s="170" t="s">
        <v>1687</v>
      </c>
      <c r="U110" s="170" t="s">
        <v>1688</v>
      </c>
    </row>
    <row r="111" ht="16" spans="1:21">
      <c r="N111" s="171"/>
      <c r="O111" s="172"/>
      <c r="T111" s="170" t="s">
        <v>1689</v>
      </c>
      <c r="U111" s="170" t="s">
        <v>1690</v>
      </c>
    </row>
    <row r="112" ht="16" spans="1:21">
      <c r="N112" s="171"/>
      <c r="O112" s="172"/>
      <c r="T112" s="170" t="s">
        <v>1692</v>
      </c>
      <c r="U112" s="170" t="s">
        <v>1693</v>
      </c>
    </row>
    <row r="113" ht="16" spans="1:15">
      <c r="N113" s="171"/>
      <c r="O113" s="172"/>
    </row>
    <row r="114" ht="15.25" spans="1:15">
      <c r="A114" s="178" cm="1">
        <f ca="1" t="array" ref="A114:J123">_xlfn.RANDARRAY(10,10,10,100,TRUE)</f>
        <v>24</v>
      </c>
      <c r="B114" s="178">
        <v>48</v>
      </c>
      <c r="C114" s="178">
        <v>23</v>
      </c>
      <c r="D114" s="178">
        <v>95</v>
      </c>
      <c r="E114" s="178">
        <v>22</v>
      </c>
      <c r="F114" s="178">
        <v>65</v>
      </c>
      <c r="G114" s="178">
        <v>42</v>
      </c>
      <c r="H114" s="178">
        <v>36</v>
      </c>
      <c r="I114" s="178">
        <v>36</v>
      </c>
      <c r="J114" s="178">
        <v>89</v>
      </c>
      <c r="K114" s="179" t="s">
        <v>1683</v>
      </c>
      <c r="N114" s="171"/>
      <c r="O114" s="172"/>
    </row>
    <row r="115" ht="15.25" spans="1:15">
      <c r="A115" s="178">
        <v>58</v>
      </c>
      <c r="B115" s="178">
        <v>16</v>
      </c>
      <c r="C115" s="178">
        <v>83</v>
      </c>
      <c r="D115" s="178">
        <v>58</v>
      </c>
      <c r="E115" s="178">
        <v>80</v>
      </c>
      <c r="F115" s="178">
        <v>98</v>
      </c>
      <c r="G115" s="178">
        <v>86</v>
      </c>
      <c r="H115" s="178">
        <v>36</v>
      </c>
      <c r="I115" s="178">
        <v>81</v>
      </c>
      <c r="J115" s="178">
        <v>92</v>
      </c>
      <c r="K115" s="179"/>
      <c r="N115" s="171"/>
      <c r="O115" s="172"/>
    </row>
    <row r="116" ht="15.25" spans="1:15">
      <c r="A116" s="178">
        <v>59</v>
      </c>
      <c r="B116" s="178">
        <v>75</v>
      </c>
      <c r="C116" s="178">
        <v>99</v>
      </c>
      <c r="D116" s="178">
        <v>74</v>
      </c>
      <c r="E116" s="178">
        <v>51</v>
      </c>
      <c r="F116" s="178">
        <v>93</v>
      </c>
      <c r="G116" s="178">
        <v>58</v>
      </c>
      <c r="H116" s="178">
        <v>87</v>
      </c>
      <c r="I116" s="178">
        <v>84</v>
      </c>
      <c r="J116" s="178">
        <v>96</v>
      </c>
      <c r="K116" s="179"/>
      <c r="N116" s="171"/>
      <c r="O116" s="172"/>
    </row>
    <row r="117" ht="15.25" spans="1:15">
      <c r="A117" s="178">
        <v>35</v>
      </c>
      <c r="B117" s="178">
        <v>61</v>
      </c>
      <c r="C117" s="178">
        <v>86</v>
      </c>
      <c r="D117" s="178">
        <v>29</v>
      </c>
      <c r="E117" s="178">
        <v>86</v>
      </c>
      <c r="F117" s="178">
        <v>39</v>
      </c>
      <c r="G117" s="178">
        <v>85</v>
      </c>
      <c r="H117" s="178">
        <v>18</v>
      </c>
      <c r="I117" s="178">
        <v>18</v>
      </c>
      <c r="J117" s="178">
        <v>74</v>
      </c>
      <c r="K117" s="179"/>
      <c r="N117" s="171"/>
      <c r="O117" s="172"/>
    </row>
    <row r="118" ht="15.25" spans="1:15">
      <c r="A118" s="178">
        <v>42</v>
      </c>
      <c r="B118" s="178">
        <v>25</v>
      </c>
      <c r="C118" s="178">
        <v>44</v>
      </c>
      <c r="D118" s="178">
        <v>85</v>
      </c>
      <c r="E118" s="178">
        <v>54</v>
      </c>
      <c r="F118" s="178">
        <v>80</v>
      </c>
      <c r="G118" s="178">
        <v>22</v>
      </c>
      <c r="H118" s="178">
        <v>88</v>
      </c>
      <c r="I118" s="178">
        <v>28</v>
      </c>
      <c r="J118" s="178">
        <v>39</v>
      </c>
      <c r="K118" s="179"/>
      <c r="N118" s="171"/>
      <c r="O118" s="172"/>
    </row>
    <row r="119" ht="15.25" spans="1:15">
      <c r="A119" s="178">
        <v>74</v>
      </c>
      <c r="B119" s="178">
        <v>57</v>
      </c>
      <c r="C119" s="178">
        <v>100</v>
      </c>
      <c r="D119" s="178">
        <v>45</v>
      </c>
      <c r="E119" s="178">
        <v>68</v>
      </c>
      <c r="F119" s="178">
        <v>16</v>
      </c>
      <c r="G119" s="178">
        <v>96</v>
      </c>
      <c r="H119" s="178">
        <v>76</v>
      </c>
      <c r="I119" s="178">
        <v>58</v>
      </c>
      <c r="J119" s="178">
        <v>28</v>
      </c>
      <c r="K119" s="179"/>
      <c r="N119" s="171"/>
      <c r="O119" s="172"/>
    </row>
    <row r="120" ht="15.25" spans="1:15">
      <c r="A120" s="178">
        <v>25</v>
      </c>
      <c r="B120" s="178">
        <v>41</v>
      </c>
      <c r="C120" s="178">
        <v>62</v>
      </c>
      <c r="D120" s="178">
        <v>26</v>
      </c>
      <c r="E120" s="178">
        <v>72</v>
      </c>
      <c r="F120" s="178">
        <v>54</v>
      </c>
      <c r="G120" s="178">
        <v>84</v>
      </c>
      <c r="H120" s="178">
        <v>10</v>
      </c>
      <c r="I120" s="178">
        <v>80</v>
      </c>
      <c r="J120" s="178">
        <v>35</v>
      </c>
      <c r="K120" s="179"/>
      <c r="N120" s="171"/>
      <c r="O120" s="172"/>
    </row>
    <row r="121" ht="15.25" spans="1:15">
      <c r="A121" s="178">
        <v>74</v>
      </c>
      <c r="B121" s="178">
        <v>46</v>
      </c>
      <c r="C121" s="178">
        <v>66</v>
      </c>
      <c r="D121" s="178">
        <v>32</v>
      </c>
      <c r="E121" s="178">
        <v>12</v>
      </c>
      <c r="F121" s="178">
        <v>20</v>
      </c>
      <c r="G121" s="178">
        <v>54</v>
      </c>
      <c r="H121" s="178">
        <v>13</v>
      </c>
      <c r="I121" s="178">
        <v>60</v>
      </c>
      <c r="J121" s="178">
        <v>26</v>
      </c>
      <c r="K121" s="179"/>
      <c r="N121" s="171"/>
      <c r="O121" s="172"/>
    </row>
    <row r="122" ht="15.25" spans="1:15">
      <c r="A122" s="178">
        <v>74</v>
      </c>
      <c r="B122" s="178">
        <v>84</v>
      </c>
      <c r="C122" s="178">
        <v>93</v>
      </c>
      <c r="D122" s="178">
        <v>55</v>
      </c>
      <c r="E122" s="178">
        <v>20</v>
      </c>
      <c r="F122" s="178">
        <v>16</v>
      </c>
      <c r="G122" s="178">
        <v>56</v>
      </c>
      <c r="H122" s="178">
        <v>75</v>
      </c>
      <c r="I122" s="178">
        <v>35</v>
      </c>
      <c r="J122" s="178">
        <v>29</v>
      </c>
      <c r="K122" s="179"/>
      <c r="N122" s="171"/>
      <c r="O122" s="172"/>
    </row>
    <row r="123" ht="15.25" spans="1:15">
      <c r="A123" s="178">
        <v>74</v>
      </c>
      <c r="B123" s="178">
        <v>27</v>
      </c>
      <c r="C123" s="178">
        <v>83</v>
      </c>
      <c r="D123" s="178">
        <v>34</v>
      </c>
      <c r="E123" s="178">
        <v>38</v>
      </c>
      <c r="F123" s="178">
        <v>75</v>
      </c>
      <c r="G123" s="178">
        <v>82</v>
      </c>
      <c r="H123" s="178">
        <v>74</v>
      </c>
      <c r="I123" s="178">
        <v>78</v>
      </c>
      <c r="J123" s="178">
        <v>43</v>
      </c>
      <c r="K123" s="179"/>
      <c r="N123" s="171"/>
      <c r="O123" s="172"/>
    </row>
    <row r="124" spans="1:15">
      <c r="N124" s="171"/>
      <c r="O124" s="172"/>
    </row>
    <row r="125" spans="1:15">
      <c r="N125" s="171"/>
      <c r="O125" s="172"/>
    </row>
    <row r="126" spans="1:15">
      <c r="N126" s="171"/>
      <c r="O126" s="172"/>
    </row>
    <row r="127" ht="15.25" spans="1:15">
      <c r="N127" s="171"/>
      <c r="O127" s="172"/>
    </row>
    <row r="128" ht="16" spans="1:15">
      <c r="A128" s="153" t="s">
        <v>0</v>
      </c>
      <c r="B128" s="153" t="s">
        <v>1</v>
      </c>
      <c r="C128" s="153" t="s">
        <v>2</v>
      </c>
      <c r="D128" s="154" t="s">
        <v>3</v>
      </c>
      <c r="E128" s="155" t="s">
        <v>4</v>
      </c>
      <c r="F128" s="155" t="s">
        <v>1492</v>
      </c>
      <c r="G128" s="155" t="s">
        <v>1493</v>
      </c>
      <c r="H128" s="176" t="s">
        <v>1494</v>
      </c>
      <c r="I128" s="180" t="s">
        <v>1685</v>
      </c>
      <c r="J128" s="153" t="str" cm="1">
        <f t="array" ref="J128:N137">_xlfn.TAKE(A128:H148,10,5)</f>
        <v>Employee ID</v>
      </c>
      <c r="K128" s="153" t="str">
        <v>Name</v>
      </c>
      <c r="L128" s="153" t="str">
        <v>Department</v>
      </c>
      <c r="M128" s="154" t="str">
        <v>Salary</v>
      </c>
      <c r="N128" s="155" t="str">
        <v>Joining Date</v>
      </c>
      <c r="O128" s="172"/>
    </row>
    <row r="129" ht="16" spans="1:15">
      <c r="A129" s="161" t="s">
        <v>5</v>
      </c>
      <c r="B129" s="161" t="s">
        <v>6</v>
      </c>
      <c r="C129" s="161" t="s">
        <v>7</v>
      </c>
      <c r="D129" s="162">
        <v>41954</v>
      </c>
      <c r="E129" s="163">
        <v>46023</v>
      </c>
      <c r="F129" s="164">
        <v>5</v>
      </c>
      <c r="G129" s="165">
        <v>9</v>
      </c>
      <c r="H129" s="177" t="s">
        <v>1495</v>
      </c>
      <c r="J129" s="161" t="str">
        <v>EMP001</v>
      </c>
      <c r="K129" s="161" t="str">
        <v>Employee_1</v>
      </c>
      <c r="L129" s="161" t="str">
        <v>Finance</v>
      </c>
      <c r="M129" s="162">
        <v>41954</v>
      </c>
      <c r="N129" s="163">
        <v>46023</v>
      </c>
      <c r="O129" s="172"/>
    </row>
    <row r="130" ht="16" spans="1:15">
      <c r="A130" s="161" t="s">
        <v>8</v>
      </c>
      <c r="B130" s="161" t="s">
        <v>9</v>
      </c>
      <c r="C130" s="161" t="s">
        <v>10</v>
      </c>
      <c r="D130" s="162">
        <v>49855</v>
      </c>
      <c r="E130" s="163">
        <v>46024</v>
      </c>
      <c r="F130" s="164">
        <v>6</v>
      </c>
      <c r="G130" s="164">
        <v>5</v>
      </c>
      <c r="H130" s="177" t="s">
        <v>1497</v>
      </c>
      <c r="J130" s="161" t="str">
        <v>EMP002</v>
      </c>
      <c r="K130" s="161" t="str">
        <v>Employee_2</v>
      </c>
      <c r="L130" s="161" t="str">
        <v>Operations</v>
      </c>
      <c r="M130" s="162">
        <v>49855</v>
      </c>
      <c r="N130" s="163">
        <v>46024</v>
      </c>
      <c r="O130" s="172"/>
    </row>
    <row r="131" ht="16" spans="1:15">
      <c r="A131" s="161" t="s">
        <v>11</v>
      </c>
      <c r="B131" s="161" t="s">
        <v>12</v>
      </c>
      <c r="C131" s="161" t="s">
        <v>13</v>
      </c>
      <c r="D131" s="162">
        <v>94210</v>
      </c>
      <c r="E131" s="163">
        <v>46025</v>
      </c>
      <c r="F131" s="164">
        <v>7</v>
      </c>
      <c r="G131" s="164">
        <v>3</v>
      </c>
      <c r="H131" s="164" t="s">
        <v>1498</v>
      </c>
      <c r="J131" s="161" t="str">
        <v>EMP003</v>
      </c>
      <c r="K131" s="161" t="str">
        <v>Employee_3</v>
      </c>
      <c r="L131" s="161" t="str">
        <v>Sales</v>
      </c>
      <c r="M131" s="162">
        <v>94210</v>
      </c>
      <c r="N131" s="163">
        <v>46025</v>
      </c>
      <c r="O131" s="172"/>
    </row>
    <row r="132" ht="16" spans="1:15">
      <c r="A132" s="161" t="s">
        <v>14</v>
      </c>
      <c r="B132" s="161" t="s">
        <v>15</v>
      </c>
      <c r="C132" s="161" t="s">
        <v>7</v>
      </c>
      <c r="D132" s="162">
        <v>74689</v>
      </c>
      <c r="E132" s="163">
        <v>46026</v>
      </c>
      <c r="F132" s="164">
        <v>8</v>
      </c>
      <c r="G132" s="164">
        <v>5</v>
      </c>
      <c r="H132" s="164" t="s">
        <v>1499</v>
      </c>
      <c r="J132" s="161" t="str">
        <v>EMP004</v>
      </c>
      <c r="K132" s="161" t="str">
        <v>Employee_4</v>
      </c>
      <c r="L132" s="161" t="str">
        <v>Finance</v>
      </c>
      <c r="M132" s="162">
        <v>74689</v>
      </c>
      <c r="N132" s="163">
        <v>46026</v>
      </c>
      <c r="O132" s="172"/>
    </row>
    <row r="133" ht="16" spans="1:15">
      <c r="A133" s="161" t="s">
        <v>16</v>
      </c>
      <c r="B133" s="161" t="s">
        <v>17</v>
      </c>
      <c r="C133" s="161" t="s">
        <v>10</v>
      </c>
      <c r="D133" s="162">
        <v>41954</v>
      </c>
      <c r="E133" s="163">
        <v>46027</v>
      </c>
      <c r="F133" s="164">
        <v>9</v>
      </c>
      <c r="G133" s="164">
        <v>7</v>
      </c>
      <c r="H133" s="164" t="s">
        <v>1500</v>
      </c>
      <c r="J133" s="161" t="str">
        <v>EMP005</v>
      </c>
      <c r="K133" s="161" t="str">
        <v>Employee_5</v>
      </c>
      <c r="L133" s="161" t="str">
        <v>Operations</v>
      </c>
      <c r="M133" s="162">
        <v>41954</v>
      </c>
      <c r="N133" s="163">
        <v>46027</v>
      </c>
      <c r="O133" s="172"/>
    </row>
    <row r="134" ht="16" spans="1:15">
      <c r="A134" s="161" t="s">
        <v>18</v>
      </c>
      <c r="B134" s="161" t="s">
        <v>12</v>
      </c>
      <c r="C134" s="161" t="s">
        <v>10</v>
      </c>
      <c r="D134" s="162">
        <v>74820</v>
      </c>
      <c r="E134" s="163">
        <v>46028</v>
      </c>
      <c r="F134" s="164">
        <v>4</v>
      </c>
      <c r="G134" s="164">
        <v>5</v>
      </c>
      <c r="H134" s="164" t="s">
        <v>1501</v>
      </c>
      <c r="J134" s="161" t="str">
        <v>EMP006</v>
      </c>
      <c r="K134" s="161" t="str">
        <v>Employee_3</v>
      </c>
      <c r="L134" s="161" t="str">
        <v>Operations</v>
      </c>
      <c r="M134" s="162">
        <v>74820</v>
      </c>
      <c r="N134" s="163">
        <v>46028</v>
      </c>
      <c r="O134" s="172"/>
    </row>
    <row r="135" ht="16" spans="1:15">
      <c r="A135" s="161" t="s">
        <v>19</v>
      </c>
      <c r="B135" s="161" t="s">
        <v>20</v>
      </c>
      <c r="C135" s="161" t="s">
        <v>13</v>
      </c>
      <c r="D135" s="162">
        <v>85206</v>
      </c>
      <c r="E135" s="163">
        <v>46029</v>
      </c>
      <c r="F135" s="164">
        <v>3</v>
      </c>
      <c r="G135" s="164">
        <v>6</v>
      </c>
      <c r="H135" s="164" t="s">
        <v>1495</v>
      </c>
      <c r="J135" s="161" t="str">
        <v>EMP007</v>
      </c>
      <c r="K135" s="161" t="str">
        <v>Employee_7</v>
      </c>
      <c r="L135" s="161" t="str">
        <v>Sales</v>
      </c>
      <c r="M135" s="162">
        <v>85206</v>
      </c>
      <c r="N135" s="163">
        <v>46029</v>
      </c>
      <c r="O135" s="172"/>
    </row>
    <row r="136" ht="16" spans="1:15">
      <c r="A136" s="161" t="s">
        <v>21</v>
      </c>
      <c r="B136" s="161" t="s">
        <v>22</v>
      </c>
      <c r="C136" s="161" t="s">
        <v>7</v>
      </c>
      <c r="D136" s="162">
        <v>30924</v>
      </c>
      <c r="E136" s="163">
        <v>46030</v>
      </c>
      <c r="F136" s="164">
        <v>8</v>
      </c>
      <c r="G136" s="164">
        <v>7</v>
      </c>
      <c r="H136" s="164" t="s">
        <v>1497</v>
      </c>
      <c r="J136" s="161" t="str">
        <v>EMP008</v>
      </c>
      <c r="K136" s="161" t="str">
        <v>Employee_8</v>
      </c>
      <c r="L136" s="161" t="str">
        <v>Finance</v>
      </c>
      <c r="M136" s="162">
        <v>30924</v>
      </c>
      <c r="N136" s="163">
        <v>46030</v>
      </c>
      <c r="O136" s="172"/>
    </row>
    <row r="137" ht="16" spans="1:15">
      <c r="A137" s="161" t="s">
        <v>23</v>
      </c>
      <c r="B137" s="161" t="s">
        <v>24</v>
      </c>
      <c r="C137" s="161" t="s">
        <v>10</v>
      </c>
      <c r="D137" s="162">
        <v>57737</v>
      </c>
      <c r="E137" s="163">
        <v>46031</v>
      </c>
      <c r="F137" s="164">
        <v>2</v>
      </c>
      <c r="G137" s="164">
        <v>8</v>
      </c>
      <c r="H137" s="164" t="s">
        <v>1498</v>
      </c>
      <c r="J137" s="161" t="str">
        <v>EMP009</v>
      </c>
      <c r="K137" s="161" t="str">
        <v>Employee_9</v>
      </c>
      <c r="L137" s="161" t="str">
        <v>Operations</v>
      </c>
      <c r="M137" s="162">
        <v>57737</v>
      </c>
      <c r="N137" s="163">
        <v>46031</v>
      </c>
      <c r="O137" s="172"/>
    </row>
    <row r="138" ht="16" spans="1:15">
      <c r="A138" s="161" t="s">
        <v>25</v>
      </c>
      <c r="B138" s="161" t="s">
        <v>26</v>
      </c>
      <c r="C138" s="161" t="s">
        <v>13</v>
      </c>
      <c r="D138" s="162">
        <v>36000</v>
      </c>
      <c r="E138" s="163">
        <v>46032</v>
      </c>
      <c r="F138" s="164">
        <v>9</v>
      </c>
      <c r="G138" s="164">
        <v>9</v>
      </c>
      <c r="H138" s="164" t="s">
        <v>1499</v>
      </c>
    </row>
    <row r="139" ht="16" spans="1:15">
      <c r="A139" s="161" t="s">
        <v>27</v>
      </c>
      <c r="B139" s="161" t="s">
        <v>28</v>
      </c>
      <c r="C139" s="161" t="s">
        <v>13</v>
      </c>
      <c r="D139" s="162">
        <v>96371</v>
      </c>
      <c r="E139" s="163">
        <v>46033</v>
      </c>
      <c r="F139" s="164">
        <v>5</v>
      </c>
      <c r="G139" s="164">
        <v>4</v>
      </c>
      <c r="H139" s="164" t="s">
        <v>1500</v>
      </c>
      <c r="N139" s="171"/>
      <c r="O139" s="172"/>
    </row>
    <row r="140" ht="16" spans="1:15">
      <c r="A140" s="161" t="s">
        <v>29</v>
      </c>
      <c r="B140" s="161" t="s">
        <v>30</v>
      </c>
      <c r="C140" s="161" t="s">
        <v>10</v>
      </c>
      <c r="D140" s="162">
        <v>85028</v>
      </c>
      <c r="E140" s="163">
        <v>46034</v>
      </c>
      <c r="F140" s="164">
        <v>3</v>
      </c>
      <c r="G140" s="164">
        <v>3</v>
      </c>
      <c r="H140" s="164" t="s">
        <v>1501</v>
      </c>
      <c r="N140" s="171"/>
      <c r="O140" s="172"/>
    </row>
    <row r="141" ht="16" spans="1:15">
      <c r="A141" s="161" t="s">
        <v>31</v>
      </c>
      <c r="B141" s="161" t="s">
        <v>32</v>
      </c>
      <c r="C141" s="161" t="s">
        <v>33</v>
      </c>
      <c r="D141" s="162">
        <v>51378</v>
      </c>
      <c r="E141" s="163">
        <v>46035</v>
      </c>
      <c r="F141" s="164">
        <v>5</v>
      </c>
      <c r="G141" s="164">
        <v>8</v>
      </c>
      <c r="H141" s="164" t="s">
        <v>1495</v>
      </c>
      <c r="N141" s="171"/>
      <c r="O141" s="172"/>
    </row>
    <row r="142" ht="16" spans="1:15">
      <c r="A142" s="161" t="s">
        <v>34</v>
      </c>
      <c r="B142" s="161" t="s">
        <v>35</v>
      </c>
      <c r="C142" s="161" t="s">
        <v>7</v>
      </c>
      <c r="D142" s="162">
        <v>49898</v>
      </c>
      <c r="E142" s="163">
        <v>46036</v>
      </c>
      <c r="F142" s="164">
        <v>7</v>
      </c>
      <c r="G142" s="164">
        <v>2</v>
      </c>
      <c r="H142" s="164" t="s">
        <v>1497</v>
      </c>
      <c r="N142" s="171"/>
      <c r="O142" s="172"/>
    </row>
    <row r="143" ht="16" spans="1:15">
      <c r="A143" s="161" t="s">
        <v>36</v>
      </c>
      <c r="B143" s="161" t="s">
        <v>37</v>
      </c>
      <c r="C143" s="161" t="s">
        <v>13</v>
      </c>
      <c r="D143" s="162">
        <v>71737</v>
      </c>
      <c r="E143" s="163">
        <v>46037</v>
      </c>
      <c r="F143" s="164">
        <v>5</v>
      </c>
      <c r="G143" s="164">
        <v>9</v>
      </c>
      <c r="H143" s="164" t="s">
        <v>1498</v>
      </c>
      <c r="N143" s="171"/>
      <c r="O143" s="172"/>
    </row>
    <row r="144" ht="16" spans="1:15">
      <c r="A144" s="161" t="s">
        <v>38</v>
      </c>
      <c r="B144" s="161" t="s">
        <v>39</v>
      </c>
      <c r="C144" s="161" t="s">
        <v>13</v>
      </c>
      <c r="D144" s="162">
        <v>89576</v>
      </c>
      <c r="E144" s="163">
        <v>46038</v>
      </c>
      <c r="F144" s="164">
        <v>6</v>
      </c>
      <c r="G144" s="164">
        <v>5</v>
      </c>
      <c r="H144" s="164" t="s">
        <v>1499</v>
      </c>
      <c r="N144" s="171"/>
      <c r="O144" s="172"/>
    </row>
    <row r="145" ht="16" spans="1:15">
      <c r="A145" s="161" t="s">
        <v>40</v>
      </c>
      <c r="B145" s="161" t="s">
        <v>41</v>
      </c>
      <c r="C145" s="161" t="s">
        <v>13</v>
      </c>
      <c r="D145" s="162">
        <v>45503</v>
      </c>
      <c r="E145" s="163">
        <v>46039</v>
      </c>
      <c r="F145" s="164">
        <v>7</v>
      </c>
      <c r="G145" s="164">
        <v>3</v>
      </c>
      <c r="H145" s="164" t="s">
        <v>1500</v>
      </c>
      <c r="N145" s="171"/>
      <c r="O145" s="172"/>
    </row>
    <row r="146" ht="16" spans="1:15">
      <c r="A146" s="161" t="s">
        <v>42</v>
      </c>
      <c r="B146" s="161" t="s">
        <v>43</v>
      </c>
      <c r="C146" s="161" t="s">
        <v>44</v>
      </c>
      <c r="D146" s="162" t="s">
        <v>45</v>
      </c>
      <c r="E146" s="163">
        <v>46040</v>
      </c>
      <c r="F146" s="164">
        <v>8</v>
      </c>
      <c r="G146" s="164">
        <v>5</v>
      </c>
      <c r="H146" s="164" t="s">
        <v>1501</v>
      </c>
      <c r="N146" s="171"/>
      <c r="O146" s="172"/>
    </row>
    <row r="147" ht="16" spans="1:15">
      <c r="A147" s="161" t="s">
        <v>46</v>
      </c>
      <c r="B147" s="161" t="s">
        <v>47</v>
      </c>
      <c r="C147" s="161" t="s">
        <v>33</v>
      </c>
      <c r="D147" s="162" t="s">
        <v>48</v>
      </c>
      <c r="E147" s="163">
        <v>46041</v>
      </c>
      <c r="F147" s="164">
        <v>9</v>
      </c>
      <c r="G147" s="164">
        <v>7</v>
      </c>
      <c r="H147" s="164" t="s">
        <v>1495</v>
      </c>
      <c r="N147" s="171"/>
      <c r="O147" s="172"/>
    </row>
    <row r="148" ht="16" spans="1:15">
      <c r="A148" s="161" t="s">
        <v>49</v>
      </c>
      <c r="B148" s="161" t="s">
        <v>50</v>
      </c>
      <c r="C148" s="161" t="s">
        <v>13</v>
      </c>
      <c r="D148" s="162" t="s">
        <v>51</v>
      </c>
      <c r="E148" s="163">
        <v>46042</v>
      </c>
      <c r="F148" s="164">
        <v>4</v>
      </c>
      <c r="G148" s="164">
        <v>5</v>
      </c>
      <c r="H148" s="164" t="s">
        <v>1497</v>
      </c>
      <c r="N148" s="171"/>
      <c r="O148" s="172"/>
    </row>
    <row r="149" ht="15.25" spans="1:15">
      <c r="N149" s="171"/>
      <c r="O149" s="172"/>
    </row>
    <row r="150" spans="1:15">
      <c r="N150" s="171"/>
      <c r="O150" s="172"/>
    </row>
    <row r="151" ht="15.25" spans="1:15">
      <c r="N151" s="171"/>
      <c r="O151" s="172"/>
    </row>
    <row r="152" ht="16" spans="1:15">
      <c r="A152" s="153" t="s">
        <v>0</v>
      </c>
      <c r="B152" s="153" t="s">
        <v>1</v>
      </c>
      <c r="C152" s="153" t="s">
        <v>2</v>
      </c>
      <c r="D152" s="154" t="s">
        <v>3</v>
      </c>
      <c r="E152" s="155" t="s">
        <v>4</v>
      </c>
      <c r="F152" s="155" t="s">
        <v>1492</v>
      </c>
      <c r="G152" s="155" t="s">
        <v>1493</v>
      </c>
      <c r="H152" s="155" t="s">
        <v>1494</v>
      </c>
      <c r="I152" s="181" t="s">
        <v>1687</v>
      </c>
      <c r="J152" s="154" t="s">
        <v>3</v>
      </c>
      <c r="K152" s="155" t="s">
        <v>4</v>
      </c>
      <c r="L152" s="155" t="s">
        <v>1492</v>
      </c>
      <c r="M152" s="155" t="s">
        <v>1493</v>
      </c>
      <c r="N152" s="155" t="s">
        <v>1494</v>
      </c>
      <c r="O152" s="172"/>
    </row>
    <row r="153" ht="16" spans="1:15">
      <c r="A153" s="161" t="s">
        <v>5</v>
      </c>
      <c r="B153" s="161" t="s">
        <v>6</v>
      </c>
      <c r="C153" s="161" t="s">
        <v>7</v>
      </c>
      <c r="D153" s="162">
        <v>41954</v>
      </c>
      <c r="E153" s="163">
        <v>46023</v>
      </c>
      <c r="F153" s="164">
        <v>5</v>
      </c>
      <c r="G153" s="165">
        <v>9</v>
      </c>
      <c r="H153" s="182" t="s">
        <v>1495</v>
      </c>
      <c r="I153" s="183" t="s">
        <v>1696</v>
      </c>
      <c r="J153" s="184" cm="1">
        <f t="array" ref="J153:N163">_xlfn.DROP(A152:H172,10,3)</f>
        <v>36000</v>
      </c>
      <c r="K153" s="185">
        <v>46032</v>
      </c>
      <c r="L153" s="186">
        <v>9</v>
      </c>
      <c r="M153" s="186">
        <v>9</v>
      </c>
      <c r="N153" s="187" t="str">
        <v>Marry</v>
      </c>
      <c r="O153" s="172"/>
    </row>
    <row r="154" ht="16" spans="1:15">
      <c r="A154" s="161" t="s">
        <v>8</v>
      </c>
      <c r="B154" s="161" t="s">
        <v>9</v>
      </c>
      <c r="C154" s="161" t="s">
        <v>10</v>
      </c>
      <c r="D154" s="162">
        <v>49855</v>
      </c>
      <c r="E154" s="163">
        <v>46024</v>
      </c>
      <c r="F154" s="164">
        <v>6</v>
      </c>
      <c r="G154" s="164">
        <v>5</v>
      </c>
      <c r="H154" s="188" t="s">
        <v>1497</v>
      </c>
      <c r="I154" s="183"/>
      <c r="J154" s="184">
        <v>96371</v>
      </c>
      <c r="K154" s="185">
        <v>46033</v>
      </c>
      <c r="L154" s="186">
        <v>5</v>
      </c>
      <c r="M154" s="186">
        <v>4</v>
      </c>
      <c r="N154" s="187" t="str">
        <v>Crimson</v>
      </c>
      <c r="O154" s="172"/>
    </row>
    <row r="155" ht="16" spans="1:15">
      <c r="A155" s="161" t="s">
        <v>11</v>
      </c>
      <c r="B155" s="161" t="s">
        <v>12</v>
      </c>
      <c r="C155" s="161" t="s">
        <v>13</v>
      </c>
      <c r="D155" s="162">
        <v>94210</v>
      </c>
      <c r="E155" s="163">
        <v>46025</v>
      </c>
      <c r="F155" s="164">
        <v>7</v>
      </c>
      <c r="G155" s="164">
        <v>3</v>
      </c>
      <c r="H155" s="165" t="s">
        <v>1498</v>
      </c>
      <c r="I155" s="183"/>
      <c r="J155" s="184">
        <v>85028</v>
      </c>
      <c r="K155" s="185">
        <v>46034</v>
      </c>
      <c r="L155" s="186">
        <v>3</v>
      </c>
      <c r="M155" s="186">
        <v>3</v>
      </c>
      <c r="N155" s="187" t="str">
        <v>Bob</v>
      </c>
      <c r="O155" s="172"/>
    </row>
    <row r="156" ht="16" spans="1:15">
      <c r="A156" s="161" t="s">
        <v>14</v>
      </c>
      <c r="B156" s="161" t="s">
        <v>15</v>
      </c>
      <c r="C156" s="161" t="s">
        <v>7</v>
      </c>
      <c r="D156" s="162">
        <v>74689</v>
      </c>
      <c r="E156" s="163">
        <v>46026</v>
      </c>
      <c r="F156" s="164">
        <v>8</v>
      </c>
      <c r="G156" s="164">
        <v>5</v>
      </c>
      <c r="H156" s="165" t="s">
        <v>1499</v>
      </c>
      <c r="I156" s="183"/>
      <c r="J156" s="184">
        <v>51378</v>
      </c>
      <c r="K156" s="185">
        <v>46035</v>
      </c>
      <c r="L156" s="186">
        <v>5</v>
      </c>
      <c r="M156" s="186">
        <v>8</v>
      </c>
      <c r="N156" s="187" t="str">
        <v>Dhanush</v>
      </c>
      <c r="O156" s="172"/>
    </row>
    <row r="157" ht="16" spans="1:15">
      <c r="A157" s="161" t="s">
        <v>16</v>
      </c>
      <c r="B157" s="161" t="s">
        <v>17</v>
      </c>
      <c r="C157" s="161" t="s">
        <v>10</v>
      </c>
      <c r="D157" s="162">
        <v>41954</v>
      </c>
      <c r="E157" s="163">
        <v>46027</v>
      </c>
      <c r="F157" s="164">
        <v>9</v>
      </c>
      <c r="G157" s="164">
        <v>7</v>
      </c>
      <c r="H157" s="165" t="s">
        <v>1500</v>
      </c>
      <c r="I157" s="183"/>
      <c r="J157" s="184">
        <v>49898</v>
      </c>
      <c r="K157" s="185">
        <v>46036</v>
      </c>
      <c r="L157" s="186">
        <v>7</v>
      </c>
      <c r="M157" s="186">
        <v>2</v>
      </c>
      <c r="N157" s="187" t="str">
        <v>Arun</v>
      </c>
      <c r="O157" s="172"/>
    </row>
    <row r="158" ht="16" spans="1:15">
      <c r="A158" s="161" t="s">
        <v>18</v>
      </c>
      <c r="B158" s="161" t="s">
        <v>12</v>
      </c>
      <c r="C158" s="161" t="s">
        <v>10</v>
      </c>
      <c r="D158" s="162">
        <v>74820</v>
      </c>
      <c r="E158" s="163">
        <v>46028</v>
      </c>
      <c r="F158" s="164">
        <v>4</v>
      </c>
      <c r="G158" s="164">
        <v>5</v>
      </c>
      <c r="H158" s="164" t="s">
        <v>1501</v>
      </c>
      <c r="J158" s="184">
        <v>71737</v>
      </c>
      <c r="K158" s="185">
        <v>46037</v>
      </c>
      <c r="L158" s="186">
        <v>5</v>
      </c>
      <c r="M158" s="186">
        <v>9</v>
      </c>
      <c r="N158" s="187" t="str">
        <v>Jhon</v>
      </c>
      <c r="O158" s="172"/>
    </row>
    <row r="159" ht="16" spans="1:15">
      <c r="A159" s="161" t="s">
        <v>19</v>
      </c>
      <c r="B159" s="161" t="s">
        <v>20</v>
      </c>
      <c r="C159" s="161" t="s">
        <v>13</v>
      </c>
      <c r="D159" s="162">
        <v>85206</v>
      </c>
      <c r="E159" s="163">
        <v>46029</v>
      </c>
      <c r="F159" s="164">
        <v>3</v>
      </c>
      <c r="G159" s="164">
        <v>6</v>
      </c>
      <c r="H159" s="164" t="s">
        <v>1495</v>
      </c>
      <c r="J159" s="184">
        <v>89576</v>
      </c>
      <c r="K159" s="185">
        <v>46038</v>
      </c>
      <c r="L159" s="186">
        <v>6</v>
      </c>
      <c r="M159" s="186">
        <v>5</v>
      </c>
      <c r="N159" s="187" t="str">
        <v>Marry</v>
      </c>
      <c r="O159" s="172"/>
    </row>
    <row r="160" ht="16" spans="1:15">
      <c r="A160" s="161" t="s">
        <v>21</v>
      </c>
      <c r="B160" s="161" t="s">
        <v>22</v>
      </c>
      <c r="C160" s="161" t="s">
        <v>7</v>
      </c>
      <c r="D160" s="162">
        <v>30924</v>
      </c>
      <c r="E160" s="163">
        <v>46030</v>
      </c>
      <c r="F160" s="164">
        <v>8</v>
      </c>
      <c r="G160" s="164">
        <v>7</v>
      </c>
      <c r="H160" s="164" t="s">
        <v>1497</v>
      </c>
      <c r="J160" s="184">
        <v>45503</v>
      </c>
      <c r="K160" s="185">
        <v>46039</v>
      </c>
      <c r="L160" s="186">
        <v>7</v>
      </c>
      <c r="M160" s="186">
        <v>3</v>
      </c>
      <c r="N160" s="187" t="str">
        <v>Crimson</v>
      </c>
      <c r="O160" s="172"/>
    </row>
    <row r="161" ht="16" spans="1:15">
      <c r="A161" s="161" t="s">
        <v>23</v>
      </c>
      <c r="B161" s="161" t="s">
        <v>24</v>
      </c>
      <c r="C161" s="161" t="s">
        <v>10</v>
      </c>
      <c r="D161" s="162">
        <v>57737</v>
      </c>
      <c r="E161" s="163">
        <v>46031</v>
      </c>
      <c r="F161" s="164">
        <v>2</v>
      </c>
      <c r="G161" s="164">
        <v>8</v>
      </c>
      <c r="H161" s="164" t="s">
        <v>1498</v>
      </c>
      <c r="J161" s="184" t="str">
        <v>₹  54,752.00</v>
      </c>
      <c r="K161" s="185">
        <v>46040</v>
      </c>
      <c r="L161" s="186">
        <v>8</v>
      </c>
      <c r="M161" s="186">
        <v>5</v>
      </c>
      <c r="N161" s="187" t="str">
        <v>Bob</v>
      </c>
      <c r="O161" s="172"/>
    </row>
    <row r="162" ht="16" spans="1:15">
      <c r="A162" s="161" t="s">
        <v>25</v>
      </c>
      <c r="B162" s="161" t="s">
        <v>26</v>
      </c>
      <c r="C162" s="161" t="s">
        <v>13</v>
      </c>
      <c r="D162" s="162">
        <v>36000</v>
      </c>
      <c r="E162" s="163">
        <v>46032</v>
      </c>
      <c r="F162" s="164">
        <v>9</v>
      </c>
      <c r="G162" s="164">
        <v>9</v>
      </c>
      <c r="H162" s="164" t="s">
        <v>1499</v>
      </c>
      <c r="J162" s="184" t="str">
        <v>₹  89,685.00</v>
      </c>
      <c r="K162" s="185">
        <v>46041</v>
      </c>
      <c r="L162" s="186">
        <v>9</v>
      </c>
      <c r="M162" s="186">
        <v>7</v>
      </c>
      <c r="N162" s="187" t="str">
        <v>Dhanush</v>
      </c>
      <c r="O162" s="172"/>
    </row>
    <row r="163" ht="16" spans="1:15">
      <c r="A163" s="161" t="s">
        <v>27</v>
      </c>
      <c r="B163" s="161" t="s">
        <v>28</v>
      </c>
      <c r="C163" s="161" t="s">
        <v>13</v>
      </c>
      <c r="D163" s="162">
        <v>96371</v>
      </c>
      <c r="E163" s="163">
        <v>46033</v>
      </c>
      <c r="F163" s="164">
        <v>5</v>
      </c>
      <c r="G163" s="164">
        <v>4</v>
      </c>
      <c r="H163" s="164" t="s">
        <v>1500</v>
      </c>
      <c r="J163" s="184" t="str">
        <v>₹  97,208.00</v>
      </c>
      <c r="K163" s="185">
        <v>46042</v>
      </c>
      <c r="L163" s="186">
        <v>4</v>
      </c>
      <c r="M163" s="186">
        <v>5</v>
      </c>
      <c r="N163" s="187" t="str">
        <v>Arun</v>
      </c>
      <c r="O163" s="172"/>
    </row>
    <row r="164" ht="16" spans="1:15">
      <c r="A164" s="161" t="s">
        <v>29</v>
      </c>
      <c r="B164" s="161" t="s">
        <v>30</v>
      </c>
      <c r="C164" s="161" t="s">
        <v>10</v>
      </c>
      <c r="D164" s="162">
        <v>85028</v>
      </c>
      <c r="E164" s="163">
        <v>46034</v>
      </c>
      <c r="F164" s="164">
        <v>3</v>
      </c>
      <c r="G164" s="164">
        <v>3</v>
      </c>
      <c r="H164" s="164" t="s">
        <v>1501</v>
      </c>
      <c r="N164" s="171"/>
      <c r="O164" s="172"/>
    </row>
    <row r="165" ht="16" spans="1:15">
      <c r="A165" s="161" t="s">
        <v>31</v>
      </c>
      <c r="B165" s="161" t="s">
        <v>32</v>
      </c>
      <c r="C165" s="161" t="s">
        <v>33</v>
      </c>
      <c r="D165" s="162">
        <v>51378</v>
      </c>
      <c r="E165" s="163">
        <v>46035</v>
      </c>
      <c r="F165" s="164">
        <v>5</v>
      </c>
      <c r="G165" s="164">
        <v>8</v>
      </c>
      <c r="H165" s="164" t="s">
        <v>1495</v>
      </c>
      <c r="N165" s="171"/>
      <c r="O165" s="172"/>
    </row>
    <row r="166" ht="16" spans="1:15">
      <c r="A166" s="161" t="s">
        <v>34</v>
      </c>
      <c r="B166" s="161" t="s">
        <v>35</v>
      </c>
      <c r="C166" s="161" t="s">
        <v>7</v>
      </c>
      <c r="D166" s="162">
        <v>49898</v>
      </c>
      <c r="E166" s="163">
        <v>46036</v>
      </c>
      <c r="F166" s="164">
        <v>7</v>
      </c>
      <c r="G166" s="164">
        <v>2</v>
      </c>
      <c r="H166" s="164" t="s">
        <v>1497</v>
      </c>
      <c r="N166" s="171"/>
      <c r="O166" s="172"/>
    </row>
    <row r="167" ht="16" spans="1:15">
      <c r="A167" s="161" t="s">
        <v>36</v>
      </c>
      <c r="B167" s="161" t="s">
        <v>37</v>
      </c>
      <c r="C167" s="161" t="s">
        <v>13</v>
      </c>
      <c r="D167" s="162">
        <v>71737</v>
      </c>
      <c r="E167" s="163">
        <v>46037</v>
      </c>
      <c r="F167" s="164">
        <v>5</v>
      </c>
      <c r="G167" s="164">
        <v>9</v>
      </c>
      <c r="H167" s="164" t="s">
        <v>1498</v>
      </c>
      <c r="N167" s="171"/>
      <c r="O167" s="172"/>
    </row>
    <row r="168" ht="16" spans="1:15">
      <c r="A168" s="161" t="s">
        <v>38</v>
      </c>
      <c r="B168" s="161" t="s">
        <v>39</v>
      </c>
      <c r="C168" s="161" t="s">
        <v>13</v>
      </c>
      <c r="D168" s="162">
        <v>89576</v>
      </c>
      <c r="E168" s="163">
        <v>46038</v>
      </c>
      <c r="F168" s="164">
        <v>6</v>
      </c>
      <c r="G168" s="164">
        <v>5</v>
      </c>
      <c r="H168" s="164" t="s">
        <v>1499</v>
      </c>
      <c r="N168" s="171"/>
      <c r="O168" s="172"/>
    </row>
    <row r="169" ht="16" spans="1:15">
      <c r="A169" s="161" t="s">
        <v>40</v>
      </c>
      <c r="B169" s="161" t="s">
        <v>41</v>
      </c>
      <c r="C169" s="161" t="s">
        <v>13</v>
      </c>
      <c r="D169" s="162">
        <v>45503</v>
      </c>
      <c r="E169" s="163">
        <v>46039</v>
      </c>
      <c r="F169" s="164">
        <v>7</v>
      </c>
      <c r="G169" s="164">
        <v>3</v>
      </c>
      <c r="H169" s="164" t="s">
        <v>1500</v>
      </c>
      <c r="N169" s="171"/>
      <c r="O169" s="172"/>
    </row>
    <row r="170" ht="16" spans="1:15">
      <c r="A170" s="161" t="s">
        <v>42</v>
      </c>
      <c r="B170" s="161" t="s">
        <v>43</v>
      </c>
      <c r="C170" s="161" t="s">
        <v>44</v>
      </c>
      <c r="D170" s="162" t="s">
        <v>45</v>
      </c>
      <c r="E170" s="163">
        <v>46040</v>
      </c>
      <c r="F170" s="164">
        <v>8</v>
      </c>
      <c r="G170" s="164">
        <v>5</v>
      </c>
      <c r="H170" s="164" t="s">
        <v>1501</v>
      </c>
      <c r="N170" s="171"/>
      <c r="O170" s="172"/>
    </row>
    <row r="171" ht="16" spans="1:15">
      <c r="A171" s="161" t="s">
        <v>46</v>
      </c>
      <c r="B171" s="161" t="s">
        <v>47</v>
      </c>
      <c r="C171" s="161" t="s">
        <v>33</v>
      </c>
      <c r="D171" s="162" t="s">
        <v>48</v>
      </c>
      <c r="E171" s="163">
        <v>46041</v>
      </c>
      <c r="F171" s="164">
        <v>9</v>
      </c>
      <c r="G171" s="164">
        <v>7</v>
      </c>
      <c r="H171" s="164" t="s">
        <v>1495</v>
      </c>
      <c r="N171" s="171"/>
      <c r="O171" s="172"/>
    </row>
    <row r="172" ht="16" spans="1:15">
      <c r="A172" s="161" t="s">
        <v>49</v>
      </c>
      <c r="B172" s="161" t="s">
        <v>50</v>
      </c>
      <c r="C172" s="161" t="s">
        <v>13</v>
      </c>
      <c r="D172" s="162" t="s">
        <v>51</v>
      </c>
      <c r="E172" s="163">
        <v>46042</v>
      </c>
      <c r="F172" s="164">
        <v>4</v>
      </c>
      <c r="G172" s="164">
        <v>5</v>
      </c>
      <c r="H172" s="164" t="s">
        <v>1497</v>
      </c>
      <c r="N172" s="171"/>
      <c r="O172" s="172"/>
    </row>
    <row r="173" ht="15.25" spans="1:15">
      <c r="N173" s="171"/>
      <c r="O173" s="172"/>
    </row>
    <row r="174" spans="1:15">
      <c r="N174" s="171"/>
      <c r="O174" s="172"/>
    </row>
    <row r="175" spans="1:15">
      <c r="N175" s="171"/>
      <c r="O175" s="172"/>
    </row>
    <row r="176" ht="15.25" spans="1:15">
      <c r="N176" s="171"/>
      <c r="O176" s="172"/>
    </row>
    <row r="177" ht="16" spans="1:15">
      <c r="A177" s="153" t="s">
        <v>0</v>
      </c>
      <c r="B177" s="153" t="s">
        <v>1</v>
      </c>
      <c r="C177" s="153" t="s">
        <v>2</v>
      </c>
      <c r="D177" s="154" t="s">
        <v>3</v>
      </c>
      <c r="E177" s="155" t="s">
        <v>4</v>
      </c>
      <c r="F177" s="155" t="s">
        <v>1492</v>
      </c>
      <c r="G177" s="155" t="s">
        <v>1493</v>
      </c>
      <c r="H177" s="155" t="s">
        <v>1494</v>
      </c>
      <c r="I177" s="181" t="s">
        <v>1689</v>
      </c>
      <c r="J177" s="186" t="str" cm="1">
        <f t="array" ref="J177:J204">_xlfn.TOCOL(A177:D183)</f>
        <v>Employee ID</v>
      </c>
      <c r="N177" s="171"/>
      <c r="O177" s="172"/>
    </row>
    <row r="178" ht="16" spans="1:15">
      <c r="A178" s="161" t="s">
        <v>5</v>
      </c>
      <c r="B178" s="161" t="s">
        <v>6</v>
      </c>
      <c r="C178" s="161" t="s">
        <v>7</v>
      </c>
      <c r="D178" s="162">
        <v>41954</v>
      </c>
      <c r="E178" s="163">
        <v>46023</v>
      </c>
      <c r="F178" s="164">
        <v>5</v>
      </c>
      <c r="G178" s="165">
        <v>9</v>
      </c>
      <c r="H178" s="182" t="s">
        <v>1495</v>
      </c>
      <c r="I178" s="183" t="s">
        <v>1697</v>
      </c>
      <c r="J178" s="186" t="str">
        <v>Name</v>
      </c>
      <c r="N178" s="171"/>
      <c r="O178" s="172"/>
    </row>
    <row r="179" ht="16" spans="1:15">
      <c r="A179" s="161" t="s">
        <v>8</v>
      </c>
      <c r="B179" s="161" t="s">
        <v>9</v>
      </c>
      <c r="C179" s="161" t="s">
        <v>10</v>
      </c>
      <c r="D179" s="162">
        <v>49855</v>
      </c>
      <c r="E179" s="163">
        <v>46024</v>
      </c>
      <c r="F179" s="164">
        <v>6</v>
      </c>
      <c r="G179" s="164">
        <v>5</v>
      </c>
      <c r="H179" s="188" t="s">
        <v>1497</v>
      </c>
      <c r="I179" s="183"/>
      <c r="J179" s="186" t="str">
        <v>Department</v>
      </c>
      <c r="N179" s="171"/>
      <c r="O179" s="172"/>
    </row>
    <row r="180" ht="16" spans="1:15">
      <c r="A180" s="161" t="s">
        <v>11</v>
      </c>
      <c r="B180" s="161" t="s">
        <v>12</v>
      </c>
      <c r="C180" s="161" t="s">
        <v>13</v>
      </c>
      <c r="D180" s="162">
        <v>94210</v>
      </c>
      <c r="E180" s="163">
        <v>46025</v>
      </c>
      <c r="F180" s="164">
        <v>7</v>
      </c>
      <c r="G180" s="164">
        <v>3</v>
      </c>
      <c r="H180" s="165" t="s">
        <v>1498</v>
      </c>
      <c r="I180" s="183"/>
      <c r="J180" s="186" t="str">
        <v>Salary</v>
      </c>
      <c r="N180" s="171"/>
      <c r="O180" s="172"/>
    </row>
    <row r="181" ht="16" spans="1:15">
      <c r="A181" s="161" t="s">
        <v>14</v>
      </c>
      <c r="B181" s="161" t="s">
        <v>15</v>
      </c>
      <c r="C181" s="161" t="s">
        <v>7</v>
      </c>
      <c r="D181" s="162">
        <v>74689</v>
      </c>
      <c r="E181" s="163">
        <v>46026</v>
      </c>
      <c r="F181" s="164">
        <v>8</v>
      </c>
      <c r="G181" s="164">
        <v>5</v>
      </c>
      <c r="H181" s="165" t="s">
        <v>1499</v>
      </c>
      <c r="I181" s="183"/>
      <c r="J181" s="189" t="str">
        <v>EMP001</v>
      </c>
      <c r="N181" s="171"/>
      <c r="O181" s="172"/>
    </row>
    <row r="182" ht="16" spans="1:15">
      <c r="A182" s="161" t="s">
        <v>16</v>
      </c>
      <c r="B182" s="161" t="s">
        <v>17</v>
      </c>
      <c r="C182" s="161" t="s">
        <v>10</v>
      </c>
      <c r="D182" s="162">
        <v>41954</v>
      </c>
      <c r="E182" s="163">
        <v>46027</v>
      </c>
      <c r="F182" s="164">
        <v>9</v>
      </c>
      <c r="G182" s="164">
        <v>7</v>
      </c>
      <c r="H182" s="165" t="s">
        <v>1500</v>
      </c>
      <c r="I182" s="183"/>
      <c r="J182" s="189" t="str">
        <v>Employee_1</v>
      </c>
      <c r="N182" s="171"/>
      <c r="O182" s="172"/>
    </row>
    <row r="183" ht="16" spans="1:15">
      <c r="A183" s="161" t="s">
        <v>18</v>
      </c>
      <c r="B183" s="161" t="s">
        <v>12</v>
      </c>
      <c r="C183" s="161" t="s">
        <v>10</v>
      </c>
      <c r="D183" s="162">
        <v>74820</v>
      </c>
      <c r="E183" s="163">
        <v>46028</v>
      </c>
      <c r="F183" s="164">
        <v>4</v>
      </c>
      <c r="G183" s="164">
        <v>5</v>
      </c>
      <c r="H183" s="164" t="s">
        <v>1501</v>
      </c>
      <c r="J183" s="189" t="str">
        <v>Finance</v>
      </c>
      <c r="N183" s="171"/>
      <c r="O183" s="172"/>
    </row>
    <row r="184" ht="16" spans="1:15">
      <c r="A184" s="161" t="s">
        <v>19</v>
      </c>
      <c r="B184" s="161" t="s">
        <v>20</v>
      </c>
      <c r="C184" s="161" t="s">
        <v>13</v>
      </c>
      <c r="D184" s="162">
        <v>85206</v>
      </c>
      <c r="E184" s="163">
        <v>46029</v>
      </c>
      <c r="F184" s="164">
        <v>3</v>
      </c>
      <c r="G184" s="164">
        <v>6</v>
      </c>
      <c r="H184" s="164" t="s">
        <v>1495</v>
      </c>
      <c r="J184" s="189">
        <v>41954</v>
      </c>
      <c r="N184" s="171"/>
      <c r="O184" s="172"/>
    </row>
    <row r="185" ht="16" spans="1:15">
      <c r="A185" s="161" t="s">
        <v>21</v>
      </c>
      <c r="B185" s="161" t="s">
        <v>22</v>
      </c>
      <c r="C185" s="161" t="s">
        <v>7</v>
      </c>
      <c r="D185" s="162">
        <v>30924</v>
      </c>
      <c r="E185" s="163">
        <v>46030</v>
      </c>
      <c r="F185" s="164">
        <v>8</v>
      </c>
      <c r="G185" s="164">
        <v>7</v>
      </c>
      <c r="H185" s="164" t="s">
        <v>1497</v>
      </c>
      <c r="J185" s="190" t="str">
        <v>EMP002</v>
      </c>
      <c r="N185" s="171"/>
      <c r="O185" s="172"/>
    </row>
    <row r="186" ht="16" spans="1:15">
      <c r="A186" s="161" t="s">
        <v>23</v>
      </c>
      <c r="B186" s="161" t="s">
        <v>24</v>
      </c>
      <c r="C186" s="161" t="s">
        <v>10</v>
      </c>
      <c r="D186" s="162">
        <v>57737</v>
      </c>
      <c r="E186" s="163">
        <v>46031</v>
      </c>
      <c r="F186" s="164">
        <v>2</v>
      </c>
      <c r="G186" s="164">
        <v>8</v>
      </c>
      <c r="H186" s="164" t="s">
        <v>1498</v>
      </c>
      <c r="J186" s="190" t="str">
        <v>Employee_2</v>
      </c>
      <c r="N186" s="171"/>
      <c r="O186" s="172"/>
    </row>
    <row r="187" ht="16" spans="1:15">
      <c r="A187" s="161" t="s">
        <v>25</v>
      </c>
      <c r="B187" s="161" t="s">
        <v>26</v>
      </c>
      <c r="C187" s="161" t="s">
        <v>13</v>
      </c>
      <c r="D187" s="162">
        <v>36000</v>
      </c>
      <c r="E187" s="163">
        <v>46032</v>
      </c>
      <c r="F187" s="164">
        <v>9</v>
      </c>
      <c r="G187" s="164">
        <v>9</v>
      </c>
      <c r="H187" s="164" t="s">
        <v>1499</v>
      </c>
      <c r="J187" s="190" t="str">
        <v>Operations</v>
      </c>
      <c r="N187" s="171"/>
      <c r="O187" s="172"/>
    </row>
    <row r="188" ht="16" spans="1:15">
      <c r="A188" s="161" t="s">
        <v>27</v>
      </c>
      <c r="B188" s="161" t="s">
        <v>28</v>
      </c>
      <c r="C188" s="161" t="s">
        <v>13</v>
      </c>
      <c r="D188" s="162">
        <v>96371</v>
      </c>
      <c r="E188" s="163">
        <v>46033</v>
      </c>
      <c r="F188" s="164">
        <v>5</v>
      </c>
      <c r="G188" s="164">
        <v>4</v>
      </c>
      <c r="H188" s="164" t="s">
        <v>1500</v>
      </c>
      <c r="J188" s="190">
        <v>49855</v>
      </c>
      <c r="N188" s="171"/>
      <c r="O188" s="172"/>
    </row>
    <row r="189" ht="16" spans="1:15">
      <c r="A189" s="161" t="s">
        <v>29</v>
      </c>
      <c r="B189" s="161" t="s">
        <v>30</v>
      </c>
      <c r="C189" s="161" t="s">
        <v>10</v>
      </c>
      <c r="D189" s="162">
        <v>85028</v>
      </c>
      <c r="E189" s="163">
        <v>46034</v>
      </c>
      <c r="F189" s="164">
        <v>3</v>
      </c>
      <c r="G189" s="164">
        <v>3</v>
      </c>
      <c r="H189" s="164" t="s">
        <v>1501</v>
      </c>
      <c r="J189" s="189" t="str">
        <v>EMP003</v>
      </c>
      <c r="N189" s="171"/>
      <c r="O189" s="172"/>
    </row>
    <row r="190" ht="16" spans="1:15">
      <c r="A190" s="161" t="s">
        <v>31</v>
      </c>
      <c r="B190" s="161" t="s">
        <v>32</v>
      </c>
      <c r="C190" s="161" t="s">
        <v>33</v>
      </c>
      <c r="D190" s="162">
        <v>51378</v>
      </c>
      <c r="E190" s="163">
        <v>46035</v>
      </c>
      <c r="F190" s="164">
        <v>5</v>
      </c>
      <c r="G190" s="164">
        <v>8</v>
      </c>
      <c r="H190" s="164" t="s">
        <v>1495</v>
      </c>
      <c r="J190" s="189" t="str">
        <v>Employee_3</v>
      </c>
      <c r="N190" s="171"/>
      <c r="O190" s="172"/>
    </row>
    <row r="191" ht="16" spans="1:15">
      <c r="A191" s="161" t="s">
        <v>34</v>
      </c>
      <c r="B191" s="161" t="s">
        <v>35</v>
      </c>
      <c r="C191" s="161" t="s">
        <v>7</v>
      </c>
      <c r="D191" s="162">
        <v>49898</v>
      </c>
      <c r="E191" s="163">
        <v>46036</v>
      </c>
      <c r="F191" s="164">
        <v>7</v>
      </c>
      <c r="G191" s="164">
        <v>2</v>
      </c>
      <c r="H191" s="164" t="s">
        <v>1497</v>
      </c>
      <c r="J191" s="189" t="str">
        <v>Sales</v>
      </c>
      <c r="N191" s="171"/>
      <c r="O191" s="172"/>
    </row>
    <row r="192" ht="16" spans="1:15">
      <c r="A192" s="161" t="s">
        <v>36</v>
      </c>
      <c r="B192" s="161" t="s">
        <v>37</v>
      </c>
      <c r="C192" s="161" t="s">
        <v>13</v>
      </c>
      <c r="D192" s="162">
        <v>71737</v>
      </c>
      <c r="E192" s="163">
        <v>46037</v>
      </c>
      <c r="F192" s="164">
        <v>5</v>
      </c>
      <c r="G192" s="164">
        <v>9</v>
      </c>
      <c r="H192" s="164" t="s">
        <v>1498</v>
      </c>
      <c r="J192" s="189">
        <v>94210</v>
      </c>
      <c r="N192" s="171"/>
      <c r="O192" s="172"/>
    </row>
    <row r="193" ht="16" spans="1:15">
      <c r="A193" s="161" t="s">
        <v>38</v>
      </c>
      <c r="B193" s="161" t="s">
        <v>39</v>
      </c>
      <c r="C193" s="161" t="s">
        <v>13</v>
      </c>
      <c r="D193" s="162">
        <v>89576</v>
      </c>
      <c r="E193" s="163">
        <v>46038</v>
      </c>
      <c r="F193" s="164">
        <v>6</v>
      </c>
      <c r="G193" s="164">
        <v>5</v>
      </c>
      <c r="H193" s="164" t="s">
        <v>1499</v>
      </c>
      <c r="J193" s="190" t="str">
        <v>EMP004</v>
      </c>
      <c r="N193" s="171"/>
      <c r="O193" s="172"/>
    </row>
    <row r="194" ht="16" spans="1:15">
      <c r="A194" s="161" t="s">
        <v>40</v>
      </c>
      <c r="B194" s="161" t="s">
        <v>41</v>
      </c>
      <c r="C194" s="161" t="s">
        <v>13</v>
      </c>
      <c r="D194" s="162">
        <v>45503</v>
      </c>
      <c r="E194" s="163">
        <v>46039</v>
      </c>
      <c r="F194" s="164">
        <v>7</v>
      </c>
      <c r="G194" s="164">
        <v>3</v>
      </c>
      <c r="H194" s="164" t="s">
        <v>1500</v>
      </c>
      <c r="J194" s="190" t="str">
        <v>Employee_4</v>
      </c>
      <c r="N194" s="171"/>
      <c r="O194" s="172"/>
    </row>
    <row r="195" ht="16" spans="1:15">
      <c r="A195" s="161" t="s">
        <v>42</v>
      </c>
      <c r="B195" s="161" t="s">
        <v>43</v>
      </c>
      <c r="C195" s="161" t="s">
        <v>44</v>
      </c>
      <c r="D195" s="162" t="s">
        <v>45</v>
      </c>
      <c r="E195" s="163">
        <v>46040</v>
      </c>
      <c r="F195" s="164">
        <v>8</v>
      </c>
      <c r="G195" s="164">
        <v>5</v>
      </c>
      <c r="H195" s="164" t="s">
        <v>1501</v>
      </c>
      <c r="J195" s="190" t="str">
        <v>Finance</v>
      </c>
      <c r="N195" s="171"/>
      <c r="O195" s="172"/>
    </row>
    <row r="196" ht="16" spans="1:15">
      <c r="A196" s="161" t="s">
        <v>46</v>
      </c>
      <c r="B196" s="161" t="s">
        <v>47</v>
      </c>
      <c r="C196" s="161" t="s">
        <v>33</v>
      </c>
      <c r="D196" s="162" t="s">
        <v>48</v>
      </c>
      <c r="E196" s="163">
        <v>46041</v>
      </c>
      <c r="F196" s="164">
        <v>9</v>
      </c>
      <c r="G196" s="164">
        <v>7</v>
      </c>
      <c r="H196" s="164" t="s">
        <v>1495</v>
      </c>
      <c r="J196" s="190">
        <v>74689</v>
      </c>
      <c r="N196" s="171"/>
      <c r="O196" s="172"/>
    </row>
    <row r="197" ht="16" spans="1:15">
      <c r="A197" s="161" t="s">
        <v>49</v>
      </c>
      <c r="B197" s="161" t="s">
        <v>50</v>
      </c>
      <c r="C197" s="161" t="s">
        <v>13</v>
      </c>
      <c r="D197" s="162" t="s">
        <v>51</v>
      </c>
      <c r="E197" s="163">
        <v>46042</v>
      </c>
      <c r="F197" s="164">
        <v>4</v>
      </c>
      <c r="G197" s="164">
        <v>5</v>
      </c>
      <c r="H197" s="164" t="s">
        <v>1497</v>
      </c>
      <c r="J197" s="189" t="str">
        <v>EMP005</v>
      </c>
      <c r="N197" s="171"/>
      <c r="O197" s="172"/>
    </row>
    <row r="198" ht="16" spans="1:15">
      <c r="J198" s="189" t="str">
        <v>Employee_5</v>
      </c>
      <c r="N198" s="171"/>
      <c r="O198" s="172"/>
    </row>
    <row r="199" ht="15.25" spans="1:15">
      <c r="J199" s="189" t="str">
        <v>Operations</v>
      </c>
      <c r="N199" s="171"/>
      <c r="O199" s="172"/>
    </row>
    <row r="200" ht="15.25" spans="1:15">
      <c r="J200" s="189">
        <v>41954</v>
      </c>
      <c r="N200" s="171"/>
      <c r="O200" s="172"/>
    </row>
    <row r="201" ht="15.25" spans="1:15">
      <c r="J201" s="190" t="str">
        <v>EMP006</v>
      </c>
      <c r="N201" s="171"/>
      <c r="O201" s="172"/>
    </row>
    <row r="202" ht="15.25" spans="1:15">
      <c r="J202" s="190" t="str">
        <v>Employee_3</v>
      </c>
      <c r="N202" s="171"/>
      <c r="O202" s="172"/>
    </row>
    <row r="203" ht="15.25" spans="1:15">
      <c r="J203" s="190" t="str">
        <v>Operations</v>
      </c>
      <c r="N203" s="171"/>
      <c r="O203" s="172"/>
    </row>
    <row r="204" ht="15.25" spans="1:15">
      <c r="J204" s="190">
        <v>74820</v>
      </c>
      <c r="N204" s="171"/>
      <c r="O204" s="172"/>
    </row>
    <row r="205" spans="1:15">
      <c r="N205" s="171"/>
      <c r="O205" s="172"/>
    </row>
    <row r="206" spans="1:15">
      <c r="N206" s="171"/>
      <c r="O206" s="172"/>
    </row>
    <row r="207" spans="1:15">
      <c r="N207" s="171"/>
      <c r="O207" s="172"/>
    </row>
    <row r="208" spans="1:15">
      <c r="N208" s="171"/>
      <c r="O208" s="172"/>
    </row>
    <row r="209" spans="1:15">
      <c r="N209" s="171"/>
      <c r="O209" s="172"/>
    </row>
    <row r="210" spans="1:15">
      <c r="N210" s="171"/>
      <c r="O210" s="172"/>
    </row>
    <row r="211" spans="1:15">
      <c r="N211" s="171"/>
      <c r="O211" s="172"/>
    </row>
    <row r="212" spans="1:15">
      <c r="N212" s="171"/>
      <c r="O212" s="172"/>
    </row>
    <row r="213" ht="15.25" spans="1:15">
      <c r="N213" s="171"/>
      <c r="O213" s="172"/>
    </row>
    <row r="214" ht="16" spans="1:15">
      <c r="A214" s="153" t="s">
        <v>0</v>
      </c>
      <c r="B214" s="153" t="s">
        <v>1</v>
      </c>
      <c r="C214" s="153" t="s">
        <v>2</v>
      </c>
      <c r="D214" s="154" t="s">
        <v>3</v>
      </c>
      <c r="E214" s="155" t="s">
        <v>4</v>
      </c>
      <c r="F214" s="155" t="s">
        <v>1492</v>
      </c>
      <c r="G214" s="155" t="s">
        <v>1493</v>
      </c>
      <c r="H214" s="155" t="s">
        <v>1494</v>
      </c>
      <c r="I214" s="181" t="s">
        <v>1692</v>
      </c>
    </row>
    <row r="215" ht="16" spans="1:15">
      <c r="A215" s="161" t="s">
        <v>5</v>
      </c>
      <c r="B215" s="161" t="s">
        <v>6</v>
      </c>
      <c r="C215" s="161" t="s">
        <v>7</v>
      </c>
      <c r="D215" s="162">
        <v>41954</v>
      </c>
      <c r="E215" s="163">
        <v>46023</v>
      </c>
      <c r="F215" s="164">
        <v>5</v>
      </c>
      <c r="G215" s="165">
        <v>9</v>
      </c>
      <c r="H215" s="182" t="s">
        <v>1495</v>
      </c>
      <c r="I215" s="183" t="s">
        <v>1698</v>
      </c>
    </row>
    <row r="216" ht="16" spans="1:15">
      <c r="A216" s="161" t="s">
        <v>8</v>
      </c>
      <c r="B216" s="161" t="s">
        <v>9</v>
      </c>
      <c r="C216" s="161" t="s">
        <v>10</v>
      </c>
      <c r="D216" s="162">
        <v>49855</v>
      </c>
      <c r="E216" s="163">
        <v>46024</v>
      </c>
      <c r="F216" s="164">
        <v>6</v>
      </c>
      <c r="G216" s="164">
        <v>5</v>
      </c>
      <c r="H216" s="188" t="s">
        <v>1497</v>
      </c>
      <c r="I216" s="183"/>
    </row>
    <row r="217" ht="16" spans="1:15">
      <c r="A217" s="161" t="s">
        <v>11</v>
      </c>
      <c r="B217" s="161" t="s">
        <v>12</v>
      </c>
      <c r="C217" s="161" t="s">
        <v>13</v>
      </c>
      <c r="D217" s="162">
        <v>94210</v>
      </c>
      <c r="E217" s="163">
        <v>46025</v>
      </c>
      <c r="F217" s="164">
        <v>7</v>
      </c>
      <c r="G217" s="164">
        <v>3</v>
      </c>
      <c r="H217" s="165" t="s">
        <v>1498</v>
      </c>
      <c r="I217" s="183"/>
    </row>
    <row r="218" ht="16" spans="1:15">
      <c r="A218" s="161" t="s">
        <v>14</v>
      </c>
      <c r="B218" s="161" t="s">
        <v>15</v>
      </c>
      <c r="C218" s="161" t="s">
        <v>7</v>
      </c>
      <c r="D218" s="162">
        <v>74689</v>
      </c>
      <c r="E218" s="163">
        <v>46026</v>
      </c>
      <c r="F218" s="164">
        <v>8</v>
      </c>
      <c r="G218" s="164">
        <v>5</v>
      </c>
      <c r="H218" s="165" t="s">
        <v>1499</v>
      </c>
      <c r="I218" s="183"/>
    </row>
    <row r="219" ht="16" spans="1:15">
      <c r="A219" s="161" t="s">
        <v>16</v>
      </c>
      <c r="B219" s="161" t="s">
        <v>17</v>
      </c>
      <c r="C219" s="161" t="s">
        <v>10</v>
      </c>
      <c r="D219" s="162">
        <v>41954</v>
      </c>
      <c r="E219" s="163">
        <v>46027</v>
      </c>
      <c r="F219" s="164">
        <v>9</v>
      </c>
      <c r="G219" s="164">
        <v>7</v>
      </c>
      <c r="H219" s="165" t="s">
        <v>1500</v>
      </c>
      <c r="I219" s="183"/>
    </row>
    <row r="220" ht="16" spans="1:15">
      <c r="A220" s="161" t="s">
        <v>18</v>
      </c>
      <c r="B220" s="161" t="s">
        <v>12</v>
      </c>
      <c r="C220" s="161" t="s">
        <v>10</v>
      </c>
      <c r="D220" s="162">
        <v>74820</v>
      </c>
      <c r="E220" s="163">
        <v>46028</v>
      </c>
      <c r="F220" s="164">
        <v>4</v>
      </c>
      <c r="G220" s="164">
        <v>5</v>
      </c>
      <c r="H220" s="164" t="s">
        <v>1501</v>
      </c>
    </row>
    <row r="221" ht="16" spans="1:15">
      <c r="A221" s="161" t="s">
        <v>19</v>
      </c>
      <c r="B221" s="161" t="s">
        <v>20</v>
      </c>
      <c r="C221" s="161" t="s">
        <v>13</v>
      </c>
      <c r="D221" s="162">
        <v>85206</v>
      </c>
      <c r="E221" s="163">
        <v>46029</v>
      </c>
      <c r="F221" s="164">
        <v>3</v>
      </c>
      <c r="G221" s="164">
        <v>6</v>
      </c>
      <c r="H221" s="164" t="s">
        <v>1495</v>
      </c>
    </row>
    <row r="222" ht="16" spans="1:15">
      <c r="A222" s="161" t="s">
        <v>21</v>
      </c>
      <c r="B222" s="161" t="s">
        <v>22</v>
      </c>
      <c r="C222" s="161" t="s">
        <v>7</v>
      </c>
      <c r="D222" s="162">
        <v>30924</v>
      </c>
      <c r="E222" s="163">
        <v>46030</v>
      </c>
      <c r="F222" s="164">
        <v>8</v>
      </c>
      <c r="G222" s="164">
        <v>7</v>
      </c>
      <c r="H222" s="164" t="s">
        <v>1497</v>
      </c>
    </row>
    <row r="223" ht="16" spans="1:15">
      <c r="A223" s="161" t="s">
        <v>23</v>
      </c>
      <c r="B223" s="161" t="s">
        <v>24</v>
      </c>
      <c r="C223" s="161" t="s">
        <v>10</v>
      </c>
      <c r="D223" s="162">
        <v>57737</v>
      </c>
      <c r="E223" s="163">
        <v>46031</v>
      </c>
      <c r="F223" s="164">
        <v>2</v>
      </c>
      <c r="G223" s="164">
        <v>8</v>
      </c>
      <c r="H223" s="164" t="s">
        <v>1498</v>
      </c>
    </row>
    <row r="224" ht="16" spans="1:15">
      <c r="A224" s="161" t="s">
        <v>25</v>
      </c>
      <c r="B224" s="161" t="s">
        <v>26</v>
      </c>
      <c r="C224" s="161" t="s">
        <v>13</v>
      </c>
      <c r="D224" s="162">
        <v>36000</v>
      </c>
      <c r="E224" s="163">
        <v>46032</v>
      </c>
      <c r="F224" s="164">
        <v>9</v>
      </c>
      <c r="G224" s="164">
        <v>9</v>
      </c>
      <c r="H224" s="164" t="s">
        <v>1499</v>
      </c>
    </row>
    <row r="225" ht="16" spans="1:15">
      <c r="A225" s="161" t="s">
        <v>27</v>
      </c>
      <c r="B225" s="161" t="s">
        <v>28</v>
      </c>
      <c r="C225" s="161" t="s">
        <v>13</v>
      </c>
      <c r="D225" s="162">
        <v>96371</v>
      </c>
      <c r="E225" s="163">
        <v>46033</v>
      </c>
      <c r="F225" s="164">
        <v>5</v>
      </c>
      <c r="G225" s="164">
        <v>4</v>
      </c>
      <c r="H225" s="164" t="s">
        <v>1500</v>
      </c>
    </row>
    <row r="226" ht="16" spans="1:15">
      <c r="A226" s="161" t="s">
        <v>29</v>
      </c>
      <c r="B226" s="161" t="s">
        <v>30</v>
      </c>
      <c r="C226" s="161" t="s">
        <v>10</v>
      </c>
      <c r="D226" s="162">
        <v>85028</v>
      </c>
      <c r="E226" s="163">
        <v>46034</v>
      </c>
      <c r="F226" s="164">
        <v>3</v>
      </c>
      <c r="G226" s="164">
        <v>3</v>
      </c>
      <c r="H226" s="164" t="s">
        <v>1501</v>
      </c>
    </row>
    <row r="227" ht="16" spans="1:15">
      <c r="A227" s="161" t="s">
        <v>31</v>
      </c>
      <c r="B227" s="161" t="s">
        <v>32</v>
      </c>
      <c r="C227" s="161" t="s">
        <v>33</v>
      </c>
      <c r="D227" s="162">
        <v>51378</v>
      </c>
      <c r="E227" s="163">
        <v>46035</v>
      </c>
      <c r="F227" s="164">
        <v>5</v>
      </c>
      <c r="G227" s="164">
        <v>8</v>
      </c>
      <c r="H227" s="164" t="s">
        <v>1495</v>
      </c>
    </row>
    <row r="228" ht="16" spans="1:15">
      <c r="A228" s="161" t="s">
        <v>34</v>
      </c>
      <c r="B228" s="161" t="s">
        <v>35</v>
      </c>
      <c r="C228" s="161" t="s">
        <v>7</v>
      </c>
      <c r="D228" s="162">
        <v>49898</v>
      </c>
      <c r="E228" s="163">
        <v>46036</v>
      </c>
      <c r="F228" s="164">
        <v>7</v>
      </c>
      <c r="G228" s="164">
        <v>2</v>
      </c>
      <c r="H228" s="164" t="s">
        <v>1497</v>
      </c>
    </row>
    <row r="229" ht="16" spans="1:15">
      <c r="A229" s="161" t="s">
        <v>36</v>
      </c>
      <c r="B229" s="161" t="s">
        <v>37</v>
      </c>
      <c r="C229" s="161" t="s">
        <v>13</v>
      </c>
      <c r="D229" s="162">
        <v>71737</v>
      </c>
      <c r="E229" s="163">
        <v>46037</v>
      </c>
      <c r="F229" s="164">
        <v>5</v>
      </c>
      <c r="G229" s="164">
        <v>9</v>
      </c>
      <c r="H229" s="164" t="s">
        <v>1498</v>
      </c>
    </row>
    <row r="230" ht="16" spans="1:15">
      <c r="A230" s="161" t="s">
        <v>38</v>
      </c>
      <c r="B230" s="161" t="s">
        <v>39</v>
      </c>
      <c r="C230" s="161" t="s">
        <v>13</v>
      </c>
      <c r="D230" s="162">
        <v>89576</v>
      </c>
      <c r="E230" s="163">
        <v>46038</v>
      </c>
      <c r="F230" s="164">
        <v>6</v>
      </c>
      <c r="G230" s="164">
        <v>5</v>
      </c>
      <c r="H230" s="164" t="s">
        <v>1499</v>
      </c>
    </row>
    <row r="231" ht="16" spans="1:15">
      <c r="A231" s="161" t="s">
        <v>40</v>
      </c>
      <c r="B231" s="161" t="s">
        <v>41</v>
      </c>
      <c r="C231" s="161" t="s">
        <v>13</v>
      </c>
      <c r="D231" s="162">
        <v>45503</v>
      </c>
      <c r="E231" s="163">
        <v>46039</v>
      </c>
      <c r="F231" s="164">
        <v>7</v>
      </c>
      <c r="G231" s="164">
        <v>3</v>
      </c>
      <c r="H231" s="164" t="s">
        <v>1500</v>
      </c>
    </row>
    <row r="232" ht="16" spans="1:15">
      <c r="A232" s="161" t="s">
        <v>42</v>
      </c>
      <c r="B232" s="161" t="s">
        <v>43</v>
      </c>
      <c r="C232" s="161" t="s">
        <v>44</v>
      </c>
      <c r="D232" s="162" t="s">
        <v>45</v>
      </c>
      <c r="E232" s="163">
        <v>46040</v>
      </c>
      <c r="F232" s="164">
        <v>8</v>
      </c>
      <c r="G232" s="164">
        <v>5</v>
      </c>
      <c r="H232" s="164" t="s">
        <v>1501</v>
      </c>
    </row>
    <row r="233" ht="16" spans="1:15">
      <c r="A233" s="161" t="s">
        <v>46</v>
      </c>
      <c r="B233" s="161" t="s">
        <v>47</v>
      </c>
      <c r="C233" s="161" t="s">
        <v>33</v>
      </c>
      <c r="D233" s="162" t="s">
        <v>48</v>
      </c>
      <c r="E233" s="163">
        <v>46041</v>
      </c>
      <c r="F233" s="164">
        <v>9</v>
      </c>
      <c r="G233" s="164">
        <v>7</v>
      </c>
      <c r="H233" s="164" t="s">
        <v>1495</v>
      </c>
    </row>
    <row r="234" ht="16" spans="1:15">
      <c r="A234" s="161" t="s">
        <v>49</v>
      </c>
      <c r="B234" s="161" t="s">
        <v>50</v>
      </c>
      <c r="C234" s="161" t="s">
        <v>13</v>
      </c>
      <c r="D234" s="162" t="s">
        <v>51</v>
      </c>
      <c r="E234" s="163">
        <v>46042</v>
      </c>
      <c r="F234" s="164">
        <v>4</v>
      </c>
      <c r="G234" s="164">
        <v>5</v>
      </c>
      <c r="H234" s="164" t="s">
        <v>1497</v>
      </c>
    </row>
    <row r="235" ht="16"/>
    <row r="236" ht="15.25" spans="1:15">
      <c r="A236" s="186" t="str" cm="1">
        <f t="array" ref="A236:O236">_xlfn.TOROW(A214:C218)</f>
        <v>Employee ID</v>
      </c>
      <c r="B236" s="186" t="str">
        <v>Name</v>
      </c>
      <c r="C236" s="186" t="str">
        <v>Department</v>
      </c>
      <c r="D236" s="191" t="str">
        <v>EMP001</v>
      </c>
      <c r="E236" s="191" t="str">
        <v>Employee_1</v>
      </c>
      <c r="F236" s="191" t="str">
        <v>Finance</v>
      </c>
      <c r="G236" s="186" t="str">
        <v>EMP002</v>
      </c>
      <c r="H236" s="186" t="str">
        <v>Employee_2</v>
      </c>
      <c r="I236" s="186" t="str">
        <v>Operations</v>
      </c>
      <c r="J236" s="191" t="str">
        <v>EMP003</v>
      </c>
      <c r="K236" s="191" t="str">
        <v>Employee_3</v>
      </c>
      <c r="L236" s="191" t="str">
        <v>Sales</v>
      </c>
      <c r="M236" s="186" t="str">
        <v>EMP004</v>
      </c>
      <c r="N236" s="186" t="str">
        <v>Employee_4</v>
      </c>
      <c r="O236" s="186" t="str">
        <v>Finance</v>
      </c>
    </row>
  </sheetData>
  <mergeCells count="9">
    <mergeCell ref="I1:J1"/>
    <mergeCell ref="I26:J26"/>
    <mergeCell ref="I51:J51"/>
    <mergeCell ref="I77:J77"/>
    <mergeCell ref="I153:I157"/>
    <mergeCell ref="I178:I182"/>
    <mergeCell ref="I215:I219"/>
    <mergeCell ref="K101:K110"/>
    <mergeCell ref="K114:K123"/>
  </mergeCells>
  <conditionalFormatting sqref="A2:H21">
    <cfRule type="expression" dxfId="112" priority="9">
      <formula>$C2=$N$9</formula>
    </cfRule>
  </conditionalFormatting>
  <conditionalFormatting sqref="A27:H46">
    <cfRule type="expression" dxfId="112" priority="8">
      <formula>$C27=$N$9</formula>
    </cfRule>
  </conditionalFormatting>
  <conditionalFormatting sqref="A52:H71">
    <cfRule type="expression" dxfId="112" priority="7">
      <formula>$B52=$N$9</formula>
    </cfRule>
  </conditionalFormatting>
  <conditionalFormatting sqref="A78:H97">
    <cfRule type="expression" dxfId="112" priority="6">
      <formula>$B78=$N$9</formula>
    </cfRule>
  </conditionalFormatting>
  <conditionalFormatting sqref="A129:H148">
    <cfRule type="expression" dxfId="112" priority="5">
      <formula>$B129=$N$9</formula>
    </cfRule>
  </conditionalFormatting>
  <conditionalFormatting sqref="J129:N137">
    <cfRule type="expression" dxfId="112" priority="4">
      <formula>$B129=$N$9</formula>
    </cfRule>
  </conditionalFormatting>
  <conditionalFormatting sqref="A153:H172">
    <cfRule type="expression" dxfId="112" priority="3">
      <formula>$B153=$N$9</formula>
    </cfRule>
  </conditionalFormatting>
  <conditionalFormatting sqref="A178:H197">
    <cfRule type="expression" dxfId="112" priority="2">
      <formula>$B178=$N$9</formula>
    </cfRule>
  </conditionalFormatting>
  <conditionalFormatting sqref="A215:H234">
    <cfRule type="expression" dxfId="112" priority="1">
      <formula>$B215=$N$9</formula>
    </cfRule>
  </conditionalFormatting>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16"/>
  <sheetViews>
    <sheetView zoomScale="69" zoomScaleNormal="69" topLeftCell="A292" workbookViewId="0">
      <selection activeCell="F316" sqref="F316"/>
    </sheetView>
  </sheetViews>
  <sheetFormatPr defaultColWidth="8.75454545454545" defaultRowHeight="14.5"/>
  <cols>
    <col min="1" max="1" width="18.3727272727273" customWidth="1"/>
    <col min="2" max="2" width="21.3727272727273" customWidth="1"/>
    <col min="3" max="3" width="15.7545454545455" customWidth="1"/>
    <col min="4" max="4" width="16.8727272727273" customWidth="1"/>
    <col min="5" max="5" width="13.1272727272727" customWidth="1"/>
    <col min="6" max="6" width="19.2545454545455" customWidth="1"/>
    <col min="7" max="7" width="20.6272727272727" customWidth="1"/>
    <col min="8" max="8" width="17.1272727272727" customWidth="1"/>
    <col min="9" max="9" width="14.7545454545455" customWidth="1"/>
    <col min="10" max="10" width="21.2545454545455" customWidth="1"/>
    <col min="11" max="11" width="15.1272727272727" customWidth="1"/>
    <col min="12" max="12" width="24.3727272727273" customWidth="1"/>
    <col min="13" max="13" width="28.5" customWidth="1"/>
    <col min="14" max="14" width="16.8727272727273" customWidth="1"/>
    <col min="15" max="15" width="11.3727272727273" customWidth="1"/>
    <col min="16" max="16" width="16.8727272727273" customWidth="1"/>
    <col min="17" max="17" width="11.2545454545455" customWidth="1"/>
    <col min="18" max="18" width="9" customWidth="1"/>
    <col min="20" max="20" width="14.6272727272727" customWidth="1"/>
    <col min="21" max="21" width="18.3727272727273" customWidth="1"/>
  </cols>
  <sheetData>
    <row r="1" ht="16" spans="1:13">
      <c r="A1" s="49" t="s">
        <v>0</v>
      </c>
      <c r="B1" s="49" t="s">
        <v>1</v>
      </c>
      <c r="C1" s="49" t="s">
        <v>2</v>
      </c>
      <c r="D1" s="50" t="s">
        <v>3</v>
      </c>
      <c r="E1" s="51" t="s">
        <v>4</v>
      </c>
      <c r="F1" s="51" t="s">
        <v>1492</v>
      </c>
      <c r="G1" s="51" t="s">
        <v>1493</v>
      </c>
      <c r="I1" s="52" t="s">
        <v>1509</v>
      </c>
      <c r="J1" s="52" t="s">
        <v>1510</v>
      </c>
      <c r="K1" s="53" t="s">
        <v>1699</v>
      </c>
      <c r="L1" s="53"/>
    </row>
    <row r="2" ht="16" spans="1:13">
      <c r="A2" s="54" t="s">
        <v>5</v>
      </c>
      <c r="B2" s="54" t="s">
        <v>6</v>
      </c>
      <c r="C2" s="54" t="s">
        <v>7</v>
      </c>
      <c r="D2" s="55">
        <v>41954</v>
      </c>
      <c r="E2" s="56">
        <v>46023</v>
      </c>
      <c r="F2" s="57">
        <v>5</v>
      </c>
      <c r="G2" s="57">
        <v>9</v>
      </c>
      <c r="I2" s="58" t="s">
        <v>1700</v>
      </c>
      <c r="J2" s="58" t="s">
        <v>1701</v>
      </c>
      <c r="K2" s="59"/>
      <c r="L2" s="60"/>
    </row>
    <row r="3" ht="16" spans="1:13">
      <c r="A3" s="61" t="s">
        <v>8</v>
      </c>
      <c r="B3" s="61" t="s">
        <v>9</v>
      </c>
      <c r="C3" s="61" t="s">
        <v>10</v>
      </c>
      <c r="D3" s="62">
        <v>49855</v>
      </c>
      <c r="E3" s="63">
        <v>46024</v>
      </c>
      <c r="F3" s="64">
        <v>6</v>
      </c>
      <c r="G3" s="64">
        <v>5</v>
      </c>
      <c r="I3" s="58" t="s">
        <v>1702</v>
      </c>
      <c r="J3" s="58" t="s">
        <v>1703</v>
      </c>
      <c r="K3" s="65" t="s">
        <v>1704</v>
      </c>
      <c r="L3" s="66"/>
    </row>
    <row r="4" ht="16" spans="1:13">
      <c r="A4" s="61" t="s">
        <v>11</v>
      </c>
      <c r="B4" s="61" t="s">
        <v>12</v>
      </c>
      <c r="C4" s="61" t="s">
        <v>13</v>
      </c>
      <c r="D4" s="62">
        <v>94210</v>
      </c>
      <c r="E4" s="63">
        <v>46025</v>
      </c>
      <c r="F4" s="64">
        <v>7</v>
      </c>
      <c r="G4" s="64">
        <v>3</v>
      </c>
      <c r="I4" s="58" t="s">
        <v>1705</v>
      </c>
      <c r="J4" s="58" t="s">
        <v>1706</v>
      </c>
      <c r="K4" s="67"/>
      <c r="L4" s="67"/>
    </row>
    <row r="5" ht="16" spans="1:13">
      <c r="A5" s="61" t="s">
        <v>14</v>
      </c>
      <c r="B5" s="61" t="s">
        <v>15</v>
      </c>
      <c r="C5" s="61" t="s">
        <v>7</v>
      </c>
      <c r="D5" s="62">
        <v>74689</v>
      </c>
      <c r="E5" s="63">
        <v>46026</v>
      </c>
      <c r="F5" s="64">
        <v>8</v>
      </c>
      <c r="G5" s="64">
        <v>5</v>
      </c>
      <c r="I5" s="58" t="s">
        <v>1707</v>
      </c>
      <c r="J5" s="58" t="s">
        <v>1708</v>
      </c>
      <c r="K5" s="67"/>
      <c r="L5" s="67"/>
    </row>
    <row r="6" ht="16" spans="1:13">
      <c r="A6" s="61" t="s">
        <v>16</v>
      </c>
      <c r="B6" s="61" t="s">
        <v>17</v>
      </c>
      <c r="C6" s="61" t="s">
        <v>10</v>
      </c>
      <c r="D6" s="62">
        <v>41954</v>
      </c>
      <c r="E6" s="63">
        <v>46027</v>
      </c>
      <c r="F6" s="64">
        <v>9</v>
      </c>
      <c r="G6" s="64">
        <v>7</v>
      </c>
      <c r="I6" s="58" t="s">
        <v>1709</v>
      </c>
      <c r="J6" s="58" t="s">
        <v>1710</v>
      </c>
      <c r="K6" s="67"/>
      <c r="L6" s="67"/>
    </row>
    <row r="7" ht="16" spans="1:13">
      <c r="A7" s="61" t="s">
        <v>18</v>
      </c>
      <c r="B7" s="61" t="s">
        <v>12</v>
      </c>
      <c r="C7" s="61" t="s">
        <v>10</v>
      </c>
      <c r="D7" s="62">
        <v>74820</v>
      </c>
      <c r="E7" s="63">
        <v>46028</v>
      </c>
      <c r="F7" s="64">
        <v>4</v>
      </c>
      <c r="G7" s="64">
        <v>5</v>
      </c>
      <c r="I7" s="58" t="s">
        <v>1711</v>
      </c>
      <c r="J7" s="58" t="s">
        <v>1712</v>
      </c>
      <c r="K7" s="67"/>
      <c r="L7" s="67"/>
    </row>
    <row r="8" ht="16" spans="1:13">
      <c r="A8" s="61" t="s">
        <v>19</v>
      </c>
      <c r="B8" s="61" t="s">
        <v>20</v>
      </c>
      <c r="C8" s="61" t="s">
        <v>13</v>
      </c>
      <c r="D8" s="62">
        <v>85206</v>
      </c>
      <c r="E8" s="63">
        <v>46029</v>
      </c>
      <c r="F8" s="64">
        <v>3</v>
      </c>
      <c r="G8" s="64">
        <v>6</v>
      </c>
      <c r="I8" s="58" t="s">
        <v>1713</v>
      </c>
      <c r="J8" s="58" t="s">
        <v>1714</v>
      </c>
      <c r="K8" s="67"/>
      <c r="L8" s="67"/>
    </row>
    <row r="9" ht="16" spans="1:13">
      <c r="A9" s="61" t="s">
        <v>21</v>
      </c>
      <c r="B9" s="61" t="s">
        <v>22</v>
      </c>
      <c r="C9" s="61" t="s">
        <v>7</v>
      </c>
      <c r="D9" s="62">
        <v>30924</v>
      </c>
      <c r="E9" s="63">
        <v>46030</v>
      </c>
      <c r="F9" s="64">
        <v>8</v>
      </c>
      <c r="G9" s="64">
        <v>7</v>
      </c>
      <c r="I9" s="58" t="s">
        <v>1715</v>
      </c>
      <c r="J9" s="58" t="s">
        <v>1716</v>
      </c>
      <c r="K9" s="67"/>
      <c r="L9" s="67"/>
    </row>
    <row r="10" ht="16" spans="1:13">
      <c r="A10" s="61" t="s">
        <v>23</v>
      </c>
      <c r="B10" s="61" t="s">
        <v>24</v>
      </c>
      <c r="C10" s="61" t="s">
        <v>10</v>
      </c>
      <c r="D10" s="62">
        <v>57737</v>
      </c>
      <c r="E10" s="63">
        <v>46031</v>
      </c>
      <c r="F10" s="64">
        <v>2</v>
      </c>
      <c r="G10" s="64">
        <v>8</v>
      </c>
      <c r="I10" s="58" t="s">
        <v>1717</v>
      </c>
      <c r="J10" s="58" t="s">
        <v>1718</v>
      </c>
      <c r="K10" s="67"/>
      <c r="L10" s="67"/>
    </row>
    <row r="11" ht="16" spans="1:13">
      <c r="A11" s="61" t="s">
        <v>25</v>
      </c>
      <c r="B11" s="61" t="s">
        <v>26</v>
      </c>
      <c r="C11" s="61" t="s">
        <v>13</v>
      </c>
      <c r="D11" s="62">
        <v>36000</v>
      </c>
      <c r="E11" s="63">
        <v>46032</v>
      </c>
      <c r="F11" s="64">
        <v>9</v>
      </c>
      <c r="G11" s="64">
        <v>9</v>
      </c>
    </row>
    <row r="12" ht="16" spans="1:13">
      <c r="A12" s="61" t="s">
        <v>27</v>
      </c>
      <c r="B12" s="61" t="s">
        <v>28</v>
      </c>
      <c r="C12" s="61" t="s">
        <v>13</v>
      </c>
      <c r="D12" s="62">
        <v>96371</v>
      </c>
      <c r="E12" s="63">
        <v>46033</v>
      </c>
      <c r="F12" s="64">
        <v>5</v>
      </c>
      <c r="G12" s="64">
        <v>4</v>
      </c>
      <c r="I12" s="68" t="s">
        <v>0</v>
      </c>
      <c r="J12" s="69" t="str">
        <f>VLOOKUP(A2,A1:G21,1,FALSE)</f>
        <v>EMP001</v>
      </c>
      <c r="L12" s="70" t="s">
        <v>1719</v>
      </c>
      <c r="M12" s="70"/>
    </row>
    <row r="13" ht="16" spans="1:13">
      <c r="A13" s="61" t="s">
        <v>29</v>
      </c>
      <c r="B13" s="61" t="s">
        <v>30</v>
      </c>
      <c r="C13" s="61" t="s">
        <v>10</v>
      </c>
      <c r="D13" s="62">
        <v>85028</v>
      </c>
      <c r="E13" s="63">
        <v>46034</v>
      </c>
      <c r="F13" s="64">
        <v>3</v>
      </c>
      <c r="G13" s="64">
        <v>3</v>
      </c>
      <c r="I13" s="68" t="s">
        <v>1</v>
      </c>
      <c r="J13" s="69" t="str">
        <f>VLOOKUP(B2,B1:G21,1,FALSE)</f>
        <v>Employee_1</v>
      </c>
      <c r="L13" s="70"/>
      <c r="M13" s="70"/>
    </row>
    <row r="14" ht="16" spans="1:13">
      <c r="A14" s="61" t="s">
        <v>31</v>
      </c>
      <c r="B14" s="61" t="s">
        <v>32</v>
      </c>
      <c r="C14" s="61" t="s">
        <v>33</v>
      </c>
      <c r="D14" s="62">
        <v>51378</v>
      </c>
      <c r="E14" s="63">
        <v>46035</v>
      </c>
      <c r="F14" s="64">
        <v>5</v>
      </c>
      <c r="G14" s="64">
        <v>8</v>
      </c>
      <c r="I14" s="68" t="s">
        <v>2</v>
      </c>
      <c r="J14" s="69" t="str">
        <f>VLOOKUP(A2,A1:G21,3,FALSE)</f>
        <v>Finance</v>
      </c>
      <c r="L14" s="70"/>
      <c r="M14" s="70"/>
    </row>
    <row r="15" ht="16" spans="1:13">
      <c r="A15" s="61" t="s">
        <v>34</v>
      </c>
      <c r="B15" s="61" t="s">
        <v>35</v>
      </c>
      <c r="C15" s="61" t="s">
        <v>7</v>
      </c>
      <c r="D15" s="62">
        <v>49898</v>
      </c>
      <c r="E15" s="63">
        <v>46036</v>
      </c>
      <c r="F15" s="64">
        <v>7</v>
      </c>
      <c r="G15" s="64">
        <v>2</v>
      </c>
      <c r="I15" s="71" t="s">
        <v>3</v>
      </c>
      <c r="J15" s="72">
        <f>VLOOKUP(A2,A1:G21,4,FALSE)</f>
        <v>41954</v>
      </c>
      <c r="L15" s="70"/>
      <c r="M15" s="70"/>
    </row>
    <row r="16" ht="16" spans="1:13">
      <c r="A16" s="61" t="s">
        <v>36</v>
      </c>
      <c r="B16" s="61" t="s">
        <v>37</v>
      </c>
      <c r="C16" s="61" t="s">
        <v>13</v>
      </c>
      <c r="D16" s="62">
        <v>71737</v>
      </c>
      <c r="E16" s="63">
        <v>46037</v>
      </c>
      <c r="F16" s="64">
        <v>5</v>
      </c>
      <c r="G16" s="64">
        <v>9</v>
      </c>
      <c r="I16" s="73" t="s">
        <v>4</v>
      </c>
      <c r="J16" s="74">
        <f>VLOOKUP(A2,A1:G21,5,FALSE)</f>
        <v>46023</v>
      </c>
      <c r="L16" s="70"/>
      <c r="M16" s="70"/>
    </row>
    <row r="17" ht="16" spans="1:13">
      <c r="A17" s="61" t="s">
        <v>38</v>
      </c>
      <c r="B17" s="61" t="s">
        <v>39</v>
      </c>
      <c r="C17" s="61" t="s">
        <v>13</v>
      </c>
      <c r="D17" s="62">
        <v>89576</v>
      </c>
      <c r="E17" s="63">
        <v>46038</v>
      </c>
      <c r="F17" s="64">
        <v>6</v>
      </c>
      <c r="G17" s="64">
        <v>5</v>
      </c>
      <c r="I17" s="73" t="s">
        <v>1492</v>
      </c>
      <c r="J17" s="75">
        <f>VLOOKUP(A2,A1:G21,6,FALSE)</f>
        <v>5</v>
      </c>
      <c r="L17" s="70"/>
      <c r="M17" s="70"/>
    </row>
    <row r="18" ht="16" spans="1:13">
      <c r="A18" s="61" t="s">
        <v>40</v>
      </c>
      <c r="B18" s="61" t="s">
        <v>41</v>
      </c>
      <c r="C18" s="61" t="s">
        <v>13</v>
      </c>
      <c r="D18" s="62">
        <v>45503</v>
      </c>
      <c r="E18" s="63">
        <v>46039</v>
      </c>
      <c r="F18" s="64">
        <v>7</v>
      </c>
      <c r="G18" s="64">
        <v>3</v>
      </c>
      <c r="I18" s="73" t="s">
        <v>1493</v>
      </c>
      <c r="J18" s="75">
        <f>VLOOKUP(A2,A1:G21,7,FALSE)</f>
        <v>9</v>
      </c>
      <c r="L18" s="70"/>
      <c r="M18" s="70"/>
    </row>
    <row r="19" ht="16" spans="1:13">
      <c r="A19" s="61" t="s">
        <v>42</v>
      </c>
      <c r="B19" s="61" t="s">
        <v>43</v>
      </c>
      <c r="C19" s="61" t="s">
        <v>44</v>
      </c>
      <c r="D19" s="62" t="s">
        <v>45</v>
      </c>
      <c r="E19" s="63">
        <v>46040</v>
      </c>
      <c r="F19" s="64">
        <v>8</v>
      </c>
      <c r="G19" s="64">
        <v>5</v>
      </c>
      <c r="I19" s="76"/>
    </row>
    <row r="20" ht="16" spans="1:13">
      <c r="A20" s="61" t="s">
        <v>46</v>
      </c>
      <c r="B20" s="61" t="s">
        <v>47</v>
      </c>
      <c r="C20" s="61" t="s">
        <v>33</v>
      </c>
      <c r="D20" s="62" t="s">
        <v>48</v>
      </c>
      <c r="E20" s="63">
        <v>46041</v>
      </c>
      <c r="F20" s="64">
        <v>9</v>
      </c>
      <c r="G20" s="64">
        <v>7</v>
      </c>
    </row>
    <row r="21" ht="16" spans="1:13">
      <c r="A21" s="61" t="s">
        <v>49</v>
      </c>
      <c r="B21" s="61" t="s">
        <v>50</v>
      </c>
      <c r="C21" s="61" t="s">
        <v>13</v>
      </c>
      <c r="D21" s="62" t="s">
        <v>51</v>
      </c>
      <c r="E21" s="63">
        <v>46042</v>
      </c>
      <c r="F21" s="64">
        <v>4</v>
      </c>
      <c r="G21" s="64">
        <v>5</v>
      </c>
    </row>
    <row r="22" ht="15.25"/>
    <row r="23" ht="15.25"/>
    <row r="24" ht="16" spans="1:13">
      <c r="A24" s="49" t="s">
        <v>0</v>
      </c>
      <c r="B24" s="49" t="s">
        <v>1</v>
      </c>
      <c r="C24" s="49" t="s">
        <v>2</v>
      </c>
      <c r="D24" s="50" t="s">
        <v>3</v>
      </c>
      <c r="E24" s="51" t="s">
        <v>4</v>
      </c>
      <c r="F24" s="51" t="s">
        <v>1492</v>
      </c>
      <c r="G24" s="77" t="s">
        <v>1493</v>
      </c>
      <c r="H24" s="78" t="s">
        <v>1699</v>
      </c>
      <c r="I24" s="78"/>
      <c r="J24" s="70" t="s">
        <v>1720</v>
      </c>
    </row>
    <row r="25" ht="16" spans="1:13">
      <c r="A25" s="54" t="s">
        <v>5</v>
      </c>
      <c r="B25" s="54" t="s">
        <v>6</v>
      </c>
      <c r="C25" s="54" t="s">
        <v>7</v>
      </c>
      <c r="D25" s="55">
        <v>41954</v>
      </c>
      <c r="E25" s="56">
        <v>46023</v>
      </c>
      <c r="F25" s="57">
        <v>5</v>
      </c>
      <c r="G25" s="79">
        <v>9</v>
      </c>
      <c r="H25" s="78"/>
      <c r="I25" s="78"/>
      <c r="J25" s="80"/>
    </row>
    <row r="26" ht="16" spans="1:13">
      <c r="A26" s="61" t="s">
        <v>8</v>
      </c>
      <c r="B26" s="61" t="s">
        <v>9</v>
      </c>
      <c r="C26" s="61" t="s">
        <v>10</v>
      </c>
      <c r="D26" s="62">
        <v>49855</v>
      </c>
      <c r="E26" s="63">
        <v>46024</v>
      </c>
      <c r="F26" s="64">
        <v>6</v>
      </c>
      <c r="G26" s="64">
        <v>5</v>
      </c>
      <c r="H26" s="81" t="s">
        <v>1721</v>
      </c>
      <c r="I26" s="81"/>
      <c r="J26" s="75">
        <v>1</v>
      </c>
    </row>
    <row r="27" ht="16" spans="1:13">
      <c r="A27" s="61" t="s">
        <v>11</v>
      </c>
      <c r="B27" s="61" t="s">
        <v>12</v>
      </c>
      <c r="C27" s="61" t="s">
        <v>13</v>
      </c>
      <c r="D27" s="62">
        <v>94210</v>
      </c>
      <c r="E27" s="63">
        <v>46025</v>
      </c>
      <c r="F27" s="64">
        <v>7</v>
      </c>
      <c r="G27" s="64">
        <v>3</v>
      </c>
      <c r="H27" s="81"/>
      <c r="I27" s="81"/>
      <c r="J27" s="75">
        <v>2</v>
      </c>
    </row>
    <row r="28" ht="16" spans="1:13">
      <c r="A28" s="61" t="s">
        <v>14</v>
      </c>
      <c r="B28" s="61" t="s">
        <v>15</v>
      </c>
      <c r="C28" s="61" t="s">
        <v>7</v>
      </c>
      <c r="D28" s="62">
        <v>74689</v>
      </c>
      <c r="E28" s="63">
        <v>46026</v>
      </c>
      <c r="F28" s="64">
        <v>8</v>
      </c>
      <c r="G28" s="64">
        <v>5</v>
      </c>
      <c r="H28" s="81"/>
      <c r="I28" s="81"/>
      <c r="J28" s="75">
        <v>3</v>
      </c>
    </row>
    <row r="29" ht="16" spans="1:13">
      <c r="A29" s="61" t="s">
        <v>16</v>
      </c>
      <c r="B29" s="61" t="s">
        <v>17</v>
      </c>
      <c r="C29" s="61" t="s">
        <v>10</v>
      </c>
      <c r="D29" s="62">
        <v>41954</v>
      </c>
      <c r="E29" s="63">
        <v>46027</v>
      </c>
      <c r="F29" s="64">
        <v>9</v>
      </c>
      <c r="G29" s="64">
        <v>7</v>
      </c>
      <c r="H29" s="81"/>
      <c r="I29" s="81"/>
      <c r="J29" s="75">
        <v>4</v>
      </c>
    </row>
    <row r="30" ht="16" spans="1:13">
      <c r="A30" s="61" t="s">
        <v>18</v>
      </c>
      <c r="B30" s="61" t="s">
        <v>12</v>
      </c>
      <c r="C30" s="61" t="s">
        <v>10</v>
      </c>
      <c r="D30" s="62">
        <v>74820</v>
      </c>
      <c r="E30" s="63">
        <v>46028</v>
      </c>
      <c r="F30" s="64">
        <v>4</v>
      </c>
      <c r="G30" s="64">
        <v>5</v>
      </c>
      <c r="H30" s="81"/>
      <c r="I30" s="81"/>
      <c r="J30" s="75">
        <v>5</v>
      </c>
    </row>
    <row r="31" ht="16" spans="1:13">
      <c r="A31" s="61" t="s">
        <v>19</v>
      </c>
      <c r="B31" s="61" t="s">
        <v>20</v>
      </c>
      <c r="C31" s="61" t="s">
        <v>13</v>
      </c>
      <c r="D31" s="62">
        <v>85206</v>
      </c>
      <c r="E31" s="63">
        <v>46029</v>
      </c>
      <c r="F31" s="64">
        <v>3</v>
      </c>
      <c r="G31" s="64">
        <v>6</v>
      </c>
      <c r="H31" s="81"/>
      <c r="I31" s="81"/>
      <c r="J31" s="75">
        <v>6</v>
      </c>
    </row>
    <row r="32" ht="16" spans="1:13">
      <c r="A32" s="61" t="s">
        <v>21</v>
      </c>
      <c r="B32" s="61" t="s">
        <v>22</v>
      </c>
      <c r="C32" s="61" t="s">
        <v>7</v>
      </c>
      <c r="D32" s="62">
        <v>30924</v>
      </c>
      <c r="E32" s="63">
        <v>46030</v>
      </c>
      <c r="F32" s="64">
        <v>8</v>
      </c>
      <c r="G32" s="64">
        <v>7</v>
      </c>
      <c r="H32" s="81"/>
      <c r="I32" s="81"/>
      <c r="J32" s="75">
        <v>7</v>
      </c>
    </row>
    <row r="33" ht="16" spans="1:13">
      <c r="A33" s="61" t="s">
        <v>23</v>
      </c>
      <c r="B33" s="61" t="s">
        <v>24</v>
      </c>
      <c r="C33" s="61" t="s">
        <v>10</v>
      </c>
      <c r="D33" s="62">
        <v>57737</v>
      </c>
      <c r="E33" s="63">
        <v>46031</v>
      </c>
      <c r="F33" s="64">
        <v>2</v>
      </c>
      <c r="G33" s="64">
        <v>8</v>
      </c>
      <c r="H33" s="81"/>
      <c r="I33" s="81"/>
    </row>
    <row r="34" ht="16" spans="1:13">
      <c r="A34" s="61" t="s">
        <v>25</v>
      </c>
      <c r="B34" s="61" t="s">
        <v>26</v>
      </c>
      <c r="C34" s="61" t="s">
        <v>13</v>
      </c>
      <c r="D34" s="62">
        <v>36000</v>
      </c>
      <c r="E34" s="63">
        <v>46032</v>
      </c>
      <c r="F34" s="64">
        <v>9</v>
      </c>
      <c r="G34" s="64">
        <v>9</v>
      </c>
    </row>
    <row r="35" ht="16" spans="1:13">
      <c r="A35" s="61" t="s">
        <v>27</v>
      </c>
      <c r="B35" s="61" t="s">
        <v>28</v>
      </c>
      <c r="C35" s="61" t="s">
        <v>13</v>
      </c>
      <c r="D35" s="62">
        <v>96371</v>
      </c>
      <c r="E35" s="63">
        <v>46033</v>
      </c>
      <c r="F35" s="64">
        <v>5</v>
      </c>
      <c r="G35" s="64">
        <v>4</v>
      </c>
      <c r="I35" s="82" t="s">
        <v>0</v>
      </c>
      <c r="J35" t="str">
        <f>VLOOKUP($A$25,$A$24:$G$44,J26,FALSE)</f>
        <v>EMP001</v>
      </c>
      <c r="K35" t="e">
        <f>VLOOKUP($A$2,$A$24:$G$44,K26,FALSE)</f>
        <v>#VALUE!</v>
      </c>
      <c r="L35" s="70" t="s">
        <v>1722</v>
      </c>
      <c r="M35" s="70"/>
    </row>
    <row r="36" ht="16" spans="1:13">
      <c r="A36" s="61" t="s">
        <v>29</v>
      </c>
      <c r="B36" s="61" t="s">
        <v>30</v>
      </c>
      <c r="C36" s="61" t="s">
        <v>10</v>
      </c>
      <c r="D36" s="62">
        <v>85028</v>
      </c>
      <c r="E36" s="63">
        <v>46034</v>
      </c>
      <c r="F36" s="64">
        <v>3</v>
      </c>
      <c r="G36" s="64">
        <v>3</v>
      </c>
      <c r="I36" s="82" t="s">
        <v>1</v>
      </c>
      <c r="J36" t="str">
        <f t="shared" ref="J36:J41" si="0">VLOOKUP($A$2,$A$24:$G$44,J27,FALSE)</f>
        <v>Employee_1</v>
      </c>
      <c r="L36" s="70"/>
      <c r="M36" s="70"/>
    </row>
    <row r="37" ht="16" spans="1:13">
      <c r="A37" s="61" t="s">
        <v>31</v>
      </c>
      <c r="B37" s="61" t="s">
        <v>32</v>
      </c>
      <c r="C37" s="61" t="s">
        <v>33</v>
      </c>
      <c r="D37" s="62">
        <v>51378</v>
      </c>
      <c r="E37" s="63">
        <v>46035</v>
      </c>
      <c r="F37" s="64">
        <v>5</v>
      </c>
      <c r="G37" s="64">
        <v>8</v>
      </c>
      <c r="I37" s="82" t="s">
        <v>2</v>
      </c>
      <c r="J37" t="str">
        <f t="shared" si="0"/>
        <v>Finance</v>
      </c>
      <c r="L37" s="70"/>
      <c r="M37" s="70"/>
    </row>
    <row r="38" ht="16" spans="1:13">
      <c r="A38" s="61" t="s">
        <v>34</v>
      </c>
      <c r="B38" s="61" t="s">
        <v>35</v>
      </c>
      <c r="C38" s="61" t="s">
        <v>7</v>
      </c>
      <c r="D38" s="62">
        <v>49898</v>
      </c>
      <c r="E38" s="63">
        <v>46036</v>
      </c>
      <c r="F38" s="64">
        <v>7</v>
      </c>
      <c r="G38" s="64">
        <v>2</v>
      </c>
      <c r="I38" s="83" t="s">
        <v>3</v>
      </c>
      <c r="J38">
        <f t="shared" si="0"/>
        <v>41954</v>
      </c>
      <c r="L38" s="70"/>
      <c r="M38" s="70"/>
    </row>
    <row r="39" ht="16" spans="1:13">
      <c r="A39" s="61" t="s">
        <v>36</v>
      </c>
      <c r="B39" s="61" t="s">
        <v>37</v>
      </c>
      <c r="C39" s="61" t="s">
        <v>13</v>
      </c>
      <c r="D39" s="62">
        <v>71737</v>
      </c>
      <c r="E39" s="63">
        <v>46037</v>
      </c>
      <c r="F39" s="64">
        <v>5</v>
      </c>
      <c r="G39" s="64">
        <v>9</v>
      </c>
      <c r="I39" s="84" t="s">
        <v>4</v>
      </c>
      <c r="J39">
        <f t="shared" si="0"/>
        <v>46023</v>
      </c>
      <c r="L39" s="70"/>
      <c r="M39" s="70"/>
    </row>
    <row r="40" ht="16" spans="1:13">
      <c r="A40" s="61" t="s">
        <v>38</v>
      </c>
      <c r="B40" s="61" t="s">
        <v>39</v>
      </c>
      <c r="C40" s="61" t="s">
        <v>13</v>
      </c>
      <c r="D40" s="62">
        <v>89576</v>
      </c>
      <c r="E40" s="63">
        <v>46038</v>
      </c>
      <c r="F40" s="64">
        <v>6</v>
      </c>
      <c r="G40" s="64">
        <v>5</v>
      </c>
      <c r="I40" s="84" t="s">
        <v>1492</v>
      </c>
      <c r="J40">
        <f t="shared" si="0"/>
        <v>5</v>
      </c>
      <c r="L40" s="70"/>
      <c r="M40" s="70"/>
    </row>
    <row r="41" ht="16" spans="1:13">
      <c r="A41" s="61" t="s">
        <v>40</v>
      </c>
      <c r="B41" s="61" t="s">
        <v>41</v>
      </c>
      <c r="C41" s="61" t="s">
        <v>13</v>
      </c>
      <c r="D41" s="62">
        <v>45503</v>
      </c>
      <c r="E41" s="63">
        <v>46039</v>
      </c>
      <c r="F41" s="64">
        <v>7</v>
      </c>
      <c r="G41" s="64">
        <v>3</v>
      </c>
      <c r="I41" s="84" t="s">
        <v>1493</v>
      </c>
      <c r="J41">
        <f t="shared" si="0"/>
        <v>9</v>
      </c>
    </row>
    <row r="42" ht="16" spans="1:13">
      <c r="A42" s="61" t="s">
        <v>42</v>
      </c>
      <c r="B42" s="61" t="s">
        <v>43</v>
      </c>
      <c r="C42" s="61" t="s">
        <v>44</v>
      </c>
      <c r="D42" s="62" t="s">
        <v>45</v>
      </c>
      <c r="E42" s="63">
        <v>46040</v>
      </c>
      <c r="F42" s="64">
        <v>8</v>
      </c>
      <c r="G42" s="64">
        <v>5</v>
      </c>
    </row>
    <row r="43" ht="16" spans="1:13">
      <c r="A43" s="61" t="s">
        <v>46</v>
      </c>
      <c r="B43" s="61" t="s">
        <v>47</v>
      </c>
      <c r="C43" s="61" t="s">
        <v>33</v>
      </c>
      <c r="D43" s="62" t="s">
        <v>48</v>
      </c>
      <c r="E43" s="63">
        <v>46041</v>
      </c>
      <c r="F43" s="64">
        <v>9</v>
      </c>
      <c r="G43" s="64">
        <v>7</v>
      </c>
    </row>
    <row r="44" ht="16" spans="1:13">
      <c r="A44" s="61" t="s">
        <v>49</v>
      </c>
      <c r="B44" s="61" t="s">
        <v>50</v>
      </c>
      <c r="C44" s="61" t="s">
        <v>13</v>
      </c>
      <c r="D44" s="62" t="s">
        <v>51</v>
      </c>
      <c r="E44" s="63">
        <v>46042</v>
      </c>
      <c r="F44" s="64">
        <v>4</v>
      </c>
      <c r="G44" s="64">
        <v>5</v>
      </c>
    </row>
    <row r="45" ht="15.25"/>
    <row r="47" ht="15.25"/>
    <row r="48" ht="16" spans="1:13">
      <c r="A48" s="49" t="s">
        <v>0</v>
      </c>
      <c r="B48" s="49" t="s">
        <v>1</v>
      </c>
      <c r="C48" s="49" t="s">
        <v>2</v>
      </c>
      <c r="D48" s="50" t="s">
        <v>3</v>
      </c>
      <c r="E48" s="51" t="s">
        <v>4</v>
      </c>
      <c r="F48" s="51" t="s">
        <v>1492</v>
      </c>
      <c r="G48" s="77" t="s">
        <v>1493</v>
      </c>
      <c r="H48" s="78" t="s">
        <v>1699</v>
      </c>
      <c r="I48" s="78"/>
    </row>
    <row r="49" ht="16" spans="1:11">
      <c r="A49" s="54" t="s">
        <v>5</v>
      </c>
      <c r="B49" s="54" t="s">
        <v>6</v>
      </c>
      <c r="C49" s="54" t="s">
        <v>7</v>
      </c>
      <c r="D49" s="55">
        <v>41954</v>
      </c>
      <c r="E49" s="56">
        <v>46023</v>
      </c>
      <c r="F49" s="57">
        <v>5</v>
      </c>
      <c r="G49" s="79">
        <v>9</v>
      </c>
      <c r="H49" s="78"/>
      <c r="I49" s="78"/>
    </row>
    <row r="50" ht="16" spans="1:11">
      <c r="A50" s="61" t="s">
        <v>8</v>
      </c>
      <c r="B50" s="61" t="s">
        <v>9</v>
      </c>
      <c r="C50" s="61" t="s">
        <v>10</v>
      </c>
      <c r="D50" s="62">
        <v>49855</v>
      </c>
      <c r="E50" s="63">
        <v>46024</v>
      </c>
      <c r="F50" s="64">
        <v>6</v>
      </c>
      <c r="G50" s="64">
        <v>5</v>
      </c>
      <c r="H50" s="81" t="s">
        <v>1723</v>
      </c>
      <c r="I50" s="81"/>
      <c r="J50" s="70" t="s">
        <v>1724</v>
      </c>
      <c r="K50" s="70"/>
    </row>
    <row r="51" ht="16" spans="1:11">
      <c r="A51" s="61" t="s">
        <v>11</v>
      </c>
      <c r="B51" s="61" t="s">
        <v>12</v>
      </c>
      <c r="C51" s="61" t="s">
        <v>13</v>
      </c>
      <c r="D51" s="62">
        <v>94210</v>
      </c>
      <c r="E51" s="63">
        <v>46025</v>
      </c>
      <c r="F51" s="64">
        <v>7</v>
      </c>
      <c r="G51" s="64">
        <v>3</v>
      </c>
      <c r="H51" s="81"/>
      <c r="I51" s="81"/>
      <c r="J51" s="70"/>
      <c r="K51" s="70"/>
    </row>
    <row r="52" ht="16" spans="1:11">
      <c r="A52" s="61" t="s">
        <v>14</v>
      </c>
      <c r="B52" s="61" t="s">
        <v>15</v>
      </c>
      <c r="C52" s="61" t="s">
        <v>7</v>
      </c>
      <c r="D52" s="62">
        <v>74689</v>
      </c>
      <c r="E52" s="63">
        <v>46026</v>
      </c>
      <c r="F52" s="64">
        <v>8</v>
      </c>
      <c r="G52" s="64">
        <v>5</v>
      </c>
      <c r="H52" s="81"/>
      <c r="I52" s="81"/>
      <c r="J52" s="70"/>
      <c r="K52" s="70"/>
    </row>
    <row r="53" ht="16" spans="1:11">
      <c r="A53" s="61" t="s">
        <v>16</v>
      </c>
      <c r="B53" s="61" t="s">
        <v>17</v>
      </c>
      <c r="C53" s="61" t="s">
        <v>10</v>
      </c>
      <c r="D53" s="62">
        <v>41954</v>
      </c>
      <c r="E53" s="63">
        <v>46027</v>
      </c>
      <c r="F53" s="64">
        <v>9</v>
      </c>
      <c r="G53" s="64">
        <v>7</v>
      </c>
      <c r="H53" s="81"/>
      <c r="I53" s="81"/>
      <c r="J53" s="70"/>
      <c r="K53" s="70"/>
    </row>
    <row r="54" ht="16" spans="1:11">
      <c r="A54" s="61" t="s">
        <v>18</v>
      </c>
      <c r="B54" s="61" t="s">
        <v>12</v>
      </c>
      <c r="C54" s="61" t="s">
        <v>10</v>
      </c>
      <c r="D54" s="62">
        <v>74820</v>
      </c>
      <c r="E54" s="63">
        <v>46028</v>
      </c>
      <c r="F54" s="64">
        <v>4</v>
      </c>
      <c r="G54" s="64">
        <v>5</v>
      </c>
      <c r="H54" s="81"/>
      <c r="I54" s="81"/>
      <c r="J54" s="70"/>
      <c r="K54" s="70"/>
    </row>
    <row r="55" ht="16" spans="1:11">
      <c r="A55" s="61" t="s">
        <v>19</v>
      </c>
      <c r="B55" s="61" t="s">
        <v>20</v>
      </c>
      <c r="C55" s="61" t="s">
        <v>13</v>
      </c>
      <c r="D55" s="62">
        <v>85206</v>
      </c>
      <c r="E55" s="63">
        <v>46029</v>
      </c>
      <c r="F55" s="64">
        <v>3</v>
      </c>
      <c r="G55" s="64">
        <v>6</v>
      </c>
      <c r="H55" s="81"/>
      <c r="I55" s="81"/>
      <c r="J55" s="70"/>
      <c r="K55" s="70"/>
    </row>
    <row r="56" ht="16" spans="1:11">
      <c r="A56" s="61" t="s">
        <v>21</v>
      </c>
      <c r="B56" s="61" t="s">
        <v>22</v>
      </c>
      <c r="C56" s="61" t="s">
        <v>7</v>
      </c>
      <c r="D56" s="62">
        <v>30924</v>
      </c>
      <c r="E56" s="63">
        <v>46030</v>
      </c>
      <c r="F56" s="64">
        <v>8</v>
      </c>
      <c r="G56" s="64">
        <v>7</v>
      </c>
      <c r="H56" s="81"/>
      <c r="I56" s="81"/>
    </row>
    <row r="57" ht="16" spans="1:11">
      <c r="A57" s="61" t="s">
        <v>23</v>
      </c>
      <c r="B57" s="61" t="s">
        <v>24</v>
      </c>
      <c r="C57" s="61" t="s">
        <v>10</v>
      </c>
      <c r="D57" s="62">
        <v>57737</v>
      </c>
      <c r="E57" s="63">
        <v>46031</v>
      </c>
      <c r="F57" s="64">
        <v>2</v>
      </c>
      <c r="G57" s="64">
        <v>8</v>
      </c>
      <c r="H57" s="81"/>
      <c r="I57" s="81"/>
    </row>
    <row r="58" ht="16" spans="1:11">
      <c r="A58" s="61" t="s">
        <v>25</v>
      </c>
      <c r="B58" s="61" t="s">
        <v>26</v>
      </c>
      <c r="C58" s="61" t="s">
        <v>13</v>
      </c>
      <c r="D58" s="62">
        <v>36000</v>
      </c>
      <c r="E58" s="63">
        <v>46032</v>
      </c>
      <c r="F58" s="64">
        <v>9</v>
      </c>
      <c r="G58" s="64">
        <v>9</v>
      </c>
    </row>
    <row r="59" ht="16" spans="1:11">
      <c r="A59" s="61" t="s">
        <v>27</v>
      </c>
      <c r="B59" s="61" t="s">
        <v>28</v>
      </c>
      <c r="C59" s="61" t="s">
        <v>13</v>
      </c>
      <c r="D59" s="62">
        <v>96371</v>
      </c>
      <c r="E59" s="63">
        <v>46033</v>
      </c>
      <c r="F59" s="64">
        <v>5</v>
      </c>
      <c r="G59" s="64">
        <v>4</v>
      </c>
      <c r="I59" s="82" t="s">
        <v>0</v>
      </c>
      <c r="J59" s="85" t="str">
        <f>VLOOKUP(A$49,$A$48:$G$68,ROW()-58,FALSE)</f>
        <v>EMP001</v>
      </c>
      <c r="K59" s="85"/>
    </row>
    <row r="60" ht="16" spans="1:11">
      <c r="A60" s="61" t="s">
        <v>29</v>
      </c>
      <c r="B60" s="61" t="s">
        <v>30</v>
      </c>
      <c r="C60" s="61" t="s">
        <v>10</v>
      </c>
      <c r="D60" s="62">
        <v>85028</v>
      </c>
      <c r="E60" s="63">
        <v>46034</v>
      </c>
      <c r="F60" s="64">
        <v>3</v>
      </c>
      <c r="G60" s="64">
        <v>3</v>
      </c>
      <c r="I60" s="82" t="s">
        <v>1</v>
      </c>
      <c r="J60" s="85" t="str">
        <f>VLOOKUP(A$49,$A$48:$G$68,ROW()-58,FALSE)</f>
        <v>Employee_1</v>
      </c>
    </row>
    <row r="61" ht="16" spans="1:11">
      <c r="A61" s="61" t="s">
        <v>31</v>
      </c>
      <c r="B61" s="61" t="s">
        <v>32</v>
      </c>
      <c r="C61" s="61" t="s">
        <v>33</v>
      </c>
      <c r="D61" s="62">
        <v>51378</v>
      </c>
      <c r="E61" s="63">
        <v>46035</v>
      </c>
      <c r="F61" s="64">
        <v>5</v>
      </c>
      <c r="G61" s="64">
        <v>8</v>
      </c>
      <c r="I61" s="82" t="s">
        <v>2</v>
      </c>
      <c r="J61" s="85" t="str">
        <f t="shared" ref="J60:J65" si="1">VLOOKUP(A$49,$A$48:$G$68,ROW()-58,FALSE)</f>
        <v>Finance</v>
      </c>
    </row>
    <row r="62" ht="16" spans="1:11">
      <c r="A62" s="61" t="s">
        <v>34</v>
      </c>
      <c r="B62" s="61" t="s">
        <v>35</v>
      </c>
      <c r="C62" s="61" t="s">
        <v>7</v>
      </c>
      <c r="D62" s="62">
        <v>49898</v>
      </c>
      <c r="E62" s="63">
        <v>46036</v>
      </c>
      <c r="F62" s="64">
        <v>7</v>
      </c>
      <c r="G62" s="64">
        <v>2</v>
      </c>
      <c r="I62" s="83" t="s">
        <v>3</v>
      </c>
      <c r="J62" s="86">
        <f t="shared" si="1"/>
        <v>41954</v>
      </c>
    </row>
    <row r="63" ht="16" spans="1:11">
      <c r="A63" s="61" t="s">
        <v>36</v>
      </c>
      <c r="B63" s="61" t="s">
        <v>37</v>
      </c>
      <c r="C63" s="61" t="s">
        <v>13</v>
      </c>
      <c r="D63" s="62">
        <v>71737</v>
      </c>
      <c r="E63" s="63">
        <v>46037</v>
      </c>
      <c r="F63" s="64">
        <v>5</v>
      </c>
      <c r="G63" s="64">
        <v>9</v>
      </c>
      <c r="I63" s="84" t="s">
        <v>4</v>
      </c>
      <c r="J63" s="87">
        <f t="shared" si="1"/>
        <v>46023</v>
      </c>
    </row>
    <row r="64" ht="16" spans="1:11">
      <c r="A64" s="61" t="s">
        <v>38</v>
      </c>
      <c r="B64" s="61" t="s">
        <v>39</v>
      </c>
      <c r="C64" s="61" t="s">
        <v>13</v>
      </c>
      <c r="D64" s="62">
        <v>89576</v>
      </c>
      <c r="E64" s="63">
        <v>46038</v>
      </c>
      <c r="F64" s="64">
        <v>6</v>
      </c>
      <c r="G64" s="64">
        <v>5</v>
      </c>
      <c r="I64" s="84" t="s">
        <v>1492</v>
      </c>
      <c r="J64" s="85">
        <f t="shared" si="1"/>
        <v>5</v>
      </c>
    </row>
    <row r="65" ht="16" spans="1:15">
      <c r="A65" s="61" t="s">
        <v>40</v>
      </c>
      <c r="B65" s="61" t="s">
        <v>41</v>
      </c>
      <c r="C65" s="61" t="s">
        <v>13</v>
      </c>
      <c r="D65" s="62">
        <v>45503</v>
      </c>
      <c r="E65" s="63">
        <v>46039</v>
      </c>
      <c r="F65" s="64">
        <v>7</v>
      </c>
      <c r="G65" s="64">
        <v>3</v>
      </c>
      <c r="I65" s="84" t="s">
        <v>1493</v>
      </c>
      <c r="J65" s="85">
        <f t="shared" si="1"/>
        <v>9</v>
      </c>
    </row>
    <row r="66" ht="16" spans="1:15">
      <c r="A66" s="61" t="s">
        <v>42</v>
      </c>
      <c r="B66" s="61" t="s">
        <v>43</v>
      </c>
      <c r="C66" s="61" t="s">
        <v>44</v>
      </c>
      <c r="D66" s="62" t="s">
        <v>45</v>
      </c>
      <c r="E66" s="63">
        <v>46040</v>
      </c>
      <c r="F66" s="64">
        <v>8</v>
      </c>
      <c r="G66" s="64">
        <v>5</v>
      </c>
    </row>
    <row r="67" ht="16" spans="1:15">
      <c r="A67" s="61" t="s">
        <v>46</v>
      </c>
      <c r="B67" s="61" t="s">
        <v>47</v>
      </c>
      <c r="C67" s="61" t="s">
        <v>33</v>
      </c>
      <c r="D67" s="62" t="s">
        <v>48</v>
      </c>
      <c r="E67" s="63">
        <v>46041</v>
      </c>
      <c r="F67" s="64">
        <v>9</v>
      </c>
      <c r="G67" s="64">
        <v>7</v>
      </c>
    </row>
    <row r="68" ht="16" spans="1:15">
      <c r="A68" s="61" t="s">
        <v>49</v>
      </c>
      <c r="B68" s="61" t="s">
        <v>50</v>
      </c>
      <c r="C68" s="61" t="s">
        <v>13</v>
      </c>
      <c r="D68" s="62" t="s">
        <v>51</v>
      </c>
      <c r="E68" s="63">
        <v>46042</v>
      </c>
      <c r="F68" s="64">
        <v>4</v>
      </c>
      <c r="G68" s="64">
        <v>5</v>
      </c>
    </row>
    <row r="69" ht="15.25"/>
    <row r="72" ht="15.25"/>
    <row r="73" ht="16" spans="1:15">
      <c r="A73" s="49" t="s">
        <v>0</v>
      </c>
      <c r="B73" s="49" t="s">
        <v>1</v>
      </c>
      <c r="C73" s="49" t="s">
        <v>2</v>
      </c>
      <c r="D73" s="50" t="s">
        <v>3</v>
      </c>
      <c r="E73" s="51" t="s">
        <v>4</v>
      </c>
      <c r="F73" s="51" t="s">
        <v>1492</v>
      </c>
      <c r="G73" s="77" t="s">
        <v>1493</v>
      </c>
      <c r="H73" s="78" t="s">
        <v>1699</v>
      </c>
      <c r="I73" s="78"/>
    </row>
    <row r="74" ht="16" spans="1:15">
      <c r="A74" s="54" t="s">
        <v>5</v>
      </c>
      <c r="B74" s="54" t="s">
        <v>6</v>
      </c>
      <c r="C74" s="54" t="s">
        <v>7</v>
      </c>
      <c r="D74" s="55">
        <v>41954</v>
      </c>
      <c r="E74" s="56">
        <v>46023</v>
      </c>
      <c r="F74" s="57">
        <v>5</v>
      </c>
      <c r="G74" s="79">
        <v>9</v>
      </c>
      <c r="H74" s="78"/>
      <c r="I74" s="78"/>
      <c r="L74" s="88" t="s">
        <v>1725</v>
      </c>
      <c r="M74" s="88"/>
      <c r="N74" s="88"/>
      <c r="O74" s="88"/>
    </row>
    <row r="75" ht="16" spans="1:15">
      <c r="A75" s="61" t="s">
        <v>8</v>
      </c>
      <c r="B75" s="61" t="s">
        <v>9</v>
      </c>
      <c r="C75" s="61" t="s">
        <v>10</v>
      </c>
      <c r="D75" s="62">
        <v>49855</v>
      </c>
      <c r="E75" s="63">
        <v>46024</v>
      </c>
      <c r="F75" s="64">
        <v>6</v>
      </c>
      <c r="G75" s="64">
        <v>5</v>
      </c>
      <c r="H75" s="81" t="s">
        <v>1726</v>
      </c>
      <c r="I75" s="81"/>
      <c r="J75" s="70" t="s">
        <v>1727</v>
      </c>
      <c r="K75" s="89"/>
      <c r="L75" s="88"/>
      <c r="M75" s="88"/>
      <c r="N75" s="88"/>
      <c r="O75" s="88"/>
    </row>
    <row r="76" ht="16" spans="1:15">
      <c r="A76" s="61" t="s">
        <v>11</v>
      </c>
      <c r="B76" s="61" t="s">
        <v>12</v>
      </c>
      <c r="C76" s="61" t="s">
        <v>13</v>
      </c>
      <c r="D76" s="62">
        <v>94210</v>
      </c>
      <c r="E76" s="63">
        <v>46025</v>
      </c>
      <c r="F76" s="64">
        <v>7</v>
      </c>
      <c r="G76" s="64">
        <v>3</v>
      </c>
      <c r="H76" s="81"/>
      <c r="I76" s="81"/>
      <c r="J76" s="70"/>
      <c r="K76" s="89"/>
      <c r="L76" s="88"/>
      <c r="M76" s="88"/>
      <c r="N76" s="88"/>
      <c r="O76" s="88"/>
    </row>
    <row r="77" ht="16" spans="1:15">
      <c r="A77" s="61" t="s">
        <v>14</v>
      </c>
      <c r="B77" s="61" t="s">
        <v>15</v>
      </c>
      <c r="C77" s="61" t="s">
        <v>7</v>
      </c>
      <c r="D77" s="62">
        <v>74689</v>
      </c>
      <c r="E77" s="63">
        <v>46026</v>
      </c>
      <c r="F77" s="64">
        <v>8</v>
      </c>
      <c r="G77" s="64">
        <v>5</v>
      </c>
      <c r="H77" s="81"/>
      <c r="I77" s="81"/>
      <c r="J77" s="70"/>
      <c r="K77" s="89"/>
      <c r="L77" s="88"/>
      <c r="M77" s="88"/>
      <c r="N77" s="88"/>
      <c r="O77" s="88"/>
    </row>
    <row r="78" ht="16" spans="1:15">
      <c r="A78" s="61" t="s">
        <v>16</v>
      </c>
      <c r="B78" s="61" t="s">
        <v>17</v>
      </c>
      <c r="C78" s="61" t="s">
        <v>10</v>
      </c>
      <c r="D78" s="62">
        <v>41954</v>
      </c>
      <c r="E78" s="63">
        <v>46027</v>
      </c>
      <c r="F78" s="64">
        <v>9</v>
      </c>
      <c r="G78" s="64">
        <v>7</v>
      </c>
      <c r="H78" s="81"/>
      <c r="I78" s="81"/>
      <c r="J78" s="70"/>
      <c r="K78" s="89"/>
      <c r="L78" s="88"/>
      <c r="M78" s="88"/>
      <c r="N78" s="88"/>
      <c r="O78" s="88"/>
    </row>
    <row r="79" ht="16" spans="1:15">
      <c r="A79" s="61" t="s">
        <v>18</v>
      </c>
      <c r="B79" s="61" t="s">
        <v>12</v>
      </c>
      <c r="C79" s="61" t="s">
        <v>10</v>
      </c>
      <c r="D79" s="62">
        <v>74820</v>
      </c>
      <c r="E79" s="63">
        <v>46028</v>
      </c>
      <c r="F79" s="64">
        <v>4</v>
      </c>
      <c r="G79" s="64">
        <v>5</v>
      </c>
      <c r="H79" s="81"/>
      <c r="I79" s="81"/>
      <c r="J79" s="70"/>
      <c r="K79" s="89"/>
      <c r="L79" s="88"/>
      <c r="M79" s="88"/>
      <c r="N79" s="88"/>
      <c r="O79" s="88"/>
    </row>
    <row r="80" ht="16" spans="1:15">
      <c r="A80" s="61" t="s">
        <v>19</v>
      </c>
      <c r="B80" s="61" t="s">
        <v>20</v>
      </c>
      <c r="C80" s="61" t="s">
        <v>13</v>
      </c>
      <c r="D80" s="62">
        <v>85206</v>
      </c>
      <c r="E80" s="63">
        <v>46029</v>
      </c>
      <c r="F80" s="64">
        <v>3</v>
      </c>
      <c r="G80" s="64">
        <v>6</v>
      </c>
      <c r="H80" s="81"/>
      <c r="I80" s="81"/>
      <c r="J80" s="70"/>
      <c r="K80" s="89"/>
      <c r="L80" s="88"/>
      <c r="M80" s="88"/>
      <c r="N80" s="88"/>
      <c r="O80" s="88"/>
    </row>
    <row r="81" ht="16" spans="1:15">
      <c r="A81" s="61" t="s">
        <v>21</v>
      </c>
      <c r="B81" s="61" t="s">
        <v>22</v>
      </c>
      <c r="C81" s="61" t="s">
        <v>7</v>
      </c>
      <c r="D81" s="62">
        <v>30924</v>
      </c>
      <c r="E81" s="63">
        <v>46030</v>
      </c>
      <c r="F81" s="64">
        <v>8</v>
      </c>
      <c r="G81" s="64">
        <v>7</v>
      </c>
      <c r="H81" s="81"/>
      <c r="I81" s="81"/>
      <c r="L81" s="90"/>
      <c r="M81" s="90"/>
      <c r="N81" s="90"/>
      <c r="O81" s="90"/>
    </row>
    <row r="82" ht="16" spans="1:15">
      <c r="A82" s="61" t="s">
        <v>23</v>
      </c>
      <c r="B82" s="61" t="s">
        <v>24</v>
      </c>
      <c r="C82" s="61" t="s">
        <v>10</v>
      </c>
      <c r="D82" s="62">
        <v>57737</v>
      </c>
      <c r="E82" s="63">
        <v>46031</v>
      </c>
      <c r="F82" s="64">
        <v>2</v>
      </c>
      <c r="G82" s="64">
        <v>8</v>
      </c>
      <c r="H82" s="81"/>
      <c r="I82" s="81"/>
      <c r="L82" s="90"/>
      <c r="M82" s="90"/>
      <c r="N82" s="90"/>
      <c r="O82" s="90"/>
    </row>
    <row r="83" ht="16" spans="1:15">
      <c r="A83" s="61" t="s">
        <v>25</v>
      </c>
      <c r="B83" s="61" t="s">
        <v>26</v>
      </c>
      <c r="C83" s="61" t="s">
        <v>13</v>
      </c>
      <c r="D83" s="62">
        <v>36000</v>
      </c>
      <c r="E83" s="63">
        <v>46032</v>
      </c>
      <c r="F83" s="64">
        <v>9</v>
      </c>
      <c r="G83" s="64">
        <v>9</v>
      </c>
      <c r="L83" s="90"/>
      <c r="M83" s="90"/>
      <c r="N83" s="90"/>
      <c r="O83" s="90"/>
    </row>
    <row r="84" ht="16" spans="1:15">
      <c r="A84" s="61" t="s">
        <v>27</v>
      </c>
      <c r="B84" s="61" t="s">
        <v>28</v>
      </c>
      <c r="C84" s="61" t="s">
        <v>13</v>
      </c>
      <c r="D84" s="62">
        <v>96371</v>
      </c>
      <c r="E84" s="63">
        <v>46033</v>
      </c>
      <c r="F84" s="64">
        <v>5</v>
      </c>
      <c r="G84" s="64">
        <v>4</v>
      </c>
      <c r="I84" s="82" t="s">
        <v>0</v>
      </c>
      <c r="J84" s="75" t="s">
        <v>29</v>
      </c>
      <c r="K84" s="85"/>
      <c r="L84" s="91" t="s">
        <v>1728</v>
      </c>
      <c r="M84" s="91"/>
      <c r="N84" s="90"/>
      <c r="O84" s="90"/>
    </row>
    <row r="85" ht="16" spans="1:15">
      <c r="A85" s="61" t="s">
        <v>29</v>
      </c>
      <c r="B85" s="61" t="s">
        <v>30</v>
      </c>
      <c r="C85" s="61" t="s">
        <v>10</v>
      </c>
      <c r="D85" s="62">
        <v>85028</v>
      </c>
      <c r="E85" s="63">
        <v>46034</v>
      </c>
      <c r="F85" s="64">
        <v>3</v>
      </c>
      <c r="G85" s="64">
        <v>3</v>
      </c>
      <c r="I85" s="82" t="s">
        <v>1</v>
      </c>
      <c r="J85" s="75" t="str">
        <f>VLOOKUP($J$84,$A$73:$G$93,ROW()-83,FALSE)</f>
        <v>Employee_12</v>
      </c>
      <c r="L85" s="91"/>
      <c r="M85" s="91"/>
      <c r="N85" s="90"/>
      <c r="O85" s="90"/>
    </row>
    <row r="86" ht="16" spans="1:15">
      <c r="A86" s="61" t="s">
        <v>31</v>
      </c>
      <c r="B86" s="61" t="s">
        <v>32</v>
      </c>
      <c r="C86" s="61" t="s">
        <v>33</v>
      </c>
      <c r="D86" s="62">
        <v>51378</v>
      </c>
      <c r="E86" s="63">
        <v>46035</v>
      </c>
      <c r="F86" s="64">
        <v>5</v>
      </c>
      <c r="G86" s="64">
        <v>8</v>
      </c>
      <c r="I86" s="82" t="s">
        <v>2</v>
      </c>
      <c r="J86" s="75" t="str">
        <f t="shared" ref="J85:J90" si="2">VLOOKUP($J$84,$A$73:$G$93,ROW()-83,FALSE)</f>
        <v>Operations</v>
      </c>
      <c r="L86" s="91"/>
      <c r="M86" s="91"/>
    </row>
    <row r="87" ht="16" spans="1:15">
      <c r="A87" s="61" t="s">
        <v>34</v>
      </c>
      <c r="B87" s="61" t="s">
        <v>35</v>
      </c>
      <c r="C87" s="61" t="s">
        <v>7</v>
      </c>
      <c r="D87" s="62">
        <v>49898</v>
      </c>
      <c r="E87" s="63">
        <v>46036</v>
      </c>
      <c r="F87" s="64">
        <v>7</v>
      </c>
      <c r="G87" s="64">
        <v>2</v>
      </c>
      <c r="I87" s="83" t="s">
        <v>3</v>
      </c>
      <c r="J87" s="72">
        <f t="shared" si="2"/>
        <v>85028</v>
      </c>
      <c r="L87" s="91"/>
      <c r="M87" s="91"/>
    </row>
    <row r="88" ht="16" spans="1:15">
      <c r="A88" s="61" t="s">
        <v>36</v>
      </c>
      <c r="B88" s="61" t="s">
        <v>37</v>
      </c>
      <c r="C88" s="61" t="s">
        <v>13</v>
      </c>
      <c r="D88" s="62">
        <v>71737</v>
      </c>
      <c r="E88" s="63">
        <v>46037</v>
      </c>
      <c r="F88" s="64">
        <v>5</v>
      </c>
      <c r="G88" s="64">
        <v>9</v>
      </c>
      <c r="I88" s="84" t="s">
        <v>4</v>
      </c>
      <c r="J88" s="74">
        <f t="shared" si="2"/>
        <v>46034</v>
      </c>
    </row>
    <row r="89" ht="16" spans="1:15">
      <c r="A89" s="61" t="s">
        <v>38</v>
      </c>
      <c r="B89" s="61" t="s">
        <v>39</v>
      </c>
      <c r="C89" s="61" t="s">
        <v>13</v>
      </c>
      <c r="D89" s="62">
        <v>89576</v>
      </c>
      <c r="E89" s="63">
        <v>46038</v>
      </c>
      <c r="F89" s="64">
        <v>6</v>
      </c>
      <c r="G89" s="64">
        <v>5</v>
      </c>
      <c r="I89" s="84" t="s">
        <v>1492</v>
      </c>
      <c r="J89" s="75">
        <f t="shared" si="2"/>
        <v>3</v>
      </c>
    </row>
    <row r="90" ht="16" spans="1:15">
      <c r="A90" s="61" t="s">
        <v>40</v>
      </c>
      <c r="B90" s="61" t="s">
        <v>41</v>
      </c>
      <c r="C90" s="61" t="s">
        <v>13</v>
      </c>
      <c r="D90" s="62">
        <v>45503</v>
      </c>
      <c r="E90" s="63">
        <v>46039</v>
      </c>
      <c r="F90" s="64">
        <v>7</v>
      </c>
      <c r="G90" s="64">
        <v>3</v>
      </c>
      <c r="I90" s="84" t="s">
        <v>1493</v>
      </c>
      <c r="J90" s="75">
        <f t="shared" si="2"/>
        <v>3</v>
      </c>
    </row>
    <row r="91" ht="16" spans="1:15">
      <c r="A91" s="61" t="s">
        <v>42</v>
      </c>
      <c r="B91" s="61" t="s">
        <v>43</v>
      </c>
      <c r="C91" s="61" t="s">
        <v>44</v>
      </c>
      <c r="D91" s="62" t="s">
        <v>45</v>
      </c>
      <c r="E91" s="63">
        <v>46040</v>
      </c>
      <c r="F91" s="64">
        <v>8</v>
      </c>
      <c r="G91" s="64">
        <v>5</v>
      </c>
    </row>
    <row r="92" ht="16" spans="1:15">
      <c r="A92" s="61" t="s">
        <v>46</v>
      </c>
      <c r="B92" s="61" t="s">
        <v>47</v>
      </c>
      <c r="C92" s="61" t="s">
        <v>33</v>
      </c>
      <c r="D92" s="62" t="s">
        <v>48</v>
      </c>
      <c r="E92" s="63">
        <v>46041</v>
      </c>
      <c r="F92" s="64">
        <v>9</v>
      </c>
      <c r="G92" s="64">
        <v>7</v>
      </c>
    </row>
    <row r="93" ht="16" spans="1:15">
      <c r="A93" s="61" t="s">
        <v>49</v>
      </c>
      <c r="B93" s="61" t="s">
        <v>50</v>
      </c>
      <c r="C93" s="61" t="s">
        <v>13</v>
      </c>
      <c r="D93" s="62" t="s">
        <v>51</v>
      </c>
      <c r="E93" s="63">
        <v>46042</v>
      </c>
      <c r="F93" s="64">
        <v>4</v>
      </c>
      <c r="G93" s="64">
        <v>5</v>
      </c>
    </row>
    <row r="94" ht="15.25"/>
    <row r="99" ht="15.25"/>
    <row r="100" ht="16" spans="1:11">
      <c r="A100" s="49" t="s">
        <v>0</v>
      </c>
      <c r="B100" s="49" t="s">
        <v>1</v>
      </c>
      <c r="C100" s="49" t="s">
        <v>2</v>
      </c>
      <c r="D100" s="50" t="s">
        <v>3</v>
      </c>
      <c r="E100" s="51" t="s">
        <v>4</v>
      </c>
      <c r="F100" s="51" t="s">
        <v>1492</v>
      </c>
      <c r="G100" s="77" t="s">
        <v>1493</v>
      </c>
      <c r="H100" s="78" t="s">
        <v>1729</v>
      </c>
      <c r="I100" s="78"/>
    </row>
    <row r="101" ht="16" spans="1:11">
      <c r="A101" s="54" t="s">
        <v>5</v>
      </c>
      <c r="B101" s="54" t="s">
        <v>6</v>
      </c>
      <c r="C101" s="54" t="s">
        <v>7</v>
      </c>
      <c r="D101" s="55">
        <v>41954</v>
      </c>
      <c r="E101" s="56">
        <v>46023</v>
      </c>
      <c r="F101" s="57">
        <v>5</v>
      </c>
      <c r="G101" s="79">
        <v>9</v>
      </c>
      <c r="H101" s="78"/>
      <c r="I101" s="78"/>
    </row>
    <row r="102" ht="16" spans="1:11">
      <c r="A102" s="61" t="s">
        <v>8</v>
      </c>
      <c r="B102" s="61" t="s">
        <v>9</v>
      </c>
      <c r="C102" s="61" t="s">
        <v>10</v>
      </c>
      <c r="D102" s="62">
        <v>49855</v>
      </c>
      <c r="E102" s="63">
        <v>46024</v>
      </c>
      <c r="F102" s="64">
        <v>6</v>
      </c>
      <c r="G102" s="64">
        <v>5</v>
      </c>
      <c r="H102" s="81" t="s">
        <v>1730</v>
      </c>
      <c r="I102" s="81"/>
    </row>
    <row r="103" ht="16" spans="1:11">
      <c r="A103" s="61" t="s">
        <v>11</v>
      </c>
      <c r="B103" s="61" t="s">
        <v>12</v>
      </c>
      <c r="C103" s="61" t="s">
        <v>13</v>
      </c>
      <c r="D103" s="62">
        <v>94210</v>
      </c>
      <c r="E103" s="63">
        <v>46025</v>
      </c>
      <c r="F103" s="64">
        <v>7</v>
      </c>
      <c r="G103" s="64">
        <v>3</v>
      </c>
      <c r="H103" s="81"/>
      <c r="I103" s="81"/>
    </row>
    <row r="104" ht="16" spans="1:11">
      <c r="A104" s="61" t="s">
        <v>14</v>
      </c>
      <c r="B104" s="61" t="s">
        <v>15</v>
      </c>
      <c r="C104" s="61" t="s">
        <v>7</v>
      </c>
      <c r="D104" s="62">
        <v>74689</v>
      </c>
      <c r="E104" s="63">
        <v>46026</v>
      </c>
      <c r="F104" s="64">
        <v>8</v>
      </c>
      <c r="G104" s="64">
        <v>5</v>
      </c>
      <c r="H104" s="81"/>
      <c r="I104" s="81"/>
    </row>
    <row r="105" ht="16" spans="1:11">
      <c r="A105" s="61" t="s">
        <v>16</v>
      </c>
      <c r="B105" s="61" t="s">
        <v>17</v>
      </c>
      <c r="C105" s="61" t="s">
        <v>10</v>
      </c>
      <c r="D105" s="62">
        <v>41954</v>
      </c>
      <c r="E105" s="63">
        <v>46027</v>
      </c>
      <c r="F105" s="64">
        <v>9</v>
      </c>
      <c r="G105" s="64">
        <v>7</v>
      </c>
      <c r="H105" s="81"/>
      <c r="I105" s="81"/>
    </row>
    <row r="106" ht="16" spans="1:11">
      <c r="A106" s="61" t="s">
        <v>18</v>
      </c>
      <c r="B106" s="61" t="s">
        <v>12</v>
      </c>
      <c r="C106" s="61" t="s">
        <v>10</v>
      </c>
      <c r="D106" s="62">
        <v>74820</v>
      </c>
      <c r="E106" s="63">
        <v>46028</v>
      </c>
      <c r="F106" s="64">
        <v>4</v>
      </c>
      <c r="G106" s="64">
        <v>5</v>
      </c>
      <c r="H106" s="81"/>
      <c r="I106" s="81"/>
    </row>
    <row r="107" ht="16" spans="1:11">
      <c r="A107" s="61" t="s">
        <v>19</v>
      </c>
      <c r="B107" s="61" t="s">
        <v>20</v>
      </c>
      <c r="C107" s="61" t="s">
        <v>13</v>
      </c>
      <c r="D107" s="62">
        <v>85206</v>
      </c>
      <c r="E107" s="63">
        <v>46029</v>
      </c>
      <c r="F107" s="64">
        <v>3</v>
      </c>
      <c r="G107" s="64">
        <v>6</v>
      </c>
      <c r="H107" s="81"/>
      <c r="I107" s="81"/>
    </row>
    <row r="108" ht="16" spans="1:11">
      <c r="A108" s="61" t="s">
        <v>21</v>
      </c>
      <c r="B108" s="61" t="s">
        <v>22</v>
      </c>
      <c r="C108" s="61" t="s">
        <v>7</v>
      </c>
      <c r="D108" s="62">
        <v>30924</v>
      </c>
      <c r="E108" s="63">
        <v>46030</v>
      </c>
      <c r="F108" s="64">
        <v>8</v>
      </c>
      <c r="G108" s="64">
        <v>7</v>
      </c>
      <c r="H108" s="81"/>
      <c r="I108" s="81"/>
    </row>
    <row r="109" ht="16" spans="1:11">
      <c r="A109" s="61" t="s">
        <v>23</v>
      </c>
      <c r="B109" s="61" t="s">
        <v>24</v>
      </c>
      <c r="C109" s="61" t="s">
        <v>10</v>
      </c>
      <c r="D109" s="62">
        <v>57737</v>
      </c>
      <c r="E109" s="63">
        <v>46031</v>
      </c>
      <c r="F109" s="64">
        <v>2</v>
      </c>
      <c r="G109" s="64">
        <v>8</v>
      </c>
      <c r="H109" s="81"/>
      <c r="I109" s="81"/>
    </row>
    <row r="110" ht="16" spans="1:11">
      <c r="A110" s="61" t="s">
        <v>25</v>
      </c>
      <c r="B110" s="61" t="s">
        <v>26</v>
      </c>
      <c r="C110" s="61" t="s">
        <v>13</v>
      </c>
      <c r="D110" s="62">
        <v>36000</v>
      </c>
      <c r="E110" s="63">
        <v>46032</v>
      </c>
      <c r="F110" s="64">
        <v>9</v>
      </c>
      <c r="G110" s="64">
        <v>9</v>
      </c>
      <c r="K110" s="92" t="s">
        <v>1731</v>
      </c>
    </row>
    <row r="111" ht="16" spans="1:11">
      <c r="A111" s="61" t="s">
        <v>27</v>
      </c>
      <c r="B111" s="61" t="s">
        <v>28</v>
      </c>
      <c r="C111" s="61" t="s">
        <v>13</v>
      </c>
      <c r="D111" s="62">
        <v>96371</v>
      </c>
      <c r="E111" s="63">
        <v>46033</v>
      </c>
      <c r="F111" s="64">
        <v>5</v>
      </c>
      <c r="G111" s="64">
        <v>4</v>
      </c>
      <c r="I111" s="82" t="s">
        <v>0</v>
      </c>
      <c r="J111" s="75" t="s">
        <v>8</v>
      </c>
      <c r="K111" s="75" t="s">
        <v>8</v>
      </c>
    </row>
    <row r="112" ht="16" spans="1:11">
      <c r="A112" s="61" t="s">
        <v>29</v>
      </c>
      <c r="B112" s="61" t="s">
        <v>30</v>
      </c>
      <c r="C112" s="61" t="s">
        <v>10</v>
      </c>
      <c r="D112" s="62">
        <v>85028</v>
      </c>
      <c r="E112" s="63">
        <v>46034</v>
      </c>
      <c r="F112" s="64">
        <v>3</v>
      </c>
      <c r="G112" s="64">
        <v>3</v>
      </c>
      <c r="I112" s="82" t="s">
        <v>1</v>
      </c>
      <c r="J112" s="75" t="str">
        <f>LOOKUP($J$111,A100:A120,B100:B120)</f>
        <v>Employee_2</v>
      </c>
      <c r="K112" s="75" t="str">
        <f>LOOKUP(K111,A100:A120,B100:B120)</f>
        <v>Employee_2</v>
      </c>
    </row>
    <row r="113" ht="16" spans="1:21">
      <c r="A113" s="61" t="s">
        <v>31</v>
      </c>
      <c r="B113" s="61" t="s">
        <v>32</v>
      </c>
      <c r="C113" s="61" t="s">
        <v>33</v>
      </c>
      <c r="D113" s="62">
        <v>51378</v>
      </c>
      <c r="E113" s="63">
        <v>46035</v>
      </c>
      <c r="F113" s="64">
        <v>5</v>
      </c>
      <c r="G113" s="64">
        <v>8</v>
      </c>
      <c r="I113" s="82" t="s">
        <v>2</v>
      </c>
      <c r="J113" s="75" t="str">
        <f>LOOKUP($J$111,A100:A120,C100:C120)</f>
        <v>Operations</v>
      </c>
      <c r="K113" s="75" t="str">
        <f>LOOKUP($K$111,A100:A120,C100:C120)</f>
        <v>Operations</v>
      </c>
    </row>
    <row r="114" ht="16" spans="1:21">
      <c r="A114" s="61" t="s">
        <v>34</v>
      </c>
      <c r="B114" s="61" t="s">
        <v>35</v>
      </c>
      <c r="C114" s="61" t="s">
        <v>7</v>
      </c>
      <c r="D114" s="62">
        <v>49898</v>
      </c>
      <c r="E114" s="63">
        <v>46036</v>
      </c>
      <c r="F114" s="64">
        <v>7</v>
      </c>
      <c r="G114" s="64">
        <v>2</v>
      </c>
      <c r="I114" s="83" t="s">
        <v>3</v>
      </c>
      <c r="J114" s="93">
        <f>LOOKUP($J$111,A100:A120,D100:D120)</f>
        <v>49855</v>
      </c>
      <c r="K114" s="93">
        <f>LOOKUP($K$111,A100:A120,D100:D120)</f>
        <v>49855</v>
      </c>
    </row>
    <row r="115" ht="16" spans="1:21">
      <c r="A115" s="61" t="s">
        <v>36</v>
      </c>
      <c r="B115" s="61" t="s">
        <v>37</v>
      </c>
      <c r="C115" s="61" t="s">
        <v>13</v>
      </c>
      <c r="D115" s="62">
        <v>71737</v>
      </c>
      <c r="E115" s="63">
        <v>46037</v>
      </c>
      <c r="F115" s="64">
        <v>5</v>
      </c>
      <c r="G115" s="64">
        <v>9</v>
      </c>
      <c r="I115" s="84" t="s">
        <v>4</v>
      </c>
      <c r="J115" s="74">
        <f>LOOKUP($J$111,A100:A120,E100:E120)</f>
        <v>46024</v>
      </c>
      <c r="K115" s="74">
        <f>LOOKUP($K$111,A100:A120,E100:E120)</f>
        <v>46024</v>
      </c>
    </row>
    <row r="116" ht="16" spans="1:21">
      <c r="A116" s="61" t="s">
        <v>38</v>
      </c>
      <c r="B116" s="61" t="s">
        <v>39</v>
      </c>
      <c r="C116" s="61" t="s">
        <v>13</v>
      </c>
      <c r="D116" s="62">
        <v>89576</v>
      </c>
      <c r="E116" s="63">
        <v>46038</v>
      </c>
      <c r="F116" s="64">
        <v>6</v>
      </c>
      <c r="G116" s="64">
        <v>5</v>
      </c>
      <c r="I116" s="84" t="s">
        <v>1492</v>
      </c>
      <c r="J116" s="75">
        <f>LOOKUP($J$111,A100:A120,F100:F120)</f>
        <v>6</v>
      </c>
      <c r="K116" s="75">
        <f>LOOKUP($K$111,A100:A120,F100:F120)</f>
        <v>6</v>
      </c>
    </row>
    <row r="117" ht="16" spans="1:21">
      <c r="A117" s="61" t="s">
        <v>40</v>
      </c>
      <c r="B117" s="61" t="s">
        <v>41</v>
      </c>
      <c r="C117" s="61" t="s">
        <v>13</v>
      </c>
      <c r="D117" s="62">
        <v>45503</v>
      </c>
      <c r="E117" s="63">
        <v>46039</v>
      </c>
      <c r="F117" s="64">
        <v>7</v>
      </c>
      <c r="G117" s="64">
        <v>3</v>
      </c>
      <c r="I117" s="84" t="s">
        <v>1493</v>
      </c>
      <c r="J117" s="75">
        <f>LOOKUP($J$111,A100:A120,G100:G120)</f>
        <v>5</v>
      </c>
      <c r="K117" s="75">
        <f>LOOKUP($K$111,A100:A120,G100:G120)</f>
        <v>5</v>
      </c>
    </row>
    <row r="118" ht="16" spans="1:21">
      <c r="A118" s="61" t="s">
        <v>42</v>
      </c>
      <c r="B118" s="61" t="s">
        <v>43</v>
      </c>
      <c r="C118" s="61" t="s">
        <v>44</v>
      </c>
      <c r="D118" s="62" t="s">
        <v>45</v>
      </c>
      <c r="E118" s="63">
        <v>46040</v>
      </c>
      <c r="F118" s="64">
        <v>8</v>
      </c>
      <c r="G118" s="64">
        <v>5</v>
      </c>
    </row>
    <row r="119" ht="16" spans="1:21">
      <c r="A119" s="61" t="s">
        <v>46</v>
      </c>
      <c r="B119" s="61" t="s">
        <v>47</v>
      </c>
      <c r="C119" s="61" t="s">
        <v>33</v>
      </c>
      <c r="D119" s="62" t="s">
        <v>48</v>
      </c>
      <c r="E119" s="63">
        <v>46041</v>
      </c>
      <c r="F119" s="64">
        <v>9</v>
      </c>
      <c r="G119" s="64">
        <v>7</v>
      </c>
    </row>
    <row r="120" ht="16" spans="1:21">
      <c r="A120" s="61" t="s">
        <v>49</v>
      </c>
      <c r="B120" s="61" t="s">
        <v>50</v>
      </c>
      <c r="C120" s="61" t="s">
        <v>13</v>
      </c>
      <c r="D120" s="62" t="s">
        <v>51</v>
      </c>
      <c r="E120" s="63">
        <v>46042</v>
      </c>
      <c r="F120" s="64">
        <v>4</v>
      </c>
      <c r="G120" s="64">
        <v>5</v>
      </c>
    </row>
    <row r="121" ht="15.25"/>
    <row r="125" ht="15.25"/>
    <row r="126" ht="16" spans="1:21">
      <c r="A126" s="94" t="s">
        <v>0</v>
      </c>
      <c r="B126" s="61" t="s">
        <v>5</v>
      </c>
      <c r="C126" s="61" t="s">
        <v>8</v>
      </c>
      <c r="D126" s="61" t="s">
        <v>11</v>
      </c>
      <c r="E126" s="61" t="s">
        <v>14</v>
      </c>
      <c r="F126" s="61" t="s">
        <v>16</v>
      </c>
      <c r="G126" s="61" t="s">
        <v>18</v>
      </c>
      <c r="H126" s="61" t="s">
        <v>19</v>
      </c>
      <c r="I126" s="61" t="s">
        <v>21</v>
      </c>
      <c r="J126" s="61" t="s">
        <v>23</v>
      </c>
      <c r="K126" s="61" t="s">
        <v>25</v>
      </c>
      <c r="L126" s="61" t="s">
        <v>27</v>
      </c>
      <c r="M126" s="61" t="s">
        <v>29</v>
      </c>
      <c r="N126" s="61" t="s">
        <v>31</v>
      </c>
      <c r="O126" s="61" t="s">
        <v>34</v>
      </c>
      <c r="P126" s="61" t="s">
        <v>36</v>
      </c>
      <c r="Q126" s="61" t="s">
        <v>38</v>
      </c>
      <c r="R126" s="61" t="s">
        <v>40</v>
      </c>
      <c r="S126" s="61" t="s">
        <v>42</v>
      </c>
      <c r="T126" s="61" t="s">
        <v>46</v>
      </c>
      <c r="U126" s="61" t="s">
        <v>49</v>
      </c>
    </row>
    <row r="127" ht="16" spans="1:21">
      <c r="A127" s="49" t="s">
        <v>1</v>
      </c>
      <c r="B127" s="54" t="s">
        <v>6</v>
      </c>
      <c r="C127" s="61" t="s">
        <v>9</v>
      </c>
      <c r="D127" s="61" t="s">
        <v>12</v>
      </c>
      <c r="E127" s="61" t="s">
        <v>15</v>
      </c>
      <c r="F127" s="61" t="s">
        <v>17</v>
      </c>
      <c r="G127" s="61" t="s">
        <v>12</v>
      </c>
      <c r="H127" s="61" t="s">
        <v>20</v>
      </c>
      <c r="I127" s="61" t="s">
        <v>22</v>
      </c>
      <c r="J127" s="61" t="s">
        <v>24</v>
      </c>
      <c r="K127" s="61" t="s">
        <v>26</v>
      </c>
      <c r="L127" s="61" t="s">
        <v>28</v>
      </c>
      <c r="M127" s="61" t="s">
        <v>30</v>
      </c>
      <c r="N127" s="61" t="s">
        <v>32</v>
      </c>
      <c r="O127" s="61" t="s">
        <v>35</v>
      </c>
      <c r="P127" s="61" t="s">
        <v>37</v>
      </c>
      <c r="Q127" s="61" t="s">
        <v>39</v>
      </c>
      <c r="R127" s="61" t="s">
        <v>41</v>
      </c>
      <c r="S127" s="61" t="s">
        <v>43</v>
      </c>
      <c r="T127" s="61" t="s">
        <v>47</v>
      </c>
      <c r="U127" s="61" t="s">
        <v>50</v>
      </c>
    </row>
    <row r="128" ht="16" spans="1:21">
      <c r="A128" s="49" t="s">
        <v>2</v>
      </c>
      <c r="B128" s="54" t="s">
        <v>7</v>
      </c>
      <c r="C128" s="61" t="s">
        <v>10</v>
      </c>
      <c r="D128" s="61" t="s">
        <v>13</v>
      </c>
      <c r="E128" s="61" t="s">
        <v>7</v>
      </c>
      <c r="F128" s="61" t="s">
        <v>10</v>
      </c>
      <c r="G128" s="61" t="s">
        <v>10</v>
      </c>
      <c r="H128" s="61" t="s">
        <v>13</v>
      </c>
      <c r="I128" s="61" t="s">
        <v>7</v>
      </c>
      <c r="J128" s="61" t="s">
        <v>10</v>
      </c>
      <c r="K128" s="61" t="s">
        <v>13</v>
      </c>
      <c r="L128" s="61" t="s">
        <v>13</v>
      </c>
      <c r="M128" s="61" t="s">
        <v>10</v>
      </c>
      <c r="N128" s="61" t="s">
        <v>33</v>
      </c>
      <c r="O128" s="61" t="s">
        <v>7</v>
      </c>
      <c r="P128" s="61" t="s">
        <v>13</v>
      </c>
      <c r="Q128" s="61" t="s">
        <v>13</v>
      </c>
      <c r="R128" s="61" t="s">
        <v>13</v>
      </c>
      <c r="S128" s="61" t="s">
        <v>44</v>
      </c>
      <c r="T128" s="61" t="s">
        <v>33</v>
      </c>
      <c r="U128" s="61" t="s">
        <v>13</v>
      </c>
    </row>
    <row r="129" ht="16" spans="1:21">
      <c r="A129" s="50" t="s">
        <v>3</v>
      </c>
      <c r="B129" s="55">
        <v>41954</v>
      </c>
      <c r="C129" s="62">
        <v>49855</v>
      </c>
      <c r="D129" s="62">
        <v>94210</v>
      </c>
      <c r="E129" s="62">
        <v>74689</v>
      </c>
      <c r="F129" s="62">
        <v>41954</v>
      </c>
      <c r="G129" s="62">
        <v>74820</v>
      </c>
      <c r="H129" s="62">
        <v>85206</v>
      </c>
      <c r="I129" s="62">
        <v>30924</v>
      </c>
      <c r="J129" s="62">
        <v>57737</v>
      </c>
      <c r="K129" s="62">
        <v>36000</v>
      </c>
      <c r="L129" s="62">
        <v>96371</v>
      </c>
      <c r="M129" s="62">
        <v>85028</v>
      </c>
      <c r="N129" s="62">
        <v>51378</v>
      </c>
      <c r="O129" s="62">
        <v>49898</v>
      </c>
      <c r="P129" s="62">
        <v>71737</v>
      </c>
      <c r="Q129" s="62">
        <v>89576</v>
      </c>
      <c r="R129" s="62">
        <v>45503</v>
      </c>
      <c r="S129" s="62" t="s">
        <v>45</v>
      </c>
      <c r="T129" s="62" t="s">
        <v>48</v>
      </c>
      <c r="U129" s="62" t="s">
        <v>51</v>
      </c>
    </row>
    <row r="130" ht="16" spans="1:21">
      <c r="A130" s="51" t="s">
        <v>4</v>
      </c>
      <c r="B130" s="56">
        <v>46023</v>
      </c>
      <c r="C130" s="63">
        <v>46024</v>
      </c>
      <c r="D130" s="63">
        <v>46025</v>
      </c>
      <c r="E130" s="63">
        <v>46026</v>
      </c>
      <c r="F130" s="63">
        <v>46027</v>
      </c>
      <c r="G130" s="63">
        <v>46028</v>
      </c>
      <c r="H130" s="63">
        <v>46029</v>
      </c>
      <c r="I130" s="63">
        <v>46030</v>
      </c>
      <c r="J130" s="63">
        <v>46031</v>
      </c>
      <c r="K130" s="63">
        <v>46032</v>
      </c>
      <c r="L130" s="63">
        <v>46033</v>
      </c>
      <c r="M130" s="63">
        <v>46034</v>
      </c>
      <c r="N130" s="63">
        <v>46035</v>
      </c>
      <c r="O130" s="63">
        <v>46036</v>
      </c>
      <c r="P130" s="63">
        <v>46037</v>
      </c>
      <c r="Q130" s="63">
        <v>46038</v>
      </c>
      <c r="R130" s="63">
        <v>46039</v>
      </c>
      <c r="S130" s="63">
        <v>46040</v>
      </c>
      <c r="T130" s="63">
        <v>46041</v>
      </c>
      <c r="U130" s="63">
        <v>46042</v>
      </c>
    </row>
    <row r="131" ht="16" spans="1:21">
      <c r="A131" s="51" t="s">
        <v>1492</v>
      </c>
      <c r="B131" s="57">
        <v>5</v>
      </c>
      <c r="C131" s="64">
        <v>6</v>
      </c>
      <c r="D131" s="64">
        <v>7</v>
      </c>
      <c r="E131" s="64">
        <v>8</v>
      </c>
      <c r="F131" s="64">
        <v>9</v>
      </c>
      <c r="G131" s="64">
        <v>4</v>
      </c>
      <c r="H131" s="64">
        <v>3</v>
      </c>
      <c r="I131" s="64">
        <v>8</v>
      </c>
      <c r="J131" s="64">
        <v>2</v>
      </c>
      <c r="K131" s="64">
        <v>9</v>
      </c>
      <c r="L131" s="64">
        <v>5</v>
      </c>
      <c r="M131" s="64">
        <v>3</v>
      </c>
      <c r="N131" s="64">
        <v>5</v>
      </c>
      <c r="O131" s="64">
        <v>7</v>
      </c>
      <c r="P131" s="64">
        <v>5</v>
      </c>
      <c r="Q131" s="64">
        <v>6</v>
      </c>
      <c r="R131" s="64">
        <v>7</v>
      </c>
      <c r="S131" s="64">
        <v>8</v>
      </c>
      <c r="T131" s="64">
        <v>9</v>
      </c>
      <c r="U131" s="64">
        <v>4</v>
      </c>
    </row>
    <row r="132" ht="16" spans="1:21">
      <c r="A132" s="77" t="s">
        <v>1493</v>
      </c>
      <c r="B132" s="79">
        <v>9</v>
      </c>
      <c r="C132" s="64">
        <v>5</v>
      </c>
      <c r="D132" s="64">
        <v>3</v>
      </c>
      <c r="E132" s="64">
        <v>5</v>
      </c>
      <c r="F132" s="64">
        <v>7</v>
      </c>
      <c r="G132" s="64">
        <v>5</v>
      </c>
      <c r="H132" s="64">
        <v>6</v>
      </c>
      <c r="I132" s="64">
        <v>7</v>
      </c>
      <c r="J132" s="64">
        <v>8</v>
      </c>
      <c r="K132" s="64">
        <v>9</v>
      </c>
      <c r="L132" s="64">
        <v>4</v>
      </c>
      <c r="M132" s="64">
        <v>3</v>
      </c>
      <c r="N132" s="64">
        <v>8</v>
      </c>
      <c r="O132" s="64">
        <v>2</v>
      </c>
      <c r="P132" s="64">
        <v>9</v>
      </c>
      <c r="Q132" s="64">
        <v>5</v>
      </c>
      <c r="R132" s="64">
        <v>3</v>
      </c>
      <c r="S132" s="64">
        <v>5</v>
      </c>
      <c r="T132" s="64">
        <v>7</v>
      </c>
      <c r="U132" s="64">
        <v>5</v>
      </c>
    </row>
    <row r="133" ht="16"/>
    <row r="134" ht="16" spans="1:21">
      <c r="A134" s="78" t="s">
        <v>1732</v>
      </c>
      <c r="B134" s="78"/>
    </row>
    <row r="135" ht="16" spans="1:21">
      <c r="A135" s="78"/>
      <c r="B135" s="78"/>
      <c r="F135" s="82" t="s">
        <v>0</v>
      </c>
      <c r="G135" s="82" t="s">
        <v>1</v>
      </c>
      <c r="H135" s="82" t="s">
        <v>2</v>
      </c>
      <c r="I135" s="83" t="s">
        <v>3</v>
      </c>
      <c r="J135" s="84" t="s">
        <v>4</v>
      </c>
      <c r="K135" s="84" t="s">
        <v>1492</v>
      </c>
      <c r="L135" s="84" t="s">
        <v>1493</v>
      </c>
    </row>
    <row r="136" ht="16" spans="1:21">
      <c r="F136" s="75" t="s">
        <v>25</v>
      </c>
      <c r="G136" s="75" t="str">
        <f t="shared" ref="G136:L136" si="3">HLOOKUP($F$136,$A$126:$U$132,COLUMN()-5,FALSE)</f>
        <v>Employee_10</v>
      </c>
      <c r="H136" s="75" t="str">
        <f t="shared" si="3"/>
        <v>Sales</v>
      </c>
      <c r="I136" s="93">
        <f t="shared" si="3"/>
        <v>36000</v>
      </c>
      <c r="J136" s="74">
        <f t="shared" si="3"/>
        <v>46032</v>
      </c>
      <c r="K136" s="75">
        <f t="shared" si="3"/>
        <v>9</v>
      </c>
      <c r="L136" s="75">
        <f t="shared" si="3"/>
        <v>9</v>
      </c>
    </row>
    <row r="137" ht="15.25"/>
    <row r="140" ht="15.25"/>
    <row r="141" ht="16" spans="1:21">
      <c r="A141" s="49" t="s">
        <v>0</v>
      </c>
      <c r="B141" s="49" t="s">
        <v>1</v>
      </c>
      <c r="C141" s="49" t="s">
        <v>2</v>
      </c>
      <c r="D141" s="50" t="s">
        <v>3</v>
      </c>
      <c r="E141" s="51" t="s">
        <v>4</v>
      </c>
      <c r="F141" s="51" t="s">
        <v>1492</v>
      </c>
      <c r="G141" s="77" t="s">
        <v>1493</v>
      </c>
      <c r="H141" s="78" t="s">
        <v>1733</v>
      </c>
      <c r="I141" s="78"/>
    </row>
    <row r="142" ht="16" spans="1:21">
      <c r="A142" s="54" t="s">
        <v>5</v>
      </c>
      <c r="B142" s="54" t="s">
        <v>6</v>
      </c>
      <c r="C142" s="54" t="s">
        <v>7</v>
      </c>
      <c r="D142" s="55">
        <v>41954</v>
      </c>
      <c r="E142" s="56">
        <v>46023</v>
      </c>
      <c r="F142" s="57">
        <v>5</v>
      </c>
      <c r="G142" s="79">
        <v>9</v>
      </c>
      <c r="H142" s="78"/>
      <c r="I142" s="78"/>
    </row>
    <row r="143" ht="16" spans="1:21">
      <c r="A143" s="61" t="s">
        <v>8</v>
      </c>
      <c r="B143" s="61" t="s">
        <v>9</v>
      </c>
      <c r="C143" s="61" t="s">
        <v>10</v>
      </c>
      <c r="D143" s="62">
        <v>49855</v>
      </c>
      <c r="E143" s="63">
        <v>46024</v>
      </c>
      <c r="F143" s="64">
        <v>6</v>
      </c>
      <c r="G143" s="64">
        <v>5</v>
      </c>
      <c r="H143" s="81" t="s">
        <v>1734</v>
      </c>
      <c r="I143" s="81"/>
    </row>
    <row r="144" ht="16" spans="1:21">
      <c r="A144" s="61" t="s">
        <v>11</v>
      </c>
      <c r="B144" s="61" t="s">
        <v>12</v>
      </c>
      <c r="C144" s="61" t="s">
        <v>13</v>
      </c>
      <c r="D144" s="62">
        <v>94210</v>
      </c>
      <c r="E144" s="63">
        <v>46025</v>
      </c>
      <c r="F144" s="64">
        <v>7</v>
      </c>
      <c r="G144" s="64">
        <v>3</v>
      </c>
      <c r="H144" s="81"/>
      <c r="I144" s="81"/>
    </row>
    <row r="145" ht="16" spans="1:15">
      <c r="A145" s="61" t="s">
        <v>14</v>
      </c>
      <c r="B145" s="61" t="s">
        <v>15</v>
      </c>
      <c r="C145" s="61" t="s">
        <v>7</v>
      </c>
      <c r="D145" s="62">
        <v>74689</v>
      </c>
      <c r="E145" s="63">
        <v>46026</v>
      </c>
      <c r="F145" s="64">
        <v>8</v>
      </c>
      <c r="G145" s="64">
        <v>5</v>
      </c>
      <c r="H145" s="81"/>
      <c r="I145" s="81"/>
    </row>
    <row r="146" ht="16" spans="1:15">
      <c r="A146" s="61" t="s">
        <v>16</v>
      </c>
      <c r="B146" s="61" t="s">
        <v>17</v>
      </c>
      <c r="C146" s="61" t="s">
        <v>10</v>
      </c>
      <c r="D146" s="62">
        <v>41954</v>
      </c>
      <c r="E146" s="63">
        <v>46027</v>
      </c>
      <c r="F146" s="64">
        <v>9</v>
      </c>
      <c r="G146" s="64">
        <v>7</v>
      </c>
      <c r="H146" s="81"/>
      <c r="I146" s="81"/>
    </row>
    <row r="147" ht="16" spans="1:15">
      <c r="A147" s="61" t="s">
        <v>18</v>
      </c>
      <c r="B147" s="61" t="s">
        <v>12</v>
      </c>
      <c r="C147" s="61" t="s">
        <v>10</v>
      </c>
      <c r="D147" s="62">
        <v>74820</v>
      </c>
      <c r="E147" s="63">
        <v>46028</v>
      </c>
      <c r="F147" s="64">
        <v>4</v>
      </c>
      <c r="G147" s="64">
        <v>5</v>
      </c>
      <c r="H147" s="81"/>
      <c r="I147" s="81"/>
    </row>
    <row r="148" ht="16" spans="1:15">
      <c r="A148" s="61" t="s">
        <v>19</v>
      </c>
      <c r="B148" s="61" t="s">
        <v>20</v>
      </c>
      <c r="C148" s="61" t="s">
        <v>13</v>
      </c>
      <c r="D148" s="62">
        <v>85206</v>
      </c>
      <c r="E148" s="63">
        <v>46029</v>
      </c>
      <c r="F148" s="64">
        <v>3</v>
      </c>
      <c r="G148" s="64">
        <v>6</v>
      </c>
      <c r="H148" s="81"/>
      <c r="I148" s="81"/>
    </row>
    <row r="149" ht="16" spans="1:15">
      <c r="A149" s="61" t="s">
        <v>21</v>
      </c>
      <c r="B149" s="61" t="s">
        <v>22</v>
      </c>
      <c r="C149" s="61" t="s">
        <v>7</v>
      </c>
      <c r="D149" s="62">
        <v>30924</v>
      </c>
      <c r="E149" s="63">
        <v>46030</v>
      </c>
      <c r="F149" s="64">
        <v>8</v>
      </c>
      <c r="G149" s="64">
        <v>7</v>
      </c>
      <c r="H149" s="81"/>
      <c r="I149" s="81"/>
    </row>
    <row r="150" ht="16" spans="1:15">
      <c r="A150" s="61" t="s">
        <v>23</v>
      </c>
      <c r="B150" s="61" t="s">
        <v>24</v>
      </c>
      <c r="C150" s="61" t="s">
        <v>10</v>
      </c>
      <c r="D150" s="62">
        <v>57737</v>
      </c>
      <c r="E150" s="63">
        <v>46031</v>
      </c>
      <c r="F150" s="64">
        <v>2</v>
      </c>
      <c r="G150" s="64">
        <v>8</v>
      </c>
      <c r="H150" s="81"/>
      <c r="I150" s="81"/>
    </row>
    <row r="151" ht="16" spans="1:15">
      <c r="A151" s="61" t="s">
        <v>25</v>
      </c>
      <c r="B151" s="61" t="s">
        <v>26</v>
      </c>
      <c r="C151" s="61" t="s">
        <v>13</v>
      </c>
      <c r="D151" s="62">
        <v>36000</v>
      </c>
      <c r="E151" s="63">
        <v>46032</v>
      </c>
      <c r="F151" s="64">
        <v>9</v>
      </c>
      <c r="G151" s="64">
        <v>9</v>
      </c>
    </row>
    <row r="152" ht="16" spans="1:15">
      <c r="A152" s="61" t="s">
        <v>27</v>
      </c>
      <c r="B152" s="61" t="s">
        <v>28</v>
      </c>
      <c r="C152" s="61" t="s">
        <v>13</v>
      </c>
      <c r="D152" s="62">
        <v>96371</v>
      </c>
      <c r="E152" s="63">
        <v>46033</v>
      </c>
      <c r="F152" s="64">
        <v>5</v>
      </c>
      <c r="G152" s="64">
        <v>4</v>
      </c>
      <c r="I152" s="82" t="s">
        <v>0</v>
      </c>
      <c r="J152" s="75" t="s">
        <v>8</v>
      </c>
    </row>
    <row r="153" ht="16" spans="1:15">
      <c r="A153" s="61" t="s">
        <v>29</v>
      </c>
      <c r="B153" s="61" t="s">
        <v>30</v>
      </c>
      <c r="C153" s="61" t="s">
        <v>10</v>
      </c>
      <c r="D153" s="62">
        <v>85028</v>
      </c>
      <c r="E153" s="63">
        <v>46034</v>
      </c>
      <c r="F153" s="64">
        <v>3</v>
      </c>
      <c r="G153" s="64">
        <v>3</v>
      </c>
      <c r="I153" s="82" t="s">
        <v>1</v>
      </c>
      <c r="J153" s="75" t="str">
        <f>_xlfn.XLOOKUP($J$152,$A$141:$A$161,B141:B161)</f>
        <v>Employee_2</v>
      </c>
    </row>
    <row r="154" ht="16" spans="1:15">
      <c r="A154" s="61" t="s">
        <v>31</v>
      </c>
      <c r="B154" s="61" t="s">
        <v>32</v>
      </c>
      <c r="C154" s="61" t="s">
        <v>33</v>
      </c>
      <c r="D154" s="62">
        <v>51378</v>
      </c>
      <c r="E154" s="63">
        <v>46035</v>
      </c>
      <c r="F154" s="64">
        <v>5</v>
      </c>
      <c r="G154" s="64">
        <v>8</v>
      </c>
      <c r="I154" s="82" t="s">
        <v>2</v>
      </c>
      <c r="J154" s="75" t="str">
        <f>_xlfn.XLOOKUP($J$152,$A$141:$A$161,C141:C161)</f>
        <v>Operations</v>
      </c>
    </row>
    <row r="155" ht="16" spans="1:15">
      <c r="A155" s="61" t="s">
        <v>34</v>
      </c>
      <c r="B155" s="61" t="s">
        <v>35</v>
      </c>
      <c r="C155" s="61" t="s">
        <v>7</v>
      </c>
      <c r="D155" s="62">
        <v>49898</v>
      </c>
      <c r="E155" s="63">
        <v>46036</v>
      </c>
      <c r="F155" s="64">
        <v>7</v>
      </c>
      <c r="G155" s="64">
        <v>2</v>
      </c>
      <c r="I155" s="83" t="s">
        <v>3</v>
      </c>
      <c r="J155" s="93">
        <f>_xlfn.XLOOKUP($J$152,$A$141:$A$161,D141:D161)</f>
        <v>49855</v>
      </c>
    </row>
    <row r="156" ht="16" spans="1:15">
      <c r="A156" s="61" t="s">
        <v>36</v>
      </c>
      <c r="B156" s="61" t="s">
        <v>37</v>
      </c>
      <c r="C156" s="61" t="s">
        <v>13</v>
      </c>
      <c r="D156" s="62">
        <v>71737</v>
      </c>
      <c r="E156" s="63">
        <v>46037</v>
      </c>
      <c r="F156" s="64">
        <v>5</v>
      </c>
      <c r="G156" s="64">
        <v>9</v>
      </c>
      <c r="I156" s="84" t="s">
        <v>4</v>
      </c>
      <c r="J156" s="95">
        <f>_xlfn.XLOOKUP($J$152,$A$141:$A$161,E141:E161)</f>
        <v>46024</v>
      </c>
    </row>
    <row r="157" ht="16" spans="1:15">
      <c r="A157" s="61" t="s">
        <v>38</v>
      </c>
      <c r="B157" s="61" t="s">
        <v>39</v>
      </c>
      <c r="C157" s="61" t="s">
        <v>13</v>
      </c>
      <c r="D157" s="62">
        <v>89576</v>
      </c>
      <c r="E157" s="63">
        <v>46038</v>
      </c>
      <c r="F157" s="64">
        <v>6</v>
      </c>
      <c r="G157" s="64">
        <v>5</v>
      </c>
      <c r="I157" s="84" t="s">
        <v>1492</v>
      </c>
      <c r="J157" s="75">
        <f>_xlfn.XLOOKUP($J$152,$A$141:$A$161,F141:F161)</f>
        <v>6</v>
      </c>
    </row>
    <row r="158" ht="16" spans="1:15">
      <c r="A158" s="61" t="s">
        <v>40</v>
      </c>
      <c r="B158" s="61" t="s">
        <v>41</v>
      </c>
      <c r="C158" s="61" t="s">
        <v>13</v>
      </c>
      <c r="D158" s="62">
        <v>45503</v>
      </c>
      <c r="E158" s="63">
        <v>46039</v>
      </c>
      <c r="F158" s="64">
        <v>7</v>
      </c>
      <c r="G158" s="64">
        <v>3</v>
      </c>
      <c r="I158" s="84" t="s">
        <v>1493</v>
      </c>
      <c r="J158" s="75">
        <f>_xlfn.XLOOKUP($J$152,$A$141:$A$161,G141:G161)</f>
        <v>5</v>
      </c>
    </row>
    <row r="159" ht="16" spans="1:15">
      <c r="A159" s="61" t="s">
        <v>42</v>
      </c>
      <c r="B159" s="61" t="s">
        <v>43</v>
      </c>
      <c r="C159" s="61" t="s">
        <v>44</v>
      </c>
      <c r="D159" s="62" t="s">
        <v>45</v>
      </c>
      <c r="E159" s="63">
        <v>46040</v>
      </c>
      <c r="F159" s="64">
        <v>8</v>
      </c>
      <c r="G159" s="64">
        <v>5</v>
      </c>
    </row>
    <row r="160" ht="16" spans="1:15">
      <c r="A160" s="61" t="s">
        <v>46</v>
      </c>
      <c r="B160" s="61" t="s">
        <v>47</v>
      </c>
      <c r="C160" s="61" t="s">
        <v>33</v>
      </c>
      <c r="D160" s="62" t="s">
        <v>48</v>
      </c>
      <c r="E160" s="63">
        <v>46041</v>
      </c>
      <c r="F160" s="64">
        <v>9</v>
      </c>
      <c r="G160" s="64">
        <v>7</v>
      </c>
      <c r="I160" s="82" t="s">
        <v>0</v>
      </c>
      <c r="J160" s="82" t="s">
        <v>1</v>
      </c>
      <c r="K160" s="82" t="s">
        <v>2</v>
      </c>
      <c r="L160" s="83" t="s">
        <v>3</v>
      </c>
      <c r="M160" s="84" t="s">
        <v>4</v>
      </c>
      <c r="N160" s="84" t="s">
        <v>1492</v>
      </c>
      <c r="O160" s="84" t="s">
        <v>1493</v>
      </c>
    </row>
    <row r="161" ht="16" spans="1:21">
      <c r="A161" s="61" t="s">
        <v>49</v>
      </c>
      <c r="B161" s="61" t="s">
        <v>50</v>
      </c>
      <c r="C161" s="61" t="s">
        <v>13</v>
      </c>
      <c r="D161" s="62" t="s">
        <v>51</v>
      </c>
      <c r="E161" s="63">
        <v>46042</v>
      </c>
      <c r="F161" s="64">
        <v>4</v>
      </c>
      <c r="G161" s="64">
        <v>5</v>
      </c>
      <c r="I161" s="75" t="s">
        <v>8</v>
      </c>
      <c r="J161" s="75" t="str">
        <f t="shared" ref="J161:O161" si="4">_xlfn.XLOOKUP($I$161,$A$141:$A$161,B$141:B$161)</f>
        <v>Employee_2</v>
      </c>
      <c r="K161" s="75" t="str">
        <f t="shared" si="4"/>
        <v>Operations</v>
      </c>
      <c r="L161" s="93">
        <f t="shared" si="4"/>
        <v>49855</v>
      </c>
      <c r="M161" s="95">
        <f t="shared" si="4"/>
        <v>46024</v>
      </c>
      <c r="N161" s="75">
        <f t="shared" si="4"/>
        <v>6</v>
      </c>
      <c r="O161" s="75">
        <f t="shared" si="4"/>
        <v>5</v>
      </c>
    </row>
    <row r="162" ht="15.25"/>
    <row r="166" ht="15.25"/>
    <row r="167" ht="16" spans="1:21">
      <c r="A167" s="49" t="s">
        <v>0</v>
      </c>
      <c r="B167" s="54" t="s">
        <v>5</v>
      </c>
      <c r="C167" s="61" t="s">
        <v>8</v>
      </c>
      <c r="D167" s="61" t="s">
        <v>11</v>
      </c>
      <c r="E167" s="61" t="s">
        <v>14</v>
      </c>
      <c r="F167" s="61" t="s">
        <v>16</v>
      </c>
      <c r="G167" s="61" t="s">
        <v>18</v>
      </c>
      <c r="H167" s="61" t="s">
        <v>19</v>
      </c>
      <c r="I167" s="61" t="s">
        <v>21</v>
      </c>
      <c r="J167" s="61" t="s">
        <v>23</v>
      </c>
      <c r="K167" s="61" t="s">
        <v>25</v>
      </c>
      <c r="L167" s="61" t="s">
        <v>27</v>
      </c>
      <c r="M167" s="61" t="s">
        <v>29</v>
      </c>
      <c r="N167" s="61" t="s">
        <v>31</v>
      </c>
      <c r="O167" s="61" t="s">
        <v>34</v>
      </c>
      <c r="P167" s="61" t="s">
        <v>36</v>
      </c>
      <c r="Q167" s="61" t="s">
        <v>38</v>
      </c>
      <c r="R167" s="61" t="s">
        <v>40</v>
      </c>
      <c r="S167" s="61" t="s">
        <v>42</v>
      </c>
      <c r="T167" s="61" t="s">
        <v>46</v>
      </c>
      <c r="U167" s="61" t="s">
        <v>49</v>
      </c>
    </row>
    <row r="168" ht="16" spans="1:21">
      <c r="A168" s="49" t="s">
        <v>1</v>
      </c>
      <c r="B168" s="54" t="s">
        <v>6</v>
      </c>
      <c r="C168" s="61" t="s">
        <v>9</v>
      </c>
      <c r="D168" s="61" t="s">
        <v>12</v>
      </c>
      <c r="E168" s="61" t="s">
        <v>15</v>
      </c>
      <c r="F168" s="61" t="s">
        <v>17</v>
      </c>
      <c r="G168" s="61" t="s">
        <v>12</v>
      </c>
      <c r="H168" s="61" t="s">
        <v>20</v>
      </c>
      <c r="I168" s="61" t="s">
        <v>22</v>
      </c>
      <c r="J168" s="61" t="s">
        <v>24</v>
      </c>
      <c r="K168" s="61" t="s">
        <v>26</v>
      </c>
      <c r="L168" s="61" t="s">
        <v>28</v>
      </c>
      <c r="M168" s="61" t="s">
        <v>30</v>
      </c>
      <c r="N168" s="61" t="s">
        <v>32</v>
      </c>
      <c r="O168" s="61" t="s">
        <v>35</v>
      </c>
      <c r="P168" s="61" t="s">
        <v>37</v>
      </c>
      <c r="Q168" s="61" t="s">
        <v>39</v>
      </c>
      <c r="R168" s="61" t="s">
        <v>41</v>
      </c>
      <c r="S168" s="61" t="s">
        <v>43</v>
      </c>
      <c r="T168" s="61" t="s">
        <v>47</v>
      </c>
      <c r="U168" s="61" t="s">
        <v>50</v>
      </c>
    </row>
    <row r="169" ht="16" spans="1:21">
      <c r="A169" s="49" t="s">
        <v>2</v>
      </c>
      <c r="B169" s="54" t="s">
        <v>7</v>
      </c>
      <c r="C169" s="61" t="s">
        <v>10</v>
      </c>
      <c r="D169" s="61" t="s">
        <v>13</v>
      </c>
      <c r="E169" s="61" t="s">
        <v>7</v>
      </c>
      <c r="F169" s="61" t="s">
        <v>10</v>
      </c>
      <c r="G169" s="61" t="s">
        <v>10</v>
      </c>
      <c r="H169" s="61" t="s">
        <v>13</v>
      </c>
      <c r="I169" s="61" t="s">
        <v>7</v>
      </c>
      <c r="J169" s="61" t="s">
        <v>10</v>
      </c>
      <c r="K169" s="61" t="s">
        <v>13</v>
      </c>
      <c r="L169" s="61" t="s">
        <v>13</v>
      </c>
      <c r="M169" s="61" t="s">
        <v>10</v>
      </c>
      <c r="N169" s="61" t="s">
        <v>33</v>
      </c>
      <c r="O169" s="61" t="s">
        <v>7</v>
      </c>
      <c r="P169" s="61" t="s">
        <v>13</v>
      </c>
      <c r="Q169" s="61" t="s">
        <v>13</v>
      </c>
      <c r="R169" s="61" t="s">
        <v>13</v>
      </c>
      <c r="S169" s="61" t="s">
        <v>44</v>
      </c>
      <c r="T169" s="61" t="s">
        <v>33</v>
      </c>
      <c r="U169" s="61" t="s">
        <v>13</v>
      </c>
    </row>
    <row r="170" ht="16" spans="1:21">
      <c r="A170" s="50" t="s">
        <v>3</v>
      </c>
      <c r="B170" s="55">
        <v>41954</v>
      </c>
      <c r="C170" s="62">
        <v>49855</v>
      </c>
      <c r="D170" s="62">
        <v>94210</v>
      </c>
      <c r="E170" s="62">
        <v>74689</v>
      </c>
      <c r="F170" s="62">
        <v>41954</v>
      </c>
      <c r="G170" s="62">
        <v>74820</v>
      </c>
      <c r="H170" s="62">
        <v>85206</v>
      </c>
      <c r="I170" s="62">
        <v>30924</v>
      </c>
      <c r="J170" s="62">
        <v>57737</v>
      </c>
      <c r="K170" s="62">
        <v>36000</v>
      </c>
      <c r="L170" s="62">
        <v>96371</v>
      </c>
      <c r="M170" s="62">
        <v>85028</v>
      </c>
      <c r="N170" s="62">
        <v>51378</v>
      </c>
      <c r="O170" s="62">
        <v>49898</v>
      </c>
      <c r="P170" s="62">
        <v>71737</v>
      </c>
      <c r="Q170" s="62">
        <v>89576</v>
      </c>
      <c r="R170" s="62">
        <v>45503</v>
      </c>
      <c r="S170" s="62" t="s">
        <v>45</v>
      </c>
      <c r="T170" s="62" t="s">
        <v>48</v>
      </c>
      <c r="U170" s="62" t="s">
        <v>51</v>
      </c>
    </row>
    <row r="171" ht="16" spans="1:21">
      <c r="A171" s="51" t="s">
        <v>4</v>
      </c>
      <c r="B171" s="56">
        <v>46023</v>
      </c>
      <c r="C171" s="63">
        <v>46024</v>
      </c>
      <c r="D171" s="63">
        <v>46025</v>
      </c>
      <c r="E171" s="63">
        <v>46026</v>
      </c>
      <c r="F171" s="63">
        <v>46027</v>
      </c>
      <c r="G171" s="63">
        <v>46028</v>
      </c>
      <c r="H171" s="63">
        <v>46029</v>
      </c>
      <c r="I171" s="63">
        <v>46030</v>
      </c>
      <c r="J171" s="63">
        <v>46031</v>
      </c>
      <c r="K171" s="63">
        <v>46032</v>
      </c>
      <c r="L171" s="63">
        <v>46033</v>
      </c>
      <c r="M171" s="63">
        <v>46034</v>
      </c>
      <c r="N171" s="63">
        <v>46035</v>
      </c>
      <c r="O171" s="63">
        <v>46036</v>
      </c>
      <c r="P171" s="63">
        <v>46037</v>
      </c>
      <c r="Q171" s="63">
        <v>46038</v>
      </c>
      <c r="R171" s="63">
        <v>46039</v>
      </c>
      <c r="S171" s="63">
        <v>46040</v>
      </c>
      <c r="T171" s="63">
        <v>46041</v>
      </c>
      <c r="U171" s="63">
        <v>46042</v>
      </c>
    </row>
    <row r="172" ht="16" spans="1:21">
      <c r="A172" s="51" t="s">
        <v>1492</v>
      </c>
      <c r="B172" s="57">
        <v>5</v>
      </c>
      <c r="C172" s="64">
        <v>6</v>
      </c>
      <c r="D172" s="64">
        <v>7</v>
      </c>
      <c r="E172" s="64">
        <v>8</v>
      </c>
      <c r="F172" s="64">
        <v>9</v>
      </c>
      <c r="G172" s="64">
        <v>4</v>
      </c>
      <c r="H172" s="64">
        <v>3</v>
      </c>
      <c r="I172" s="64">
        <v>8</v>
      </c>
      <c r="J172" s="64">
        <v>2</v>
      </c>
      <c r="K172" s="64">
        <v>9</v>
      </c>
      <c r="L172" s="64">
        <v>5</v>
      </c>
      <c r="M172" s="64">
        <v>3</v>
      </c>
      <c r="N172" s="64">
        <v>5</v>
      </c>
      <c r="O172" s="64">
        <v>7</v>
      </c>
      <c r="P172" s="64">
        <v>5</v>
      </c>
      <c r="Q172" s="64">
        <v>6</v>
      </c>
      <c r="R172" s="64">
        <v>7</v>
      </c>
      <c r="S172" s="64">
        <v>8</v>
      </c>
      <c r="T172" s="64">
        <v>9</v>
      </c>
      <c r="U172" s="64">
        <v>4</v>
      </c>
    </row>
    <row r="173" ht="16" spans="1:21">
      <c r="A173" s="77" t="s">
        <v>1493</v>
      </c>
      <c r="B173" s="79">
        <v>9</v>
      </c>
      <c r="C173" s="64">
        <v>5</v>
      </c>
      <c r="D173" s="64">
        <v>3</v>
      </c>
      <c r="E173" s="64">
        <v>5</v>
      </c>
      <c r="F173" s="64">
        <v>7</v>
      </c>
      <c r="G173" s="64">
        <v>5</v>
      </c>
      <c r="H173" s="64">
        <v>6</v>
      </c>
      <c r="I173" s="64">
        <v>7</v>
      </c>
      <c r="J173" s="64">
        <v>8</v>
      </c>
      <c r="K173" s="64">
        <v>9</v>
      </c>
      <c r="L173" s="64">
        <v>4</v>
      </c>
      <c r="M173" s="64">
        <v>3</v>
      </c>
      <c r="N173" s="64">
        <v>8</v>
      </c>
      <c r="O173" s="64">
        <v>2</v>
      </c>
      <c r="P173" s="64">
        <v>9</v>
      </c>
      <c r="Q173" s="64">
        <v>5</v>
      </c>
      <c r="R173" s="64">
        <v>3</v>
      </c>
      <c r="S173" s="64">
        <v>5</v>
      </c>
      <c r="T173" s="64">
        <v>7</v>
      </c>
      <c r="U173" s="64">
        <v>5</v>
      </c>
    </row>
    <row r="174" ht="16"/>
    <row r="175" ht="16" spans="1:21">
      <c r="A175" s="78" t="s">
        <v>1733</v>
      </c>
      <c r="B175" s="78"/>
      <c r="D175" s="82" t="s">
        <v>0</v>
      </c>
      <c r="E175" s="75" t="s">
        <v>29</v>
      </c>
    </row>
    <row r="176" ht="16" spans="1:21">
      <c r="A176" s="78"/>
      <c r="B176" s="78"/>
      <c r="D176" s="82" t="s">
        <v>1</v>
      </c>
      <c r="E176" s="75" t="str" cm="1">
        <f t="array" ref="E176">_xlfn.XLOOKUP($E$175,$A$167:$U$167,$A168:$U168)</f>
        <v>Employee_12</v>
      </c>
    </row>
    <row r="177" ht="16" spans="1:10">
      <c r="A177" s="81" t="s">
        <v>1734</v>
      </c>
      <c r="B177" s="81"/>
      <c r="D177" s="82" t="s">
        <v>2</v>
      </c>
      <c r="E177" s="75" t="str" cm="1">
        <f t="array" ref="E177">_xlfn.XLOOKUP($E$175,$A$167:$U$167,$A169:$U169)</f>
        <v>Operations</v>
      </c>
    </row>
    <row r="178" ht="16" spans="1:10">
      <c r="A178" s="81"/>
      <c r="B178" s="81"/>
      <c r="D178" s="83" t="s">
        <v>3</v>
      </c>
      <c r="E178" s="93" cm="1">
        <f t="array" ref="E178">_xlfn.XLOOKUP($E$175,$A$167:$U$167,$A170:$U170)</f>
        <v>85028</v>
      </c>
    </row>
    <row r="179" ht="16" spans="1:10">
      <c r="A179" s="81"/>
      <c r="B179" s="81"/>
      <c r="D179" s="84" t="s">
        <v>4</v>
      </c>
      <c r="E179" s="95" cm="1">
        <f t="array" ref="E179">_xlfn.XLOOKUP($E$175,$A$167:$U$167,$A171:$U171)</f>
        <v>46034</v>
      </c>
    </row>
    <row r="180" ht="16" spans="1:10">
      <c r="A180" s="81"/>
      <c r="B180" s="81"/>
      <c r="D180" s="84" t="s">
        <v>1492</v>
      </c>
      <c r="E180" s="75" cm="1">
        <f t="array" ref="E180">_xlfn.XLOOKUP($E$175,$A$167:$U$167,$A172:$U172)</f>
        <v>3</v>
      </c>
    </row>
    <row r="181" ht="16" spans="1:10">
      <c r="A181" s="81"/>
      <c r="B181" s="81"/>
      <c r="D181" s="84" t="s">
        <v>1493</v>
      </c>
      <c r="E181" s="75" cm="1">
        <f t="array" ref="E181">_xlfn.XLOOKUP($E$175,$A$167:$U$167,$A173:$U173)</f>
        <v>3</v>
      </c>
    </row>
    <row r="182" ht="16" spans="1:10">
      <c r="A182" s="81"/>
      <c r="B182" s="81"/>
    </row>
    <row r="183" ht="16" spans="1:10">
      <c r="A183" s="81"/>
      <c r="B183" s="81"/>
      <c r="D183" s="82" t="s">
        <v>0</v>
      </c>
      <c r="E183" s="82" t="s">
        <v>1</v>
      </c>
      <c r="F183" s="82" t="s">
        <v>2</v>
      </c>
      <c r="G183" s="83" t="s">
        <v>3</v>
      </c>
      <c r="H183" s="84" t="s">
        <v>4</v>
      </c>
      <c r="I183" s="84" t="s">
        <v>1492</v>
      </c>
      <c r="J183" s="84" t="s">
        <v>1493</v>
      </c>
    </row>
    <row r="184" ht="16" spans="1:10">
      <c r="A184" s="81"/>
      <c r="B184" s="81"/>
      <c r="D184" s="75" t="s">
        <v>16</v>
      </c>
      <c r="E184" s="75" t="str" cm="1">
        <f t="array" ref="E184">_xlfn.XLOOKUP($D$184,$A$167:$U$167,A168:U168)</f>
        <v>Employee_5</v>
      </c>
      <c r="F184" s="75" t="str" cm="1">
        <f t="array" ref="F184">_xlfn.XLOOKUP($D$184,$A$167:$U$167,A169:U169)</f>
        <v>Operations</v>
      </c>
      <c r="G184" s="93" cm="1">
        <f t="array" ref="G184">_xlfn.XLOOKUP($D$184,$A$167:$U$167,A170:U170)</f>
        <v>41954</v>
      </c>
      <c r="H184" s="95" cm="1">
        <f t="array" ref="H184">_xlfn.XLOOKUP($D$184,$A$167:$U$167,A171:U171)</f>
        <v>46027</v>
      </c>
      <c r="I184" s="75" cm="1">
        <f t="array" ref="I184">_xlfn.XLOOKUP($D$184,$A$167:$U$167,A172:U172)</f>
        <v>9</v>
      </c>
      <c r="J184" s="75" cm="1">
        <f t="array" ref="J184">_xlfn.XLOOKUP($D$184,$A$167:$U$167,A173:U173)</f>
        <v>7</v>
      </c>
    </row>
    <row r="185" ht="15.25"/>
    <row r="186" ht="15.25"/>
    <row r="187" ht="16" spans="1:10">
      <c r="A187" s="52" t="s">
        <v>1509</v>
      </c>
      <c r="B187" s="52" t="s">
        <v>1510</v>
      </c>
    </row>
    <row r="188" ht="16" spans="1:10">
      <c r="A188" s="58" t="s">
        <v>1700</v>
      </c>
      <c r="B188" s="58" t="s">
        <v>1701</v>
      </c>
    </row>
    <row r="189" ht="16" spans="1:10">
      <c r="A189" s="58" t="s">
        <v>1702</v>
      </c>
      <c r="B189" s="58" t="s">
        <v>1703</v>
      </c>
    </row>
    <row r="190" ht="16" spans="1:10">
      <c r="A190" s="58" t="s">
        <v>1705</v>
      </c>
      <c r="B190" s="58" t="s">
        <v>1706</v>
      </c>
    </row>
    <row r="191" ht="16" spans="1:10">
      <c r="A191" s="58" t="s">
        <v>1707</v>
      </c>
      <c r="B191" s="58" t="s">
        <v>1708</v>
      </c>
    </row>
    <row r="192" ht="16" spans="1:10">
      <c r="A192" s="58" t="s">
        <v>1709</v>
      </c>
      <c r="B192" s="58" t="s">
        <v>1710</v>
      </c>
    </row>
    <row r="193" ht="16" spans="1:10">
      <c r="A193" s="58" t="s">
        <v>1711</v>
      </c>
      <c r="B193" s="58" t="s">
        <v>1712</v>
      </c>
    </row>
    <row r="194" ht="16" spans="1:10">
      <c r="A194" s="58" t="s">
        <v>1713</v>
      </c>
      <c r="B194" s="58" t="s">
        <v>1714</v>
      </c>
    </row>
    <row r="195" ht="16" spans="1:10">
      <c r="A195" s="58" t="s">
        <v>1715</v>
      </c>
      <c r="B195" s="58" t="s">
        <v>1716</v>
      </c>
    </row>
    <row r="196" ht="16" spans="1:10">
      <c r="A196" s="58" t="s">
        <v>1717</v>
      </c>
      <c r="B196" s="58" t="s">
        <v>1718</v>
      </c>
    </row>
    <row r="197" ht="15.25"/>
    <row r="199" ht="15.25" spans="1:10">
      <c r="H199" s="96"/>
    </row>
    <row r="200" ht="16" spans="1:10">
      <c r="A200" s="49" t="s">
        <v>0</v>
      </c>
      <c r="B200" s="49" t="s">
        <v>1</v>
      </c>
      <c r="C200" s="49" t="s">
        <v>2</v>
      </c>
      <c r="D200" s="50" t="s">
        <v>3</v>
      </c>
      <c r="E200" s="51" t="s">
        <v>4</v>
      </c>
      <c r="F200" s="77" t="s">
        <v>1492</v>
      </c>
      <c r="G200" s="51" t="s">
        <v>1493</v>
      </c>
      <c r="H200" s="97" t="s">
        <v>1709</v>
      </c>
      <c r="I200" s="98"/>
      <c r="J200" s="99"/>
    </row>
    <row r="201" ht="16" spans="1:10">
      <c r="A201" s="54" t="s">
        <v>5</v>
      </c>
      <c r="B201" s="54" t="s">
        <v>6</v>
      </c>
      <c r="C201" s="54" t="s">
        <v>7</v>
      </c>
      <c r="D201" s="55">
        <v>41954</v>
      </c>
      <c r="E201" s="56">
        <v>46023</v>
      </c>
      <c r="F201" s="79">
        <v>5</v>
      </c>
      <c r="G201" s="79">
        <v>9</v>
      </c>
      <c r="H201" s="100"/>
      <c r="I201" s="101"/>
      <c r="J201" s="99"/>
    </row>
    <row r="202" ht="16" spans="1:10">
      <c r="A202" s="61" t="s">
        <v>8</v>
      </c>
      <c r="B202" s="61" t="s">
        <v>9</v>
      </c>
      <c r="C202" s="61" t="s">
        <v>10</v>
      </c>
      <c r="D202" s="62">
        <v>49855</v>
      </c>
      <c r="E202" s="63">
        <v>46024</v>
      </c>
      <c r="F202" s="64">
        <v>6</v>
      </c>
      <c r="G202" s="79">
        <v>5</v>
      </c>
      <c r="H202" s="102" t="s">
        <v>1735</v>
      </c>
      <c r="I202" s="103"/>
    </row>
    <row r="203" ht="16" spans="1:10">
      <c r="A203" s="61" t="s">
        <v>11</v>
      </c>
      <c r="B203" s="61" t="s">
        <v>12</v>
      </c>
      <c r="C203" s="61" t="s">
        <v>13</v>
      </c>
      <c r="D203" s="62">
        <v>94210</v>
      </c>
      <c r="E203" s="63">
        <v>46025</v>
      </c>
      <c r="F203" s="64">
        <v>7</v>
      </c>
      <c r="G203" s="104">
        <v>3</v>
      </c>
      <c r="H203" s="105"/>
      <c r="I203" s="103"/>
    </row>
    <row r="204" ht="16" spans="1:10">
      <c r="A204" s="61" t="s">
        <v>14</v>
      </c>
      <c r="B204" s="61" t="s">
        <v>15</v>
      </c>
      <c r="C204" s="61" t="s">
        <v>7</v>
      </c>
      <c r="D204" s="62">
        <v>74689</v>
      </c>
      <c r="E204" s="63">
        <v>46026</v>
      </c>
      <c r="F204" s="64">
        <v>8</v>
      </c>
      <c r="G204" s="104">
        <v>5</v>
      </c>
      <c r="H204" s="105"/>
      <c r="I204" s="103"/>
    </row>
    <row r="205" ht="16" spans="1:10">
      <c r="A205" s="61" t="s">
        <v>16</v>
      </c>
      <c r="B205" s="61" t="s">
        <v>17</v>
      </c>
      <c r="C205" s="61" t="s">
        <v>10</v>
      </c>
      <c r="D205" s="62">
        <v>41954</v>
      </c>
      <c r="E205" s="63">
        <v>46027</v>
      </c>
      <c r="F205" s="64">
        <v>9</v>
      </c>
      <c r="G205" s="104">
        <v>7</v>
      </c>
      <c r="H205" s="105"/>
      <c r="I205" s="103"/>
    </row>
    <row r="206" ht="16" spans="1:10">
      <c r="A206" s="61" t="s">
        <v>18</v>
      </c>
      <c r="B206" s="61" t="s">
        <v>12</v>
      </c>
      <c r="C206" s="61" t="s">
        <v>10</v>
      </c>
      <c r="D206" s="62">
        <v>74820</v>
      </c>
      <c r="E206" s="63">
        <v>46028</v>
      </c>
      <c r="F206" s="64">
        <v>4</v>
      </c>
      <c r="G206" s="64">
        <v>5</v>
      </c>
      <c r="H206" s="106"/>
      <c r="I206" s="106"/>
    </row>
    <row r="207" ht="16" spans="1:10">
      <c r="A207" s="61" t="s">
        <v>19</v>
      </c>
      <c r="B207" s="61" t="s">
        <v>20</v>
      </c>
      <c r="C207" s="61" t="s">
        <v>13</v>
      </c>
      <c r="D207" s="62">
        <v>85206</v>
      </c>
      <c r="E207" s="63">
        <v>46029</v>
      </c>
      <c r="F207" s="64">
        <v>3</v>
      </c>
      <c r="G207" s="64">
        <v>6</v>
      </c>
      <c r="H207" t="s">
        <v>29</v>
      </c>
      <c r="I207">
        <f>MATCH(H207,A201:A220,0)</f>
        <v>12</v>
      </c>
    </row>
    <row r="208" ht="16" spans="1:10">
      <c r="A208" s="61" t="s">
        <v>21</v>
      </c>
      <c r="B208" s="61" t="s">
        <v>22</v>
      </c>
      <c r="C208" s="61" t="s">
        <v>7</v>
      </c>
      <c r="D208" s="62">
        <v>30924</v>
      </c>
      <c r="E208" s="63">
        <v>46030</v>
      </c>
      <c r="F208" s="64">
        <v>8</v>
      </c>
      <c r="G208" s="64">
        <v>7</v>
      </c>
    </row>
    <row r="209" ht="16" spans="1:9">
      <c r="A209" s="61" t="s">
        <v>23</v>
      </c>
      <c r="B209" s="61" t="s">
        <v>24</v>
      </c>
      <c r="C209" s="61" t="s">
        <v>10</v>
      </c>
      <c r="D209" s="62">
        <v>57737</v>
      </c>
      <c r="E209" s="63">
        <v>46031</v>
      </c>
      <c r="F209" s="64">
        <v>2</v>
      </c>
      <c r="G209" s="104">
        <v>8</v>
      </c>
      <c r="H209" s="107" t="s">
        <v>1736</v>
      </c>
      <c r="I209" s="107"/>
    </row>
    <row r="210" ht="16" spans="1:9">
      <c r="A210" s="61" t="s">
        <v>25</v>
      </c>
      <c r="B210" s="61" t="s">
        <v>26</v>
      </c>
      <c r="C210" s="61" t="s">
        <v>13</v>
      </c>
      <c r="D210" s="62">
        <v>36000</v>
      </c>
      <c r="E210" s="63">
        <v>46032</v>
      </c>
      <c r="F210" s="64">
        <v>9</v>
      </c>
      <c r="G210" s="104">
        <v>9</v>
      </c>
      <c r="H210" s="107"/>
      <c r="I210" s="107"/>
    </row>
    <row r="211" ht="16" spans="1:9">
      <c r="A211" s="61" t="s">
        <v>27</v>
      </c>
      <c r="B211" s="61" t="s">
        <v>28</v>
      </c>
      <c r="C211" s="61" t="s">
        <v>13</v>
      </c>
      <c r="D211" s="62">
        <v>96371</v>
      </c>
      <c r="E211" s="63">
        <v>46033</v>
      </c>
      <c r="F211" s="64">
        <v>5</v>
      </c>
      <c r="G211" s="64">
        <v>4</v>
      </c>
      <c r="H211" t="s">
        <v>13</v>
      </c>
      <c r="I211">
        <f>MATCH(H211,C201:C224,0)</f>
        <v>3</v>
      </c>
    </row>
    <row r="212" ht="16" spans="1:9">
      <c r="A212" s="61" t="s">
        <v>29</v>
      </c>
      <c r="B212" s="61" t="s">
        <v>30</v>
      </c>
      <c r="C212" s="61" t="s">
        <v>10</v>
      </c>
      <c r="D212" s="62">
        <v>85028</v>
      </c>
      <c r="E212" s="63">
        <v>46034</v>
      </c>
      <c r="F212" s="64">
        <v>3</v>
      </c>
      <c r="G212" s="64">
        <v>3</v>
      </c>
    </row>
    <row r="213" ht="16" spans="1:9">
      <c r="A213" s="61" t="s">
        <v>31</v>
      </c>
      <c r="B213" s="61" t="s">
        <v>32</v>
      </c>
      <c r="C213" s="61" t="s">
        <v>33</v>
      </c>
      <c r="D213" s="62">
        <v>51378</v>
      </c>
      <c r="E213" s="63">
        <v>46035</v>
      </c>
      <c r="F213" s="64">
        <v>5</v>
      </c>
      <c r="G213" s="64">
        <v>8</v>
      </c>
    </row>
    <row r="214" ht="16" spans="1:9">
      <c r="A214" s="61" t="s">
        <v>34</v>
      </c>
      <c r="B214" s="61" t="s">
        <v>35</v>
      </c>
      <c r="C214" s="61" t="s">
        <v>7</v>
      </c>
      <c r="D214" s="62">
        <v>49898</v>
      </c>
      <c r="E214" s="63">
        <v>46036</v>
      </c>
      <c r="F214" s="64">
        <v>7</v>
      </c>
      <c r="G214" s="64">
        <v>2</v>
      </c>
    </row>
    <row r="215" ht="16" spans="1:9">
      <c r="A215" s="61" t="s">
        <v>36</v>
      </c>
      <c r="B215" s="61" t="s">
        <v>37</v>
      </c>
      <c r="C215" s="61" t="s">
        <v>13</v>
      </c>
      <c r="D215" s="62">
        <v>71737</v>
      </c>
      <c r="E215" s="63">
        <v>46037</v>
      </c>
      <c r="F215" s="64">
        <v>5</v>
      </c>
      <c r="G215" s="64">
        <v>9</v>
      </c>
    </row>
    <row r="216" ht="16" spans="1:9">
      <c r="A216" s="61" t="s">
        <v>38</v>
      </c>
      <c r="B216" s="61" t="s">
        <v>39</v>
      </c>
      <c r="C216" s="61" t="s">
        <v>13</v>
      </c>
      <c r="D216" s="62">
        <v>89576</v>
      </c>
      <c r="E216" s="63">
        <v>46038</v>
      </c>
      <c r="F216" s="64">
        <v>6</v>
      </c>
      <c r="G216" s="64">
        <v>5</v>
      </c>
    </row>
    <row r="217" ht="16" spans="1:9">
      <c r="A217" s="61" t="s">
        <v>40</v>
      </c>
      <c r="B217" s="61" t="s">
        <v>41</v>
      </c>
      <c r="C217" s="61" t="s">
        <v>13</v>
      </c>
      <c r="D217" s="62">
        <v>45503</v>
      </c>
      <c r="E217" s="63">
        <v>46039</v>
      </c>
      <c r="F217" s="64">
        <v>7</v>
      </c>
      <c r="G217" s="64">
        <v>3</v>
      </c>
    </row>
    <row r="218" ht="16" spans="1:9">
      <c r="A218" s="61" t="s">
        <v>42</v>
      </c>
      <c r="B218" s="61" t="s">
        <v>43</v>
      </c>
      <c r="C218" s="61" t="s">
        <v>44</v>
      </c>
      <c r="D218" s="62" t="s">
        <v>45</v>
      </c>
      <c r="E218" s="63">
        <v>46040</v>
      </c>
      <c r="F218" s="64">
        <v>8</v>
      </c>
      <c r="G218" s="64">
        <v>5</v>
      </c>
    </row>
    <row r="219" ht="16" spans="1:9">
      <c r="A219" s="61" t="s">
        <v>46</v>
      </c>
      <c r="B219" s="61" t="s">
        <v>47</v>
      </c>
      <c r="C219" s="61" t="s">
        <v>33</v>
      </c>
      <c r="D219" s="62" t="s">
        <v>48</v>
      </c>
      <c r="E219" s="63">
        <v>46041</v>
      </c>
      <c r="F219" s="64">
        <v>9</v>
      </c>
      <c r="G219" s="64">
        <v>7</v>
      </c>
    </row>
    <row r="220" ht="16" spans="1:9">
      <c r="A220" s="61" t="s">
        <v>49</v>
      </c>
      <c r="B220" s="61" t="s">
        <v>50</v>
      </c>
      <c r="C220" s="61" t="s">
        <v>13</v>
      </c>
      <c r="D220" s="62" t="s">
        <v>51</v>
      </c>
      <c r="E220" s="63">
        <v>46042</v>
      </c>
      <c r="F220" s="64">
        <v>4</v>
      </c>
      <c r="G220" s="64">
        <v>5</v>
      </c>
    </row>
    <row r="221" ht="15.25"/>
    <row r="222" ht="15.25"/>
    <row r="223" ht="16" spans="1:9">
      <c r="A223" s="49" t="s">
        <v>0</v>
      </c>
      <c r="B223" s="49" t="s">
        <v>1</v>
      </c>
      <c r="C223" s="49" t="s">
        <v>2</v>
      </c>
      <c r="D223" s="50" t="s">
        <v>3</v>
      </c>
      <c r="E223" s="51" t="s">
        <v>4</v>
      </c>
      <c r="F223" s="77" t="s">
        <v>1492</v>
      </c>
      <c r="G223" s="51" t="s">
        <v>1493</v>
      </c>
      <c r="H223" s="108" t="s">
        <v>1737</v>
      </c>
      <c r="I223" s="108"/>
    </row>
    <row r="224" ht="16" spans="1:9">
      <c r="A224" s="54" t="s">
        <v>5</v>
      </c>
      <c r="B224" s="54" t="s">
        <v>6</v>
      </c>
      <c r="C224" s="54" t="s">
        <v>7</v>
      </c>
      <c r="D224" s="55">
        <v>41954</v>
      </c>
      <c r="E224" s="56">
        <v>46023</v>
      </c>
      <c r="F224" s="79">
        <v>5</v>
      </c>
      <c r="G224" s="79">
        <v>9</v>
      </c>
      <c r="H224" s="108"/>
      <c r="I224" s="108"/>
    </row>
    <row r="225" ht="16" spans="1:9">
      <c r="A225" s="61" t="s">
        <v>8</v>
      </c>
      <c r="B225" s="61" t="s">
        <v>9</v>
      </c>
      <c r="C225" s="61" t="s">
        <v>10</v>
      </c>
      <c r="D225" s="62">
        <v>49855</v>
      </c>
      <c r="E225" s="63">
        <v>46024</v>
      </c>
      <c r="F225" s="64">
        <v>6</v>
      </c>
      <c r="G225" s="79">
        <v>5</v>
      </c>
      <c r="H225" s="109" t="s">
        <v>1738</v>
      </c>
      <c r="I225" s="110"/>
    </row>
    <row r="226" ht="16" spans="1:9">
      <c r="A226" s="61" t="s">
        <v>11</v>
      </c>
      <c r="B226" s="61" t="s">
        <v>12</v>
      </c>
      <c r="C226" s="61" t="s">
        <v>13</v>
      </c>
      <c r="D226" s="62">
        <v>94210</v>
      </c>
      <c r="E226" s="63">
        <v>46025</v>
      </c>
      <c r="F226" s="64">
        <v>7</v>
      </c>
      <c r="G226" s="104">
        <v>3</v>
      </c>
      <c r="H226" s="111"/>
      <c r="I226" s="110"/>
    </row>
    <row r="227" ht="16" spans="1:9">
      <c r="A227" s="61" t="s">
        <v>14</v>
      </c>
      <c r="B227" s="61" t="s">
        <v>15</v>
      </c>
      <c r="C227" s="61" t="s">
        <v>7</v>
      </c>
      <c r="D227" s="62">
        <v>74689</v>
      </c>
      <c r="E227" s="63">
        <v>46026</v>
      </c>
      <c r="F227" s="64">
        <v>8</v>
      </c>
      <c r="G227" s="104">
        <v>5</v>
      </c>
      <c r="H227" s="111"/>
      <c r="I227" s="110"/>
    </row>
    <row r="228" ht="16" spans="1:9">
      <c r="A228" s="61" t="s">
        <v>16</v>
      </c>
      <c r="B228" s="61" t="s">
        <v>17</v>
      </c>
      <c r="C228" s="61" t="s">
        <v>10</v>
      </c>
      <c r="D228" s="62">
        <v>41954</v>
      </c>
      <c r="E228" s="63">
        <v>46027</v>
      </c>
      <c r="F228" s="64">
        <v>9</v>
      </c>
      <c r="G228" s="104">
        <v>7</v>
      </c>
      <c r="H228" s="111"/>
      <c r="I228" s="110"/>
    </row>
    <row r="229" ht="16" spans="1:9">
      <c r="A229" s="61" t="s">
        <v>18</v>
      </c>
      <c r="B229" s="61" t="s">
        <v>12</v>
      </c>
      <c r="C229" s="61" t="s">
        <v>10</v>
      </c>
      <c r="D229" s="62">
        <v>74820</v>
      </c>
      <c r="E229" s="63">
        <v>46028</v>
      </c>
      <c r="F229" s="64">
        <v>4</v>
      </c>
      <c r="G229" s="64">
        <v>5</v>
      </c>
      <c r="H229" s="112"/>
      <c r="I229" s="106"/>
    </row>
    <row r="230" ht="16" spans="1:9">
      <c r="A230" s="61" t="s">
        <v>19</v>
      </c>
      <c r="B230" s="61" t="s">
        <v>20</v>
      </c>
      <c r="C230" s="61" t="s">
        <v>13</v>
      </c>
      <c r="D230" s="62">
        <v>85206</v>
      </c>
      <c r="E230" s="63">
        <v>46029</v>
      </c>
      <c r="F230" s="64">
        <v>3</v>
      </c>
      <c r="G230" s="64">
        <v>6</v>
      </c>
    </row>
    <row r="231" ht="16" spans="1:9">
      <c r="A231" s="61" t="s">
        <v>21</v>
      </c>
      <c r="B231" s="61" t="s">
        <v>22</v>
      </c>
      <c r="C231" s="61" t="s">
        <v>7</v>
      </c>
      <c r="D231" s="62">
        <v>30924</v>
      </c>
      <c r="E231" s="63">
        <v>46030</v>
      </c>
      <c r="F231" s="64">
        <v>8</v>
      </c>
      <c r="G231" s="104">
        <v>7</v>
      </c>
      <c r="H231" s="113" t="s">
        <v>0</v>
      </c>
      <c r="I231" s="114" t="s">
        <v>16</v>
      </c>
    </row>
    <row r="232" ht="16" spans="1:9">
      <c r="A232" s="61" t="s">
        <v>23</v>
      </c>
      <c r="B232" s="61" t="s">
        <v>24</v>
      </c>
      <c r="C232" s="61" t="s">
        <v>10</v>
      </c>
      <c r="D232" s="62">
        <v>57737</v>
      </c>
      <c r="E232" s="63">
        <v>46031</v>
      </c>
      <c r="F232" s="64">
        <v>2</v>
      </c>
      <c r="G232" s="104">
        <v>8</v>
      </c>
      <c r="H232" s="113" t="s">
        <v>1</v>
      </c>
      <c r="I232" s="114" t="str">
        <f t="shared" ref="I232:I237" si="5">VLOOKUP($I$231,$A$223:$G$243,MATCH(H232,$A$223:$G$223,0),FALSE)</f>
        <v>Employee_5</v>
      </c>
    </row>
    <row r="233" ht="16" spans="1:9">
      <c r="A233" s="61" t="s">
        <v>25</v>
      </c>
      <c r="B233" s="61" t="s">
        <v>26</v>
      </c>
      <c r="C233" s="61" t="s">
        <v>13</v>
      </c>
      <c r="D233" s="62">
        <v>36000</v>
      </c>
      <c r="E233" s="63">
        <v>46032</v>
      </c>
      <c r="F233" s="64">
        <v>9</v>
      </c>
      <c r="G233" s="104">
        <v>9</v>
      </c>
      <c r="H233" s="113" t="s">
        <v>2</v>
      </c>
      <c r="I233" s="114" t="str">
        <f t="shared" si="5"/>
        <v>Operations</v>
      </c>
    </row>
    <row r="234" ht="16" spans="1:9">
      <c r="A234" s="61" t="s">
        <v>27</v>
      </c>
      <c r="B234" s="61" t="s">
        <v>28</v>
      </c>
      <c r="C234" s="61" t="s">
        <v>13</v>
      </c>
      <c r="D234" s="62">
        <v>96371</v>
      </c>
      <c r="E234" s="63">
        <v>46033</v>
      </c>
      <c r="F234" s="64">
        <v>5</v>
      </c>
      <c r="G234" s="104">
        <v>4</v>
      </c>
      <c r="H234" s="115" t="s">
        <v>3</v>
      </c>
      <c r="I234" s="114">
        <f t="shared" si="5"/>
        <v>41954</v>
      </c>
    </row>
    <row r="235" ht="16" spans="1:9">
      <c r="A235" s="61" t="s">
        <v>29</v>
      </c>
      <c r="B235" s="61" t="s">
        <v>30</v>
      </c>
      <c r="C235" s="61" t="s">
        <v>10</v>
      </c>
      <c r="D235" s="62">
        <v>85028</v>
      </c>
      <c r="E235" s="63">
        <v>46034</v>
      </c>
      <c r="F235" s="64">
        <v>3</v>
      </c>
      <c r="G235" s="104">
        <v>3</v>
      </c>
      <c r="H235" s="116" t="s">
        <v>4</v>
      </c>
      <c r="I235" s="114">
        <f t="shared" si="5"/>
        <v>46027</v>
      </c>
    </row>
    <row r="236" ht="16" spans="1:9">
      <c r="A236" s="61" t="s">
        <v>31</v>
      </c>
      <c r="B236" s="61" t="s">
        <v>32</v>
      </c>
      <c r="C236" s="61" t="s">
        <v>33</v>
      </c>
      <c r="D236" s="62">
        <v>51378</v>
      </c>
      <c r="E236" s="63">
        <v>46035</v>
      </c>
      <c r="F236" s="64">
        <v>5</v>
      </c>
      <c r="G236" s="104">
        <v>8</v>
      </c>
      <c r="H236" s="116" t="s">
        <v>1492</v>
      </c>
      <c r="I236" s="114">
        <f t="shared" si="5"/>
        <v>9</v>
      </c>
    </row>
    <row r="237" ht="16" spans="1:9">
      <c r="A237" s="61" t="s">
        <v>34</v>
      </c>
      <c r="B237" s="61" t="s">
        <v>35</v>
      </c>
      <c r="C237" s="61" t="s">
        <v>7</v>
      </c>
      <c r="D237" s="62">
        <v>49898</v>
      </c>
      <c r="E237" s="63">
        <v>46036</v>
      </c>
      <c r="F237" s="64">
        <v>7</v>
      </c>
      <c r="G237" s="104">
        <v>2</v>
      </c>
      <c r="H237" s="116" t="s">
        <v>1493</v>
      </c>
      <c r="I237" s="114">
        <f t="shared" si="5"/>
        <v>7</v>
      </c>
    </row>
    <row r="238" ht="16" spans="1:9">
      <c r="A238" s="61" t="s">
        <v>36</v>
      </c>
      <c r="B238" s="61" t="s">
        <v>37</v>
      </c>
      <c r="C238" s="61" t="s">
        <v>13</v>
      </c>
      <c r="D238" s="62">
        <v>71737</v>
      </c>
      <c r="E238" s="63">
        <v>46037</v>
      </c>
      <c r="F238" s="64">
        <v>5</v>
      </c>
      <c r="G238" s="64">
        <v>9</v>
      </c>
      <c r="I238" s="85"/>
    </row>
    <row r="239" ht="16" spans="1:9">
      <c r="A239" s="61" t="s">
        <v>38</v>
      </c>
      <c r="B239" s="61" t="s">
        <v>39</v>
      </c>
      <c r="C239" s="61" t="s">
        <v>13</v>
      </c>
      <c r="D239" s="62">
        <v>89576</v>
      </c>
      <c r="E239" s="63">
        <v>46038</v>
      </c>
      <c r="F239" s="64">
        <v>6</v>
      </c>
      <c r="G239" s="64">
        <v>5</v>
      </c>
    </row>
    <row r="240" ht="16" spans="1:9">
      <c r="A240" s="61" t="s">
        <v>40</v>
      </c>
      <c r="B240" s="61" t="s">
        <v>41</v>
      </c>
      <c r="C240" s="61" t="s">
        <v>13</v>
      </c>
      <c r="D240" s="62">
        <v>45503</v>
      </c>
      <c r="E240" s="63">
        <v>46039</v>
      </c>
      <c r="F240" s="64">
        <v>7</v>
      </c>
      <c r="G240" s="64">
        <v>3</v>
      </c>
    </row>
    <row r="241" ht="16" spans="1:13">
      <c r="A241" s="61" t="s">
        <v>42</v>
      </c>
      <c r="B241" s="61" t="s">
        <v>43</v>
      </c>
      <c r="C241" s="61" t="s">
        <v>44</v>
      </c>
      <c r="D241" s="62" t="s">
        <v>45</v>
      </c>
      <c r="E241" s="63">
        <v>46040</v>
      </c>
      <c r="F241" s="64">
        <v>8</v>
      </c>
      <c r="G241" s="64">
        <v>5</v>
      </c>
    </row>
    <row r="242" ht="16" spans="1:13">
      <c r="A242" s="61" t="s">
        <v>46</v>
      </c>
      <c r="B242" s="61" t="s">
        <v>47</v>
      </c>
      <c r="C242" s="61" t="s">
        <v>33</v>
      </c>
      <c r="D242" s="62" t="s">
        <v>48</v>
      </c>
      <c r="E242" s="63">
        <v>46041</v>
      </c>
      <c r="F242" s="64">
        <v>9</v>
      </c>
      <c r="G242" s="64">
        <v>7</v>
      </c>
    </row>
    <row r="243" ht="16" spans="1:13">
      <c r="A243" s="61" t="s">
        <v>49</v>
      </c>
      <c r="B243" s="61" t="s">
        <v>50</v>
      </c>
      <c r="C243" s="61" t="s">
        <v>13</v>
      </c>
      <c r="D243" s="62" t="s">
        <v>51</v>
      </c>
      <c r="E243" s="63">
        <v>46042</v>
      </c>
      <c r="F243" s="64">
        <v>4</v>
      </c>
      <c r="G243" s="64">
        <v>5</v>
      </c>
    </row>
    <row r="244" ht="15.25"/>
    <row r="247" ht="15.25"/>
    <row r="248" ht="27.5" spans="1:13">
      <c r="A248" s="117" t="s">
        <v>1739</v>
      </c>
      <c r="B248" s="117" t="s">
        <v>1740</v>
      </c>
      <c r="C248" s="117" t="s">
        <v>1741</v>
      </c>
      <c r="D248" s="117" t="s">
        <v>1742</v>
      </c>
      <c r="E248" s="117" t="s">
        <v>1743</v>
      </c>
      <c r="F248" s="117" t="s">
        <v>1744</v>
      </c>
      <c r="G248" s="117" t="s">
        <v>1745</v>
      </c>
      <c r="H248" s="117" t="s">
        <v>1746</v>
      </c>
      <c r="I248" s="117" t="s">
        <v>1747</v>
      </c>
      <c r="J248" s="117" t="s">
        <v>1748</v>
      </c>
      <c r="L248" s="118" t="s">
        <v>1749</v>
      </c>
      <c r="M248" s="118"/>
    </row>
    <row r="249" ht="26.5" spans="1:13">
      <c r="A249" s="119" t="s">
        <v>1750</v>
      </c>
      <c r="B249" s="119" t="s">
        <v>1751</v>
      </c>
      <c r="C249" s="119" t="s">
        <v>1752</v>
      </c>
      <c r="D249" s="119" t="s">
        <v>1753</v>
      </c>
      <c r="E249" s="119" t="s">
        <v>1754</v>
      </c>
      <c r="F249" s="119" t="s">
        <v>1755</v>
      </c>
      <c r="G249" s="119" t="s">
        <v>1756</v>
      </c>
      <c r="H249" s="119" t="s">
        <v>1757</v>
      </c>
      <c r="I249" s="119" t="s">
        <v>1758</v>
      </c>
      <c r="J249" s="119" t="s">
        <v>1751</v>
      </c>
      <c r="L249" s="120" t="s">
        <v>1739</v>
      </c>
      <c r="M249" s="121" t="s">
        <v>1746</v>
      </c>
    </row>
    <row r="250" ht="26.5" spans="1:13">
      <c r="A250" s="119" t="s">
        <v>1759</v>
      </c>
      <c r="B250" s="119" t="s">
        <v>1760</v>
      </c>
      <c r="C250" s="119" t="s">
        <v>1761</v>
      </c>
      <c r="D250" s="119" t="s">
        <v>1762</v>
      </c>
      <c r="E250" s="119" t="s">
        <v>1763</v>
      </c>
      <c r="F250" s="119" t="s">
        <v>1755</v>
      </c>
      <c r="G250" s="119" t="s">
        <v>1764</v>
      </c>
      <c r="H250" s="119" t="s">
        <v>1765</v>
      </c>
      <c r="I250" s="119" t="s">
        <v>1766</v>
      </c>
      <c r="J250" s="119" t="s">
        <v>1760</v>
      </c>
      <c r="L250" s="121" t="s">
        <v>1759</v>
      </c>
      <c r="M250" s="122" t="str" cm="1">
        <f t="array" ref="M250">VLOOKUP(L250,A248:J256,COLUMN(INDEX(A248:J256,1,MATCH(M249,A248:J248,0)))-COLUMN(A248)+1,FALSE)</f>
        <v>Science (Mr. White)</v>
      </c>
    </row>
    <row r="251" ht="26.5" spans="1:13">
      <c r="A251" s="119" t="s">
        <v>1767</v>
      </c>
      <c r="B251" s="119" t="s">
        <v>1768</v>
      </c>
      <c r="C251" s="119" t="s">
        <v>1769</v>
      </c>
      <c r="D251" s="119" t="s">
        <v>1770</v>
      </c>
      <c r="E251" s="119" t="s">
        <v>1771</v>
      </c>
      <c r="F251" s="119" t="s">
        <v>1755</v>
      </c>
      <c r="G251" s="119" t="s">
        <v>1772</v>
      </c>
      <c r="H251" s="119" t="s">
        <v>1773</v>
      </c>
      <c r="I251" s="119" t="s">
        <v>1774</v>
      </c>
      <c r="J251" s="119" t="s">
        <v>1768</v>
      </c>
    </row>
    <row r="252" ht="26.5" spans="1:13">
      <c r="A252" s="119" t="s">
        <v>1775</v>
      </c>
      <c r="B252" s="119" t="s">
        <v>1776</v>
      </c>
      <c r="C252" s="119" t="s">
        <v>1777</v>
      </c>
      <c r="D252" s="119" t="s">
        <v>1778</v>
      </c>
      <c r="E252" s="119" t="s">
        <v>1779</v>
      </c>
      <c r="F252" s="119" t="s">
        <v>1755</v>
      </c>
      <c r="G252" s="119" t="s">
        <v>1780</v>
      </c>
      <c r="H252" s="119" t="s">
        <v>1781</v>
      </c>
      <c r="I252" s="119" t="s">
        <v>1782</v>
      </c>
      <c r="J252" s="119" t="s">
        <v>1776</v>
      </c>
    </row>
    <row r="253" ht="26.5" spans="1:13">
      <c r="A253" s="119" t="s">
        <v>1783</v>
      </c>
      <c r="B253" s="119" t="s">
        <v>1784</v>
      </c>
      <c r="C253" s="119" t="s">
        <v>1785</v>
      </c>
      <c r="D253" s="119" t="s">
        <v>1786</v>
      </c>
      <c r="E253" s="119" t="s">
        <v>1787</v>
      </c>
      <c r="F253" s="119" t="s">
        <v>1755</v>
      </c>
      <c r="G253" s="119" t="s">
        <v>1788</v>
      </c>
      <c r="H253" s="119" t="s">
        <v>1789</v>
      </c>
      <c r="I253" s="119" t="s">
        <v>1790</v>
      </c>
      <c r="J253" s="119" t="s">
        <v>1784</v>
      </c>
      <c r="L253" s="123" t="s">
        <v>1791</v>
      </c>
      <c r="M253" s="123"/>
    </row>
    <row r="254" ht="39" spans="1:13">
      <c r="A254" s="119" t="s">
        <v>1792</v>
      </c>
      <c r="B254" s="119" t="s">
        <v>1793</v>
      </c>
      <c r="C254" s="119" t="s">
        <v>1794</v>
      </c>
      <c r="D254" s="119" t="s">
        <v>1795</v>
      </c>
      <c r="E254" s="119" t="s">
        <v>1796</v>
      </c>
      <c r="F254" s="119" t="s">
        <v>1755</v>
      </c>
      <c r="G254" s="119" t="s">
        <v>1797</v>
      </c>
      <c r="H254" s="119" t="s">
        <v>1798</v>
      </c>
      <c r="I254" s="119" t="s">
        <v>1799</v>
      </c>
      <c r="J254" s="119" t="s">
        <v>1793</v>
      </c>
    </row>
    <row r="255" ht="16" spans="1:13">
      <c r="A255" s="119" t="s">
        <v>1800</v>
      </c>
      <c r="B255" s="119" t="s">
        <v>1801</v>
      </c>
      <c r="C255" s="119" t="s">
        <v>1802</v>
      </c>
      <c r="D255" s="119" t="s">
        <v>1803</v>
      </c>
      <c r="E255" s="119" t="s">
        <v>1804</v>
      </c>
      <c r="F255" s="119" t="s">
        <v>1755</v>
      </c>
      <c r="G255" s="119" t="s">
        <v>1805</v>
      </c>
      <c r="H255" s="119" t="s">
        <v>1806</v>
      </c>
      <c r="I255" s="119" t="s">
        <v>1807</v>
      </c>
      <c r="J255" s="119" t="s">
        <v>1801</v>
      </c>
      <c r="L255" s="124" t="s">
        <v>1808</v>
      </c>
      <c r="M255" s="124"/>
    </row>
    <row r="256" ht="39" spans="1:13">
      <c r="A256" s="119" t="s">
        <v>1809</v>
      </c>
      <c r="B256" s="119" t="s">
        <v>1810</v>
      </c>
      <c r="C256" s="119" t="s">
        <v>1811</v>
      </c>
      <c r="D256" s="119" t="s">
        <v>1812</v>
      </c>
      <c r="E256" s="119" t="s">
        <v>1813</v>
      </c>
      <c r="F256" s="119" t="s">
        <v>1755</v>
      </c>
      <c r="G256" s="119" t="s">
        <v>1814</v>
      </c>
      <c r="H256" s="119" t="s">
        <v>1815</v>
      </c>
      <c r="I256" s="119" t="s">
        <v>1816</v>
      </c>
      <c r="J256" s="119" t="s">
        <v>1810</v>
      </c>
      <c r="L256" s="124"/>
      <c r="M256" s="124"/>
    </row>
    <row r="257" ht="15.25"/>
    <row r="258" ht="15.25"/>
    <row r="259" ht="16" spans="1:9">
      <c r="A259" s="58" t="s">
        <v>1713</v>
      </c>
      <c r="B259" s="58" t="s">
        <v>1714</v>
      </c>
    </row>
    <row r="260" ht="16" spans="1:9">
      <c r="A260" s="58" t="s">
        <v>1715</v>
      </c>
      <c r="B260" s="58" t="s">
        <v>1716</v>
      </c>
    </row>
    <row r="261" ht="16" spans="1:9">
      <c r="A261" s="58" t="s">
        <v>1717</v>
      </c>
      <c r="B261" s="58" t="s">
        <v>1718</v>
      </c>
    </row>
    <row r="262" ht="15.25"/>
    <row r="264" ht="15.25"/>
    <row r="265" ht="16" spans="1:9">
      <c r="A265" s="49" t="s">
        <v>0</v>
      </c>
      <c r="B265" s="49" t="s">
        <v>1</v>
      </c>
      <c r="C265" s="49" t="s">
        <v>2</v>
      </c>
      <c r="D265" s="50" t="s">
        <v>3</v>
      </c>
      <c r="E265" s="51" t="s">
        <v>4</v>
      </c>
      <c r="F265" s="77" t="s">
        <v>1492</v>
      </c>
      <c r="G265" s="51" t="s">
        <v>1493</v>
      </c>
      <c r="H265" s="108" t="s">
        <v>1713</v>
      </c>
      <c r="I265" s="108"/>
    </row>
    <row r="266" ht="16" spans="1:9">
      <c r="A266" s="54" t="s">
        <v>5</v>
      </c>
      <c r="B266" s="54" t="s">
        <v>6</v>
      </c>
      <c r="C266" s="54" t="s">
        <v>7</v>
      </c>
      <c r="D266" s="55">
        <v>41954</v>
      </c>
      <c r="E266" s="56">
        <v>46023</v>
      </c>
      <c r="F266" s="79">
        <v>5</v>
      </c>
      <c r="G266" s="79">
        <v>9</v>
      </c>
      <c r="H266" s="108"/>
      <c r="I266" s="108"/>
    </row>
    <row r="267" ht="16" spans="1:9">
      <c r="A267" s="61" t="s">
        <v>8</v>
      </c>
      <c r="B267" s="61" t="s">
        <v>9</v>
      </c>
      <c r="C267" s="61" t="s">
        <v>10</v>
      </c>
      <c r="D267" s="62">
        <v>49855</v>
      </c>
      <c r="E267" s="63">
        <v>46024</v>
      </c>
      <c r="F267" s="64">
        <v>6</v>
      </c>
      <c r="G267" s="79">
        <v>5</v>
      </c>
      <c r="H267" s="109" t="s">
        <v>1817</v>
      </c>
      <c r="I267" s="110"/>
    </row>
    <row r="268" ht="16" spans="1:9">
      <c r="A268" s="61" t="s">
        <v>11</v>
      </c>
      <c r="B268" s="61" t="s">
        <v>12</v>
      </c>
      <c r="C268" s="61" t="s">
        <v>13</v>
      </c>
      <c r="D268" s="62">
        <v>94210</v>
      </c>
      <c r="E268" s="63">
        <v>46025</v>
      </c>
      <c r="F268" s="64">
        <v>7</v>
      </c>
      <c r="G268" s="104">
        <v>3</v>
      </c>
      <c r="H268" s="111"/>
      <c r="I268" s="110"/>
    </row>
    <row r="269" ht="16" spans="1:9">
      <c r="A269" s="61" t="s">
        <v>14</v>
      </c>
      <c r="B269" s="61" t="s">
        <v>15</v>
      </c>
      <c r="C269" s="61" t="s">
        <v>7</v>
      </c>
      <c r="D269" s="62">
        <v>74689</v>
      </c>
      <c r="E269" s="63">
        <v>46026</v>
      </c>
      <c r="F269" s="64">
        <v>8</v>
      </c>
      <c r="G269" s="104">
        <v>5</v>
      </c>
      <c r="H269" s="111"/>
      <c r="I269" s="110"/>
    </row>
    <row r="270" ht="16" spans="1:9">
      <c r="A270" s="61" t="s">
        <v>16</v>
      </c>
      <c r="B270" s="61" t="s">
        <v>17</v>
      </c>
      <c r="C270" s="61" t="s">
        <v>10</v>
      </c>
      <c r="D270" s="62">
        <v>41954</v>
      </c>
      <c r="E270" s="63">
        <v>46027</v>
      </c>
      <c r="F270" s="64">
        <v>9</v>
      </c>
      <c r="G270" s="104">
        <v>7</v>
      </c>
      <c r="H270" s="111"/>
      <c r="I270" s="110"/>
    </row>
    <row r="271" ht="16" spans="1:9">
      <c r="A271" s="61" t="s">
        <v>18</v>
      </c>
      <c r="B271" s="61" t="s">
        <v>12</v>
      </c>
      <c r="C271" s="61" t="s">
        <v>10</v>
      </c>
      <c r="D271" s="62">
        <v>74820</v>
      </c>
      <c r="E271" s="63">
        <v>46028</v>
      </c>
      <c r="F271" s="64">
        <v>4</v>
      </c>
      <c r="G271" s="64">
        <v>5</v>
      </c>
      <c r="H271" s="112"/>
      <c r="I271" s="106"/>
    </row>
    <row r="272" ht="16" spans="1:9">
      <c r="A272" s="61" t="s">
        <v>19</v>
      </c>
      <c r="B272" s="61" t="s">
        <v>20</v>
      </c>
      <c r="C272" s="61" t="s">
        <v>13</v>
      </c>
      <c r="D272" s="62">
        <v>85206</v>
      </c>
      <c r="E272" s="63">
        <v>46029</v>
      </c>
      <c r="F272" s="104">
        <v>3</v>
      </c>
      <c r="G272" s="64">
        <v>6</v>
      </c>
    </row>
    <row r="273" ht="16" spans="1:9">
      <c r="A273" s="61" t="s">
        <v>21</v>
      </c>
      <c r="B273" s="61" t="s">
        <v>22</v>
      </c>
      <c r="C273" s="61" t="s">
        <v>7</v>
      </c>
      <c r="D273" s="62">
        <v>30924</v>
      </c>
      <c r="E273" s="63">
        <v>46030</v>
      </c>
      <c r="F273" s="104">
        <v>8</v>
      </c>
      <c r="G273" s="64">
        <v>7</v>
      </c>
    </row>
    <row r="274" ht="16" spans="1:9">
      <c r="A274" s="61" t="s">
        <v>23</v>
      </c>
      <c r="B274" s="61" t="s">
        <v>24</v>
      </c>
      <c r="C274" s="61" t="s">
        <v>10</v>
      </c>
      <c r="D274" s="62">
        <v>57737</v>
      </c>
      <c r="E274" s="63">
        <v>46031</v>
      </c>
      <c r="F274" s="104">
        <v>2</v>
      </c>
      <c r="G274" s="64">
        <v>8</v>
      </c>
    </row>
    <row r="275" ht="16" spans="1:9">
      <c r="A275" s="61" t="s">
        <v>25</v>
      </c>
      <c r="B275" s="61" t="s">
        <v>26</v>
      </c>
      <c r="C275" s="61" t="s">
        <v>13</v>
      </c>
      <c r="D275" s="62">
        <v>36000</v>
      </c>
      <c r="E275" s="63">
        <v>46032</v>
      </c>
      <c r="F275" s="104">
        <v>9</v>
      </c>
      <c r="G275" s="64">
        <v>9</v>
      </c>
    </row>
    <row r="276" ht="15.25"/>
    <row r="277" spans="1:9">
      <c r="A277" s="125" t="s">
        <v>1818</v>
      </c>
    </row>
    <row r="278" spans="1:9">
      <c r="A278" s="125">
        <v>6</v>
      </c>
      <c r="B278" s="20" t="str" cm="1">
        <f t="array" ref="B278:H278">CHOOSE(A278,A266:G266,A267:G267,A268:G268,A269:G269,A270:G270,A271:G271,A272:G272,A273:G273,A274:G274,A275:G275)</f>
        <v>EMP006</v>
      </c>
      <c r="C278" s="20" t="str">
        <v>Employee_3</v>
      </c>
      <c r="D278" s="20" t="str">
        <v>Operations</v>
      </c>
      <c r="E278" s="126">
        <v>74820</v>
      </c>
      <c r="F278" s="126">
        <v>46028</v>
      </c>
      <c r="G278" s="20">
        <v>4</v>
      </c>
      <c r="H278" s="20">
        <v>5</v>
      </c>
    </row>
    <row r="280" spans="1:9">
      <c r="I280" s="85"/>
    </row>
    <row r="281" ht="15.25"/>
    <row r="282" ht="16" spans="1:9">
      <c r="A282" s="49" t="s">
        <v>0</v>
      </c>
      <c r="B282" s="49" t="s">
        <v>1</v>
      </c>
      <c r="C282" s="49" t="s">
        <v>2</v>
      </c>
      <c r="D282" s="50" t="s">
        <v>3</v>
      </c>
      <c r="E282" s="51" t="s">
        <v>4</v>
      </c>
      <c r="F282" s="77" t="s">
        <v>1492</v>
      </c>
      <c r="G282" s="51" t="s">
        <v>1493</v>
      </c>
      <c r="H282" s="108" t="s">
        <v>1819</v>
      </c>
      <c r="I282" s="108"/>
    </row>
    <row r="283" ht="16" spans="1:9">
      <c r="A283" s="54" t="s">
        <v>5</v>
      </c>
      <c r="B283" s="54" t="s">
        <v>6</v>
      </c>
      <c r="C283" s="54" t="s">
        <v>7</v>
      </c>
      <c r="D283" s="55">
        <v>41954</v>
      </c>
      <c r="E283" s="56">
        <v>46023</v>
      </c>
      <c r="F283" s="79">
        <v>5</v>
      </c>
      <c r="G283" s="79">
        <v>9</v>
      </c>
      <c r="H283" s="108"/>
      <c r="I283" s="108"/>
    </row>
    <row r="284" ht="16" spans="1:9">
      <c r="A284" s="61" t="s">
        <v>8</v>
      </c>
      <c r="B284" s="61" t="s">
        <v>9</v>
      </c>
      <c r="C284" s="61" t="s">
        <v>10</v>
      </c>
      <c r="D284" s="62">
        <v>49855</v>
      </c>
      <c r="E284" s="63">
        <v>46024</v>
      </c>
      <c r="F284" s="64">
        <v>6</v>
      </c>
      <c r="G284" s="79">
        <v>5</v>
      </c>
      <c r="H284" s="109" t="s">
        <v>1817</v>
      </c>
      <c r="I284" s="110"/>
    </row>
    <row r="285" ht="16" spans="1:9">
      <c r="A285" s="61" t="s">
        <v>11</v>
      </c>
      <c r="B285" s="61" t="s">
        <v>12</v>
      </c>
      <c r="C285" s="61" t="s">
        <v>13</v>
      </c>
      <c r="D285" s="62">
        <v>94210</v>
      </c>
      <c r="E285" s="63">
        <v>46025</v>
      </c>
      <c r="F285" s="64">
        <v>7</v>
      </c>
      <c r="G285" s="104">
        <v>3</v>
      </c>
      <c r="H285" s="111"/>
      <c r="I285" s="110"/>
    </row>
    <row r="286" ht="16" spans="1:9">
      <c r="A286" s="61" t="s">
        <v>14</v>
      </c>
      <c r="B286" s="61" t="s">
        <v>15</v>
      </c>
      <c r="C286" s="61" t="s">
        <v>7</v>
      </c>
      <c r="D286" s="62">
        <v>74689</v>
      </c>
      <c r="E286" s="63">
        <v>46026</v>
      </c>
      <c r="F286" s="64">
        <v>8</v>
      </c>
      <c r="G286" s="104">
        <v>5</v>
      </c>
      <c r="H286" s="111"/>
      <c r="I286" s="110"/>
    </row>
    <row r="287" ht="16" spans="1:9">
      <c r="A287" s="61" t="s">
        <v>16</v>
      </c>
      <c r="B287" s="61" t="s">
        <v>17</v>
      </c>
      <c r="C287" s="61" t="s">
        <v>10</v>
      </c>
      <c r="D287" s="62">
        <v>41954</v>
      </c>
      <c r="E287" s="63">
        <v>46027</v>
      </c>
      <c r="F287" s="64">
        <v>9</v>
      </c>
      <c r="G287" s="104">
        <v>7</v>
      </c>
      <c r="H287" s="111"/>
      <c r="I287" s="110"/>
    </row>
    <row r="288" ht="16" spans="1:9">
      <c r="A288" s="61" t="s">
        <v>18</v>
      </c>
      <c r="B288" s="61" t="s">
        <v>12</v>
      </c>
      <c r="C288" s="61" t="s">
        <v>10</v>
      </c>
      <c r="D288" s="62">
        <v>74820</v>
      </c>
      <c r="E288" s="63">
        <v>46028</v>
      </c>
      <c r="F288" s="64">
        <v>4</v>
      </c>
      <c r="G288" s="64">
        <v>5</v>
      </c>
      <c r="H288" s="112"/>
      <c r="I288" s="106"/>
    </row>
    <row r="289" ht="16" spans="1:11">
      <c r="A289" s="61" t="s">
        <v>19</v>
      </c>
      <c r="B289" s="61" t="s">
        <v>20</v>
      </c>
      <c r="C289" s="61" t="s">
        <v>13</v>
      </c>
      <c r="D289" s="62">
        <v>85206</v>
      </c>
      <c r="E289" s="63">
        <v>46029</v>
      </c>
      <c r="F289" s="104">
        <v>3</v>
      </c>
      <c r="G289" s="64">
        <v>6</v>
      </c>
    </row>
    <row r="290" ht="16" spans="1:11">
      <c r="A290" s="61" t="s">
        <v>21</v>
      </c>
      <c r="B290" s="61" t="s">
        <v>22</v>
      </c>
      <c r="C290" s="61" t="s">
        <v>7</v>
      </c>
      <c r="D290" s="62">
        <v>30924</v>
      </c>
      <c r="E290" s="63">
        <v>46030</v>
      </c>
      <c r="F290" s="104">
        <v>8</v>
      </c>
      <c r="G290" s="64">
        <v>7</v>
      </c>
    </row>
    <row r="291" ht="16" spans="1:11">
      <c r="A291" s="61" t="s">
        <v>23</v>
      </c>
      <c r="B291" s="61" t="s">
        <v>24</v>
      </c>
      <c r="C291" s="61" t="s">
        <v>10</v>
      </c>
      <c r="D291" s="62">
        <v>57737</v>
      </c>
      <c r="E291" s="63">
        <v>46031</v>
      </c>
      <c r="F291" s="104">
        <v>2</v>
      </c>
      <c r="G291" s="64">
        <v>8</v>
      </c>
    </row>
    <row r="292" ht="16" spans="1:11">
      <c r="A292" s="61" t="s">
        <v>25</v>
      </c>
      <c r="B292" s="61" t="s">
        <v>26</v>
      </c>
      <c r="C292" s="61" t="s">
        <v>13</v>
      </c>
      <c r="D292" s="62">
        <v>36000</v>
      </c>
      <c r="E292" s="63">
        <v>46032</v>
      </c>
      <c r="F292" s="104">
        <v>9</v>
      </c>
      <c r="G292" s="64">
        <v>9</v>
      </c>
    </row>
    <row r="293" ht="15.25"/>
    <row r="294" spans="1:11">
      <c r="A294" s="125" t="s">
        <v>1818</v>
      </c>
    </row>
    <row r="295" spans="1:11">
      <c r="A295" s="125" t="s">
        <v>8</v>
      </c>
      <c r="B295" s="20" t="str">
        <f>VLOOKUP($A295,CHOOSE({1,2,3,4,5,6,7},$A$283:$A$292,$B$283:$B$292,$C$283:$C$292,$D$283:$D$292,$E$283:$E$292,$F$283:$F$292,$G$283:$G$292),COLUMN(B1),FALSE)</f>
        <v>Employee_2</v>
      </c>
      <c r="C295" s="20" t="str">
        <f>VLOOKUP($A295,CHOOSE({1,2,3,4,5,6,7},$A$283:$A$292,$B$283:$B$292,$C$283:$C$292,$D$283:$D$292,$E$283:$E$292,$F$283:$F$292,$G$283:$G$292),COLUMN(C1),FALSE)</f>
        <v>Operations</v>
      </c>
      <c r="D295" s="126">
        <f>VLOOKUP($A295,CHOOSE({1,2,3,4,5,6,7},$A$283:$A$292,$B$283:$B$292,$C$283:$C$292,$D$283:$D$292,$E$283:$E$292,$F$283:$F$292,$G$283:$G$292),COLUMN(D1),FALSE)</f>
        <v>49855</v>
      </c>
      <c r="E295" s="127">
        <f>VLOOKUP($A295,CHOOSE({1,2,3,4,5,6,7},$A$283:$A$292,$B$283:$B$292,$C$283:$C$292,$D$283:$D$292,$E$283:$E$292,$F$283:$F$292,$G$283:$G$292),COLUMN(E1),FALSE)</f>
        <v>46024</v>
      </c>
      <c r="F295" s="20">
        <f>VLOOKUP($A295,CHOOSE({1,2,3,4,5,6,7},$A$283:$A$292,$B$283:$B$292,$C$283:$C$292,$D$283:$D$292,$E$283:$E$292,$F$283:$F$292,$G$283:$G$292),COLUMN(F1),FALSE)</f>
        <v>6</v>
      </c>
      <c r="G295" s="20">
        <f>VLOOKUP($A295,CHOOSE({1,2,3,4,5,6,7},$A$283:$A$292,$B$283:$B$292,$C$283:$C$292,$D$283:$D$292,$E$283:$E$292,$F$283:$F$292,$G$283:$G$292),COLUMN(G1),FALSE)</f>
        <v>5</v>
      </c>
    </row>
    <row r="299" ht="15.25" spans="1:11">
      <c r="A299" s="96"/>
      <c r="B299" s="96"/>
      <c r="C299" s="96"/>
      <c r="D299" s="96"/>
      <c r="E299" s="96"/>
      <c r="F299" s="96"/>
      <c r="G299" s="96"/>
      <c r="H299" s="96"/>
      <c r="I299" s="96"/>
    </row>
    <row r="300" ht="16" spans="1:11">
      <c r="A300" s="128" t="s">
        <v>1820</v>
      </c>
      <c r="B300" s="129"/>
      <c r="C300" s="130"/>
      <c r="D300" s="131" t="s">
        <v>1821</v>
      </c>
      <c r="E300" s="132"/>
      <c r="F300" s="133"/>
      <c r="G300" s="129" t="s">
        <v>1822</v>
      </c>
      <c r="H300" s="129"/>
      <c r="I300" s="129"/>
      <c r="J300" s="108" t="s">
        <v>1823</v>
      </c>
      <c r="K300" s="108"/>
    </row>
    <row r="301" ht="16" spans="1:11">
      <c r="A301" s="134" t="s">
        <v>1824</v>
      </c>
      <c r="B301" s="135" t="s">
        <v>1825</v>
      </c>
      <c r="C301" s="136" t="s">
        <v>1826</v>
      </c>
      <c r="D301" s="137" t="s">
        <v>1824</v>
      </c>
      <c r="E301" s="135" t="s">
        <v>1825</v>
      </c>
      <c r="F301" s="136" t="s">
        <v>1826</v>
      </c>
      <c r="G301" s="137" t="s">
        <v>1824</v>
      </c>
      <c r="H301" s="135" t="s">
        <v>1825</v>
      </c>
      <c r="I301" s="136" t="s">
        <v>1826</v>
      </c>
      <c r="J301" s="108"/>
      <c r="K301" s="108"/>
    </row>
    <row r="302" ht="16" spans="1:11">
      <c r="A302" s="138" t="s">
        <v>292</v>
      </c>
      <c r="B302" s="138" t="s">
        <v>1498</v>
      </c>
      <c r="C302" s="139">
        <v>450000</v>
      </c>
      <c r="D302" s="140" t="s">
        <v>292</v>
      </c>
      <c r="E302" s="138" t="s">
        <v>1498</v>
      </c>
      <c r="F302" s="139">
        <v>280000</v>
      </c>
      <c r="G302" s="140" t="s">
        <v>292</v>
      </c>
      <c r="H302" s="138" t="s">
        <v>1498</v>
      </c>
      <c r="I302" s="141">
        <v>870000</v>
      </c>
      <c r="J302" s="142" t="s">
        <v>1827</v>
      </c>
      <c r="K302" s="142"/>
    </row>
    <row r="303" ht="16" spans="1:11">
      <c r="A303" s="143" t="s">
        <v>295</v>
      </c>
      <c r="B303" s="143" t="s">
        <v>1828</v>
      </c>
      <c r="C303" s="144">
        <v>670000</v>
      </c>
      <c r="D303" s="145" t="s">
        <v>295</v>
      </c>
      <c r="E303" s="143" t="s">
        <v>1828</v>
      </c>
      <c r="F303" s="144">
        <v>340000</v>
      </c>
      <c r="G303" s="145" t="s">
        <v>295</v>
      </c>
      <c r="H303" s="143" t="s">
        <v>1828</v>
      </c>
      <c r="I303" s="146">
        <v>620000</v>
      </c>
      <c r="J303" s="142"/>
      <c r="K303" s="142"/>
    </row>
    <row r="304" ht="16" spans="1:11">
      <c r="A304" s="143" t="s">
        <v>298</v>
      </c>
      <c r="B304" s="143" t="s">
        <v>1829</v>
      </c>
      <c r="C304" s="144">
        <v>290000</v>
      </c>
      <c r="D304" s="145" t="s">
        <v>298</v>
      </c>
      <c r="E304" s="143" t="s">
        <v>1829</v>
      </c>
      <c r="F304" s="144">
        <v>650000</v>
      </c>
      <c r="G304" s="145" t="s">
        <v>298</v>
      </c>
      <c r="H304" s="143" t="s">
        <v>1829</v>
      </c>
      <c r="I304" s="146">
        <v>280000</v>
      </c>
      <c r="J304" s="142"/>
      <c r="K304" s="142"/>
    </row>
    <row r="305" ht="16" spans="1:11">
      <c r="A305" s="143" t="s">
        <v>301</v>
      </c>
      <c r="B305" s="143" t="s">
        <v>1497</v>
      </c>
      <c r="C305" s="144">
        <v>870000</v>
      </c>
      <c r="D305" s="145" t="s">
        <v>301</v>
      </c>
      <c r="E305" s="143" t="s">
        <v>1497</v>
      </c>
      <c r="F305" s="144">
        <v>870000</v>
      </c>
      <c r="G305" s="145" t="s">
        <v>301</v>
      </c>
      <c r="H305" s="143" t="s">
        <v>1497</v>
      </c>
      <c r="I305" s="146">
        <v>340000</v>
      </c>
      <c r="J305" s="142"/>
      <c r="K305" s="142"/>
    </row>
    <row r="306" ht="15.25" spans="1:11">
      <c r="A306" s="143" t="s">
        <v>304</v>
      </c>
      <c r="B306" s="143" t="s">
        <v>1830</v>
      </c>
      <c r="C306" s="144">
        <v>890000</v>
      </c>
      <c r="D306" s="145" t="s">
        <v>304</v>
      </c>
      <c r="E306" s="143" t="s">
        <v>1830</v>
      </c>
      <c r="F306" s="144">
        <v>620000</v>
      </c>
      <c r="G306" s="145" t="s">
        <v>304</v>
      </c>
      <c r="H306" s="143" t="s">
        <v>1830</v>
      </c>
      <c r="I306" s="146">
        <v>890000</v>
      </c>
      <c r="J306" s="99"/>
    </row>
    <row r="307" spans="1:11">
      <c r="A307" s="143" t="s">
        <v>307</v>
      </c>
      <c r="B307" s="143" t="s">
        <v>1831</v>
      </c>
      <c r="C307" s="144">
        <v>280000</v>
      </c>
      <c r="D307" s="145" t="s">
        <v>307</v>
      </c>
      <c r="E307" s="143" t="s">
        <v>1831</v>
      </c>
      <c r="F307" s="144">
        <v>280000</v>
      </c>
      <c r="G307" s="145" t="s">
        <v>307</v>
      </c>
      <c r="H307" s="143" t="s">
        <v>1831</v>
      </c>
      <c r="I307" s="146">
        <v>280000</v>
      </c>
      <c r="J307" s="99"/>
    </row>
    <row r="308" spans="1:11">
      <c r="A308" s="143" t="s">
        <v>310</v>
      </c>
      <c r="B308" s="143" t="s">
        <v>1832</v>
      </c>
      <c r="C308" s="144">
        <v>340000</v>
      </c>
      <c r="D308" s="145" t="s">
        <v>310</v>
      </c>
      <c r="E308" s="143" t="s">
        <v>1832</v>
      </c>
      <c r="F308" s="144">
        <v>340000</v>
      </c>
      <c r="G308" s="145" t="s">
        <v>310</v>
      </c>
      <c r="H308" s="143" t="s">
        <v>1832</v>
      </c>
      <c r="I308" s="146">
        <v>340000</v>
      </c>
      <c r="J308" s="99"/>
    </row>
    <row r="309" spans="1:11">
      <c r="A309" s="143" t="s">
        <v>313</v>
      </c>
      <c r="B309" s="143" t="s">
        <v>1833</v>
      </c>
      <c r="C309" s="144">
        <v>650000</v>
      </c>
      <c r="D309" s="145" t="s">
        <v>313</v>
      </c>
      <c r="E309" s="143" t="s">
        <v>1833</v>
      </c>
      <c r="F309" s="144">
        <v>650000</v>
      </c>
      <c r="G309" s="145" t="s">
        <v>313</v>
      </c>
      <c r="H309" s="143" t="s">
        <v>1833</v>
      </c>
      <c r="I309" s="146">
        <v>280000</v>
      </c>
      <c r="J309" s="99"/>
    </row>
    <row r="310" spans="1:11">
      <c r="A310" s="143" t="s">
        <v>316</v>
      </c>
      <c r="B310" s="143" t="s">
        <v>1834</v>
      </c>
      <c r="C310" s="144">
        <v>870000</v>
      </c>
      <c r="D310" s="145" t="s">
        <v>316</v>
      </c>
      <c r="E310" s="143" t="s">
        <v>1834</v>
      </c>
      <c r="F310" s="144">
        <v>870000</v>
      </c>
      <c r="G310" s="145" t="s">
        <v>316</v>
      </c>
      <c r="H310" s="143" t="s">
        <v>1834</v>
      </c>
      <c r="I310" s="146">
        <v>340000</v>
      </c>
      <c r="J310" s="99"/>
    </row>
    <row r="311" ht="15.25" spans="1:11">
      <c r="A311" s="147" t="s">
        <v>319</v>
      </c>
      <c r="B311" s="147" t="s">
        <v>1835</v>
      </c>
      <c r="C311" s="148">
        <v>620000</v>
      </c>
      <c r="D311" s="149" t="s">
        <v>319</v>
      </c>
      <c r="E311" s="147" t="s">
        <v>1835</v>
      </c>
      <c r="F311" s="148">
        <v>620000</v>
      </c>
      <c r="G311" s="149" t="s">
        <v>319</v>
      </c>
      <c r="H311" s="147" t="s">
        <v>1835</v>
      </c>
      <c r="I311" s="150">
        <v>650000</v>
      </c>
      <c r="J311" s="99"/>
    </row>
    <row r="312" ht="15.25" spans="1:11">
      <c r="A312" s="106"/>
      <c r="B312" s="106"/>
      <c r="C312" s="106"/>
      <c r="D312" s="106"/>
      <c r="E312" s="106"/>
      <c r="F312" s="106"/>
      <c r="G312" s="106"/>
      <c r="H312" s="106"/>
      <c r="I312" s="106"/>
    </row>
    <row r="313" ht="15.25"/>
    <row r="314" ht="16" spans="1:11">
      <c r="A314" s="151" t="s">
        <v>1836</v>
      </c>
      <c r="B314" s="151" t="s">
        <v>1824</v>
      </c>
      <c r="C314" s="151" t="s">
        <v>1825</v>
      </c>
      <c r="D314" s="151" t="s">
        <v>1826</v>
      </c>
    </row>
    <row r="315" ht="16" spans="1:11">
      <c r="A315" s="152" t="s">
        <v>1837</v>
      </c>
      <c r="B315" s="152" t="s">
        <v>292</v>
      </c>
      <c r="C315" s="152" t="str">
        <f ca="1">VLOOKUP(B315,INDIRECT(A315),2,FALSE)</f>
        <v>Jhon</v>
      </c>
      <c r="D315" s="152">
        <f ca="1">VLOOKUP(B315,INDIRECT(A315),3,FALSE)</f>
        <v>870000</v>
      </c>
    </row>
    <row r="316" ht="15.25"/>
  </sheetData>
  <mergeCells count="39">
    <mergeCell ref="L248:M248"/>
    <mergeCell ref="L253:M253"/>
    <mergeCell ref="A300:C300"/>
    <mergeCell ref="D300:F300"/>
    <mergeCell ref="G300:I300"/>
    <mergeCell ref="J24:J25"/>
    <mergeCell ref="J302:K305"/>
    <mergeCell ref="H223:I224"/>
    <mergeCell ref="H225:I228"/>
    <mergeCell ref="L255:M256"/>
    <mergeCell ref="H265:I266"/>
    <mergeCell ref="H267:I270"/>
    <mergeCell ref="A175:B176"/>
    <mergeCell ref="A177:B184"/>
    <mergeCell ref="H200:I201"/>
    <mergeCell ref="H202:I205"/>
    <mergeCell ref="H209:I210"/>
    <mergeCell ref="H100:I101"/>
    <mergeCell ref="H102:I109"/>
    <mergeCell ref="A134:B135"/>
    <mergeCell ref="H141:I142"/>
    <mergeCell ref="H143:I150"/>
    <mergeCell ref="H73:I74"/>
    <mergeCell ref="H75:I82"/>
    <mergeCell ref="J75:K80"/>
    <mergeCell ref="L74:O80"/>
    <mergeCell ref="L84:M87"/>
    <mergeCell ref="H26:I33"/>
    <mergeCell ref="L35:M40"/>
    <mergeCell ref="H48:I49"/>
    <mergeCell ref="H50:I57"/>
    <mergeCell ref="J50:K55"/>
    <mergeCell ref="K1:L2"/>
    <mergeCell ref="K3:L10"/>
    <mergeCell ref="L12:M18"/>
    <mergeCell ref="H24:I25"/>
    <mergeCell ref="H282:I283"/>
    <mergeCell ref="H284:I287"/>
    <mergeCell ref="J300:K301"/>
  </mergeCells>
  <conditionalFormatting sqref="A2:G21">
    <cfRule type="expression" dxfId="112" priority="22">
      <formula>$C2=$N$9</formula>
    </cfRule>
  </conditionalFormatting>
  <conditionalFormatting sqref="A25:G44">
    <cfRule type="expression" dxfId="112" priority="13">
      <formula>$C25=$N$9</formula>
    </cfRule>
  </conditionalFormatting>
  <conditionalFormatting sqref="A49:G68">
    <cfRule type="expression" dxfId="112" priority="12">
      <formula>$C49=$N$9</formula>
    </cfRule>
  </conditionalFormatting>
  <conditionalFormatting sqref="A74:G93">
    <cfRule type="expression" dxfId="112" priority="11">
      <formula>$C74=$N$9</formula>
    </cfRule>
  </conditionalFormatting>
  <conditionalFormatting sqref="A101:G120">
    <cfRule type="expression" dxfId="112" priority="9">
      <formula>$C101=$N$9</formula>
    </cfRule>
  </conditionalFormatting>
  <conditionalFormatting sqref="B126:U132">
    <cfRule type="expression" dxfId="112" priority="8">
      <formula>$C126=$N$9</formula>
    </cfRule>
  </conditionalFormatting>
  <conditionalFormatting sqref="A142:G161">
    <cfRule type="expression" dxfId="112" priority="7">
      <formula>$C142=$N$9</formula>
    </cfRule>
  </conditionalFormatting>
  <conditionalFormatting sqref="B167:U173">
    <cfRule type="expression" dxfId="112" priority="5">
      <formula>$C167=$N$9</formula>
    </cfRule>
  </conditionalFormatting>
  <conditionalFormatting sqref="A201:G220">
    <cfRule type="expression" dxfId="112" priority="4">
      <formula>$C201=$N$9</formula>
    </cfRule>
  </conditionalFormatting>
  <conditionalFormatting sqref="A224:G243">
    <cfRule type="expression" dxfId="112" priority="3">
      <formula>$C224=$N$9</formula>
    </cfRule>
  </conditionalFormatting>
  <conditionalFormatting sqref="A266:G275">
    <cfRule type="expression" dxfId="112" priority="2">
      <formula>$C266=$N$9</formula>
    </cfRule>
  </conditionalFormatting>
  <conditionalFormatting sqref="A283:G292">
    <cfRule type="expression" dxfId="112" priority="1">
      <formula>$C283=$N$9</formula>
    </cfRule>
  </conditionalFormatting>
  <dataValidations count="7">
    <dataValidation type="list" allowBlank="1" showInputMessage="1" showErrorMessage="1" sqref="K111">
      <formula1>$A$101:$A$120</formula1>
    </dataValidation>
    <dataValidation type="list" allowBlank="1" showInputMessage="1" showErrorMessage="1" sqref="F136">
      <formula1>$B$126:$U$126</formula1>
    </dataValidation>
    <dataValidation type="list" allowBlank="1" showInputMessage="1" showErrorMessage="1" sqref="I231">
      <formula1>$A$223:$A$243</formula1>
    </dataValidation>
    <dataValidation type="list" allowBlank="1" showInputMessage="1" showErrorMessage="1" sqref="M249">
      <formula1>$A$248:$J$248</formula1>
    </dataValidation>
    <dataValidation type="list" allowBlank="1" showInputMessage="1" showErrorMessage="1" sqref="L250">
      <formula1>$A$248:$A$256</formula1>
    </dataValidation>
    <dataValidation type="list" allowBlank="1" showInputMessage="1" showErrorMessage="1" sqref="A315">
      <formula1>"JAN,FEb,MAR"</formula1>
    </dataValidation>
    <dataValidation type="list" allowBlank="1" showInputMessage="1" showErrorMessage="1" sqref="B315">
      <formula1>$A$302:$A$311</formula1>
    </dataValidation>
  </dataValidation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991"/>
  <sheetViews>
    <sheetView zoomScale="82" zoomScaleNormal="82" topLeftCell="A18" workbookViewId="0">
      <selection activeCell="M24" sqref="M24"/>
    </sheetView>
  </sheetViews>
  <sheetFormatPr defaultColWidth="8.75454545454545" defaultRowHeight="14.5"/>
  <cols>
    <col min="1" max="1" width="11.8727272727273" style="24" customWidth="1"/>
    <col min="2" max="2" width="8.37272727272727" style="25" customWidth="1"/>
    <col min="3" max="3" width="11.1272727272727" style="25" customWidth="1"/>
    <col min="4" max="4" width="11.5" style="25" customWidth="1"/>
    <col min="5" max="5" width="7.12727272727273" style="25" customWidth="1"/>
    <col min="6" max="6" width="10.2545454545455" style="25" customWidth="1"/>
    <col min="7" max="7" width="11.7545454545455" style="25" customWidth="1"/>
    <col min="8" max="8" width="8.37272727272727" style="25" customWidth="1"/>
    <col min="9" max="9" width="9.12727272727273" style="25" customWidth="1"/>
    <col min="10" max="10" width="10.2545454545455" style="25" customWidth="1"/>
    <col min="12" max="12" width="16.7545454545455" customWidth="1"/>
    <col min="13" max="13" width="17.8727272727273" customWidth="1"/>
    <col min="14" max="14" width="10.8727272727273" customWidth="1"/>
    <col min="15" max="15" width="13.8727272727273" customWidth="1"/>
    <col min="16" max="16" width="12.1272727272727" customWidth="1"/>
    <col min="17" max="17" width="10.2545454545455" customWidth="1"/>
  </cols>
  <sheetData>
    <row r="1" ht="26.75" spans="1:16">
      <c r="A1" s="15" t="s">
        <v>1838</v>
      </c>
      <c r="B1" s="16" t="s">
        <v>1839</v>
      </c>
      <c r="C1" s="16" t="s">
        <v>1584</v>
      </c>
      <c r="D1" s="16" t="s">
        <v>1840</v>
      </c>
      <c r="E1" s="16" t="s">
        <v>1841</v>
      </c>
      <c r="F1" s="16" t="s">
        <v>1842</v>
      </c>
      <c r="G1" s="16" t="s">
        <v>1843</v>
      </c>
      <c r="H1" s="16" t="s">
        <v>1844</v>
      </c>
      <c r="I1" s="16" t="s">
        <v>1845</v>
      </c>
      <c r="J1" s="16" t="s">
        <v>1846</v>
      </c>
      <c r="L1" s="26" t="s">
        <v>1571</v>
      </c>
      <c r="M1" s="27"/>
      <c r="N1" s="27"/>
      <c r="O1" s="27"/>
      <c r="P1" s="28"/>
    </row>
    <row r="2" ht="15.25" spans="1:16">
      <c r="A2" s="18" t="s">
        <v>1847</v>
      </c>
      <c r="B2" s="19" t="s">
        <v>1848</v>
      </c>
      <c r="C2" s="19" t="s">
        <v>1849</v>
      </c>
      <c r="D2" s="19" t="s">
        <v>1850</v>
      </c>
      <c r="E2" s="19" t="s">
        <v>1851</v>
      </c>
      <c r="F2" s="19" t="s">
        <v>1852</v>
      </c>
      <c r="G2" s="19" t="s">
        <v>1853</v>
      </c>
      <c r="H2" s="19">
        <v>6</v>
      </c>
      <c r="I2" s="19">
        <v>4016.25</v>
      </c>
      <c r="J2" s="19">
        <v>24097.5</v>
      </c>
      <c r="L2" s="29" t="s">
        <v>1854</v>
      </c>
      <c r="M2" s="30"/>
      <c r="N2" s="30"/>
      <c r="O2" s="30"/>
      <c r="P2" s="31"/>
    </row>
    <row r="3" ht="15.25" spans="1:16">
      <c r="A3" s="18">
        <v>44937</v>
      </c>
      <c r="B3" s="19" t="s">
        <v>1855</v>
      </c>
      <c r="C3" s="19" t="s">
        <v>1856</v>
      </c>
      <c r="D3" s="19" t="s">
        <v>1857</v>
      </c>
      <c r="E3" s="19" t="s">
        <v>1858</v>
      </c>
      <c r="F3" s="19" t="s">
        <v>1859</v>
      </c>
      <c r="G3" s="19" t="s">
        <v>1860</v>
      </c>
      <c r="H3" s="19">
        <v>9</v>
      </c>
      <c r="I3" s="19">
        <v>3801.85</v>
      </c>
      <c r="J3" s="19">
        <v>34216.65</v>
      </c>
      <c r="L3" s="32"/>
      <c r="M3" s="33"/>
      <c r="N3" s="33"/>
      <c r="O3" s="33"/>
      <c r="P3" s="34"/>
    </row>
    <row r="4" ht="15.25" spans="1:16">
      <c r="A4" s="18">
        <v>45081</v>
      </c>
      <c r="B4" s="19" t="s">
        <v>1861</v>
      </c>
      <c r="C4" s="19" t="s">
        <v>1602</v>
      </c>
      <c r="D4" s="19" t="s">
        <v>1862</v>
      </c>
      <c r="E4" s="19" t="s">
        <v>1858</v>
      </c>
      <c r="F4" s="19" t="s">
        <v>1859</v>
      </c>
      <c r="G4" s="19" t="s">
        <v>1860</v>
      </c>
      <c r="H4" s="19">
        <v>11</v>
      </c>
      <c r="I4" s="19">
        <v>3594.07</v>
      </c>
      <c r="J4" s="19">
        <v>39534.77</v>
      </c>
      <c r="L4" s="35"/>
      <c r="M4" s="36"/>
      <c r="N4" s="36"/>
      <c r="O4" s="36"/>
      <c r="P4" s="37"/>
    </row>
    <row r="5" ht="15.25" spans="1:16">
      <c r="A5" s="18" t="s">
        <v>1863</v>
      </c>
      <c r="B5" s="19" t="s">
        <v>1855</v>
      </c>
      <c r="C5" s="19" t="s">
        <v>1864</v>
      </c>
      <c r="D5" s="19" t="s">
        <v>1857</v>
      </c>
      <c r="E5" s="19" t="s">
        <v>1858</v>
      </c>
      <c r="F5" s="19" t="s">
        <v>1865</v>
      </c>
      <c r="G5" s="19" t="s">
        <v>1866</v>
      </c>
      <c r="H5" s="19">
        <v>9</v>
      </c>
      <c r="I5" s="19">
        <v>4487</v>
      </c>
      <c r="J5" s="19">
        <v>40383</v>
      </c>
    </row>
    <row r="6" ht="15.25" spans="1:16">
      <c r="A6" s="18">
        <v>45115</v>
      </c>
      <c r="B6" s="19" t="s">
        <v>1867</v>
      </c>
      <c r="C6" s="19" t="s">
        <v>1593</v>
      </c>
      <c r="D6" s="19" t="s">
        <v>1850</v>
      </c>
      <c r="E6" s="19" t="s">
        <v>1851</v>
      </c>
      <c r="F6" s="19" t="s">
        <v>1868</v>
      </c>
      <c r="G6" s="19" t="s">
        <v>1869</v>
      </c>
      <c r="H6" s="19">
        <v>17</v>
      </c>
      <c r="I6" s="19">
        <v>1240.77</v>
      </c>
      <c r="J6" s="19">
        <v>21093.09</v>
      </c>
    </row>
    <row r="7" ht="15.25" spans="1:16">
      <c r="A7" s="18" t="s">
        <v>1870</v>
      </c>
      <c r="B7" s="19" t="s">
        <v>1871</v>
      </c>
      <c r="C7" s="19" t="s">
        <v>1626</v>
      </c>
      <c r="D7" s="19" t="s">
        <v>1857</v>
      </c>
      <c r="E7" s="19" t="s">
        <v>1858</v>
      </c>
      <c r="F7" s="19" t="s">
        <v>1859</v>
      </c>
      <c r="G7" s="19" t="s">
        <v>1872</v>
      </c>
      <c r="H7" s="19">
        <v>7</v>
      </c>
      <c r="I7" s="19">
        <v>4772.29</v>
      </c>
      <c r="J7" s="19">
        <v>33406.03</v>
      </c>
      <c r="L7" s="38" t="s">
        <v>1840</v>
      </c>
      <c r="M7" s="38" t="s">
        <v>1873</v>
      </c>
    </row>
    <row r="8" ht="15.25" spans="1:16">
      <c r="A8" s="18">
        <v>44931</v>
      </c>
      <c r="B8" s="19" t="s">
        <v>1874</v>
      </c>
      <c r="C8" s="19" t="s">
        <v>1875</v>
      </c>
      <c r="D8" s="19" t="s">
        <v>1862</v>
      </c>
      <c r="E8" s="19" t="s">
        <v>1858</v>
      </c>
      <c r="F8" s="19" t="s">
        <v>1876</v>
      </c>
      <c r="G8" s="19" t="s">
        <v>1877</v>
      </c>
      <c r="H8" s="19">
        <v>5</v>
      </c>
      <c r="I8" s="19">
        <v>2196.99</v>
      </c>
      <c r="J8" s="19">
        <v>10984.95</v>
      </c>
      <c r="L8" s="39" t="s">
        <v>1850</v>
      </c>
      <c r="M8" s="40">
        <f>COUNTIF($D$1:$D$1001,L8)</f>
        <v>207</v>
      </c>
    </row>
    <row r="9" ht="15.25" spans="1:16">
      <c r="A9" s="18" t="s">
        <v>1870</v>
      </c>
      <c r="B9" s="19" t="s">
        <v>1878</v>
      </c>
      <c r="C9" s="19" t="s">
        <v>1610</v>
      </c>
      <c r="D9" s="19" t="s">
        <v>1879</v>
      </c>
      <c r="E9" s="19" t="s">
        <v>1851</v>
      </c>
      <c r="F9" s="19" t="s">
        <v>1865</v>
      </c>
      <c r="G9" s="19" t="s">
        <v>1866</v>
      </c>
      <c r="H9" s="19">
        <v>5</v>
      </c>
      <c r="I9" s="19">
        <v>967.6</v>
      </c>
      <c r="J9" s="19">
        <v>4838</v>
      </c>
      <c r="L9" s="39" t="s">
        <v>1857</v>
      </c>
      <c r="M9" s="40">
        <f>COUNTIF($D$1:$D$1001,L9)</f>
        <v>208</v>
      </c>
    </row>
    <row r="10" ht="15.25" spans="1:16">
      <c r="A10" s="18" t="s">
        <v>1880</v>
      </c>
      <c r="B10" s="19" t="s">
        <v>1855</v>
      </c>
      <c r="C10" s="19" t="s">
        <v>1864</v>
      </c>
      <c r="D10" s="19" t="s">
        <v>1857</v>
      </c>
      <c r="E10" s="19" t="s">
        <v>1858</v>
      </c>
      <c r="F10" s="19" t="s">
        <v>1859</v>
      </c>
      <c r="G10" s="19" t="s">
        <v>1860</v>
      </c>
      <c r="H10" s="19">
        <v>18</v>
      </c>
      <c r="I10" s="19">
        <v>3128.59</v>
      </c>
      <c r="J10" s="19">
        <v>56314.62</v>
      </c>
      <c r="L10" s="39" t="s">
        <v>1862</v>
      </c>
      <c r="M10" s="40">
        <f>COUNTIF($D$1:$D$1001,L10)</f>
        <v>212</v>
      </c>
    </row>
    <row r="11" ht="15.25" spans="1:16">
      <c r="A11" s="18" t="s">
        <v>1881</v>
      </c>
      <c r="B11" s="19" t="s">
        <v>1861</v>
      </c>
      <c r="C11" s="19" t="s">
        <v>1626</v>
      </c>
      <c r="D11" s="19" t="s">
        <v>1857</v>
      </c>
      <c r="E11" s="19" t="s">
        <v>1858</v>
      </c>
      <c r="F11" s="19" t="s">
        <v>1852</v>
      </c>
      <c r="G11" s="19" t="s">
        <v>1853</v>
      </c>
      <c r="H11" s="19">
        <v>10</v>
      </c>
      <c r="I11" s="19">
        <v>2754.3</v>
      </c>
      <c r="J11" s="19">
        <v>27543</v>
      </c>
      <c r="L11" s="39" t="s">
        <v>1879</v>
      </c>
      <c r="M11" s="40">
        <f>COUNTIF($D$1:$D$1001,L11)</f>
        <v>180</v>
      </c>
    </row>
    <row r="12" ht="15.25" spans="1:16">
      <c r="A12" s="18" t="s">
        <v>1882</v>
      </c>
      <c r="B12" s="19" t="s">
        <v>1855</v>
      </c>
      <c r="C12" s="19" t="s">
        <v>1610</v>
      </c>
      <c r="D12" s="19" t="s">
        <v>1879</v>
      </c>
      <c r="E12" s="19" t="s">
        <v>1851</v>
      </c>
      <c r="F12" s="19" t="s">
        <v>1876</v>
      </c>
      <c r="G12" s="19" t="s">
        <v>1883</v>
      </c>
      <c r="H12" s="19">
        <v>19</v>
      </c>
      <c r="I12" s="19">
        <v>4896.31</v>
      </c>
      <c r="J12" s="19">
        <v>93029.89</v>
      </c>
      <c r="L12" s="39" t="s">
        <v>1884</v>
      </c>
      <c r="M12" s="40">
        <f>COUNTIF($D$1:$D$1001,L12)</f>
        <v>193</v>
      </c>
    </row>
    <row r="13" ht="15.25" spans="1:16">
      <c r="A13" s="18" t="s">
        <v>1885</v>
      </c>
      <c r="B13" s="19" t="s">
        <v>1874</v>
      </c>
      <c r="C13" s="19" t="s">
        <v>1875</v>
      </c>
      <c r="D13" s="19" t="s">
        <v>1862</v>
      </c>
      <c r="E13" s="19" t="s">
        <v>1858</v>
      </c>
      <c r="F13" s="19" t="s">
        <v>1865</v>
      </c>
      <c r="G13" s="19" t="s">
        <v>1886</v>
      </c>
      <c r="H13" s="19">
        <v>19</v>
      </c>
      <c r="I13" s="19">
        <v>4562.02</v>
      </c>
      <c r="J13" s="19">
        <v>86678.38</v>
      </c>
      <c r="L13" s="38" t="s">
        <v>1887</v>
      </c>
      <c r="M13" s="38">
        <f>SUM(M8:M12)</f>
        <v>1000</v>
      </c>
    </row>
    <row r="14" ht="15.25" spans="1:16">
      <c r="A14" s="18">
        <v>45261</v>
      </c>
      <c r="B14" s="19" t="s">
        <v>1871</v>
      </c>
      <c r="C14" s="19" t="s">
        <v>1593</v>
      </c>
      <c r="D14" s="19" t="s">
        <v>1850</v>
      </c>
      <c r="E14" s="19" t="s">
        <v>1851</v>
      </c>
      <c r="F14" s="19" t="s">
        <v>1859</v>
      </c>
      <c r="G14" s="19" t="s">
        <v>1872</v>
      </c>
      <c r="H14" s="19">
        <v>6</v>
      </c>
      <c r="I14" s="19">
        <v>4231.77</v>
      </c>
      <c r="J14" s="19">
        <v>25390.62</v>
      </c>
    </row>
    <row r="15" ht="15.25" spans="1:16">
      <c r="A15" s="18" t="s">
        <v>1888</v>
      </c>
      <c r="B15" s="19" t="s">
        <v>1889</v>
      </c>
      <c r="C15" s="19" t="s">
        <v>1610</v>
      </c>
      <c r="D15" s="19" t="s">
        <v>1879</v>
      </c>
      <c r="E15" s="19" t="s">
        <v>1851</v>
      </c>
      <c r="F15" s="19" t="s">
        <v>1865</v>
      </c>
      <c r="G15" s="19" t="s">
        <v>1890</v>
      </c>
      <c r="H15" s="19">
        <v>20</v>
      </c>
      <c r="I15" s="19">
        <v>1027.53</v>
      </c>
      <c r="J15" s="19">
        <v>20550.6</v>
      </c>
    </row>
    <row r="16" ht="15.25" spans="1:16">
      <c r="A16" s="18" t="s">
        <v>1891</v>
      </c>
      <c r="B16" s="19" t="s">
        <v>1892</v>
      </c>
      <c r="C16" s="19" t="s">
        <v>1849</v>
      </c>
      <c r="D16" s="19" t="s">
        <v>1850</v>
      </c>
      <c r="E16" s="19" t="s">
        <v>1851</v>
      </c>
      <c r="F16" s="19" t="s">
        <v>1865</v>
      </c>
      <c r="G16" s="19" t="s">
        <v>1886</v>
      </c>
      <c r="H16" s="19">
        <v>7</v>
      </c>
      <c r="I16" s="19">
        <v>1257.34</v>
      </c>
      <c r="J16" s="19">
        <v>8801.38</v>
      </c>
    </row>
    <row r="17" ht="15.25" spans="1:18">
      <c r="A17" s="18" t="s">
        <v>1893</v>
      </c>
      <c r="B17" s="19" t="s">
        <v>1874</v>
      </c>
      <c r="C17" s="19" t="s">
        <v>1894</v>
      </c>
      <c r="D17" s="19" t="s">
        <v>1884</v>
      </c>
      <c r="E17" s="19" t="s">
        <v>1895</v>
      </c>
      <c r="F17" s="19" t="s">
        <v>1865</v>
      </c>
      <c r="G17" s="19" t="s">
        <v>1890</v>
      </c>
      <c r="H17" s="19">
        <v>9</v>
      </c>
      <c r="I17" s="19">
        <v>2634.14</v>
      </c>
      <c r="J17" s="19">
        <v>23707.26</v>
      </c>
      <c r="L17" s="26" t="s">
        <v>1574</v>
      </c>
      <c r="M17" s="27"/>
      <c r="N17" s="27"/>
      <c r="O17" s="27"/>
      <c r="P17" s="28"/>
    </row>
    <row r="18" ht="15.25" spans="1:18">
      <c r="A18" s="18">
        <v>44963</v>
      </c>
      <c r="B18" s="19" t="s">
        <v>1867</v>
      </c>
      <c r="C18" s="19" t="s">
        <v>1598</v>
      </c>
      <c r="D18" s="19" t="s">
        <v>1850</v>
      </c>
      <c r="E18" s="19" t="s">
        <v>1851</v>
      </c>
      <c r="F18" s="19" t="s">
        <v>1852</v>
      </c>
      <c r="G18" s="19" t="s">
        <v>1853</v>
      </c>
      <c r="H18" s="19">
        <v>11</v>
      </c>
      <c r="I18" s="19">
        <v>4509.49</v>
      </c>
      <c r="J18" s="19">
        <v>49604.39</v>
      </c>
      <c r="L18" s="29" t="s">
        <v>1896</v>
      </c>
      <c r="M18" s="30"/>
      <c r="N18" s="30"/>
      <c r="O18" s="30"/>
      <c r="P18" s="31"/>
    </row>
    <row r="19" ht="15.25" spans="1:18">
      <c r="A19" s="18" t="s">
        <v>1897</v>
      </c>
      <c r="B19" s="19" t="s">
        <v>1871</v>
      </c>
      <c r="C19" s="19" t="s">
        <v>1898</v>
      </c>
      <c r="D19" s="19" t="s">
        <v>1879</v>
      </c>
      <c r="E19" s="19" t="s">
        <v>1851</v>
      </c>
      <c r="F19" s="19" t="s">
        <v>1868</v>
      </c>
      <c r="G19" s="19" t="s">
        <v>1899</v>
      </c>
      <c r="H19" s="19">
        <v>3</v>
      </c>
      <c r="I19" s="19">
        <v>2738.83</v>
      </c>
      <c r="J19" s="19">
        <v>8216.49</v>
      </c>
      <c r="L19" s="32"/>
      <c r="M19" s="33"/>
      <c r="N19" s="33"/>
      <c r="O19" s="33"/>
      <c r="P19" s="34"/>
    </row>
    <row r="20" ht="15.25" spans="1:18">
      <c r="A20" s="18" t="s">
        <v>1900</v>
      </c>
      <c r="B20" s="19" t="s">
        <v>1871</v>
      </c>
      <c r="C20" s="19" t="s">
        <v>1849</v>
      </c>
      <c r="D20" s="19" t="s">
        <v>1850</v>
      </c>
      <c r="E20" s="19" t="s">
        <v>1851</v>
      </c>
      <c r="F20" s="19" t="s">
        <v>1865</v>
      </c>
      <c r="G20" s="19" t="s">
        <v>1866</v>
      </c>
      <c r="H20" s="19">
        <v>10</v>
      </c>
      <c r="I20" s="19">
        <v>4247.74</v>
      </c>
      <c r="J20" s="19">
        <v>42477.4</v>
      </c>
      <c r="L20" s="35"/>
      <c r="M20" s="36"/>
      <c r="N20" s="36"/>
      <c r="O20" s="36"/>
      <c r="P20" s="37"/>
    </row>
    <row r="21" ht="15.25" spans="1:18">
      <c r="A21" s="18" t="s">
        <v>1882</v>
      </c>
      <c r="B21" s="19" t="s">
        <v>1861</v>
      </c>
      <c r="C21" s="19" t="s">
        <v>1875</v>
      </c>
      <c r="D21" s="19" t="s">
        <v>1862</v>
      </c>
      <c r="E21" s="19" t="s">
        <v>1858</v>
      </c>
      <c r="F21" s="19" t="s">
        <v>1859</v>
      </c>
      <c r="G21" s="19" t="s">
        <v>1872</v>
      </c>
      <c r="H21" s="19">
        <v>3</v>
      </c>
      <c r="I21" s="19">
        <v>1133.19</v>
      </c>
      <c r="J21" s="19">
        <v>3399.57</v>
      </c>
    </row>
    <row r="22" ht="15.25" spans="1:18">
      <c r="A22" s="18" t="s">
        <v>1901</v>
      </c>
      <c r="B22" s="19" t="s">
        <v>1902</v>
      </c>
      <c r="C22" s="19" t="s">
        <v>1903</v>
      </c>
      <c r="D22" s="19" t="s">
        <v>1884</v>
      </c>
      <c r="E22" s="19" t="s">
        <v>1895</v>
      </c>
      <c r="F22" s="19" t="s">
        <v>1876</v>
      </c>
      <c r="G22" s="19" t="s">
        <v>1883</v>
      </c>
      <c r="H22" s="19">
        <v>6</v>
      </c>
      <c r="I22" s="19">
        <v>623.22</v>
      </c>
      <c r="J22" s="19">
        <v>3739.32</v>
      </c>
    </row>
    <row r="23" ht="15.25" spans="1:18">
      <c r="A23" s="18" t="s">
        <v>1904</v>
      </c>
      <c r="B23" s="19" t="s">
        <v>1867</v>
      </c>
      <c r="C23" s="19" t="s">
        <v>1856</v>
      </c>
      <c r="D23" s="19" t="s">
        <v>1857</v>
      </c>
      <c r="E23" s="19" t="s">
        <v>1858</v>
      </c>
      <c r="F23" s="19" t="s">
        <v>1859</v>
      </c>
      <c r="G23" s="19" t="s">
        <v>1860</v>
      </c>
      <c r="H23" s="19">
        <v>18</v>
      </c>
      <c r="I23" s="19">
        <v>698.42</v>
      </c>
      <c r="J23" s="19">
        <v>12571.56</v>
      </c>
      <c r="L23" s="38" t="s">
        <v>1905</v>
      </c>
      <c r="M23" s="41" t="s">
        <v>1852</v>
      </c>
      <c r="N23" s="41" t="s">
        <v>1859</v>
      </c>
      <c r="O23" s="41" t="s">
        <v>1865</v>
      </c>
      <c r="P23" s="41" t="s">
        <v>1868</v>
      </c>
      <c r="Q23" s="41" t="s">
        <v>1876</v>
      </c>
      <c r="R23" s="38" t="s">
        <v>1887</v>
      </c>
    </row>
    <row r="24" ht="15.25" spans="1:18">
      <c r="A24" s="18">
        <v>45089</v>
      </c>
      <c r="B24" s="19" t="s">
        <v>1878</v>
      </c>
      <c r="C24" s="19" t="s">
        <v>1906</v>
      </c>
      <c r="D24" s="19" t="s">
        <v>1862</v>
      </c>
      <c r="E24" s="19" t="s">
        <v>1858</v>
      </c>
      <c r="F24" s="19" t="s">
        <v>1868</v>
      </c>
      <c r="G24" s="19" t="s">
        <v>1907</v>
      </c>
      <c r="H24" s="19">
        <v>19</v>
      </c>
      <c r="I24" s="19">
        <v>2494.11</v>
      </c>
      <c r="J24" s="19">
        <v>47388.09</v>
      </c>
      <c r="L24" s="42" t="s">
        <v>1850</v>
      </c>
      <c r="M24" s="40">
        <f>COUNTIFS($D$2:$D$1001,$L24,$F$2:$F$1001,M$23)</f>
        <v>44</v>
      </c>
      <c r="N24" s="40">
        <f>COUNTIFS($D$2:$D$1001,$L24,$F$2:$F$1001,N$23)</f>
        <v>41</v>
      </c>
      <c r="O24" s="40">
        <f>COUNTIFS($D$2:$D$1001,$L24,$F$2:$F$1001,O$23)</f>
        <v>49</v>
      </c>
      <c r="P24" s="40">
        <f>COUNTIFS($D$2:$D$1001,$L24,$F$2:$F$1001,P$23)</f>
        <v>34</v>
      </c>
      <c r="Q24" s="40">
        <f>COUNTIFS($D$2:$D$1001,$L24,$F$2:$F$1001,Q$23)</f>
        <v>39</v>
      </c>
      <c r="R24" s="38">
        <f t="shared" ref="R24:R29" si="0">SUM(M24:Q24)</f>
        <v>207</v>
      </c>
    </row>
    <row r="25" ht="15.25" spans="1:18">
      <c r="A25" s="18" t="s">
        <v>1908</v>
      </c>
      <c r="B25" s="19" t="s">
        <v>1874</v>
      </c>
      <c r="C25" s="19" t="s">
        <v>1626</v>
      </c>
      <c r="D25" s="19" t="s">
        <v>1857</v>
      </c>
      <c r="E25" s="19" t="s">
        <v>1858</v>
      </c>
      <c r="F25" s="19" t="s">
        <v>1868</v>
      </c>
      <c r="G25" s="19" t="s">
        <v>1907</v>
      </c>
      <c r="H25" s="19">
        <v>15</v>
      </c>
      <c r="I25" s="19">
        <v>3368.77</v>
      </c>
      <c r="J25" s="19">
        <v>50531.55</v>
      </c>
      <c r="L25" s="42" t="s">
        <v>1857</v>
      </c>
      <c r="M25" s="40">
        <f>COUNTIFS($D$2:$D$1001,$L25,$F$2:$F$1001,M$23)</f>
        <v>41</v>
      </c>
      <c r="N25" s="40">
        <f>COUNTIFS($D$2:$D$1001,$L25,$F$2:$F$1001,N$23)</f>
        <v>33</v>
      </c>
      <c r="O25" s="40">
        <f>COUNTIFS($D$2:$D$1001,$L25,$F$2:$F$1001,O$23)</f>
        <v>45</v>
      </c>
      <c r="P25" s="40">
        <f>COUNTIFS($D$2:$D$1001,$L25,$F$2:$F$1001,P$23)</f>
        <v>43</v>
      </c>
      <c r="Q25" s="40">
        <f>COUNTIFS($D$2:$D$1001,$L25,$F$2:$F$1001,Q$23)</f>
        <v>46</v>
      </c>
      <c r="R25" s="38">
        <f t="shared" si="0"/>
        <v>208</v>
      </c>
    </row>
    <row r="26" ht="15.25" spans="1:18">
      <c r="A26" s="18" t="s">
        <v>1909</v>
      </c>
      <c r="B26" s="19" t="s">
        <v>1861</v>
      </c>
      <c r="C26" s="19" t="s">
        <v>1875</v>
      </c>
      <c r="D26" s="19" t="s">
        <v>1862</v>
      </c>
      <c r="E26" s="19" t="s">
        <v>1858</v>
      </c>
      <c r="F26" s="19" t="s">
        <v>1852</v>
      </c>
      <c r="G26" s="19" t="s">
        <v>1910</v>
      </c>
      <c r="H26" s="19">
        <v>2</v>
      </c>
      <c r="I26" s="19">
        <v>962.28</v>
      </c>
      <c r="J26" s="19">
        <v>1924.56</v>
      </c>
      <c r="L26" s="42" t="s">
        <v>1862</v>
      </c>
      <c r="M26" s="40">
        <f>COUNTIFS($D$2:$D$1001,$L26,$F$2:$F$1001,M$23)</f>
        <v>42</v>
      </c>
      <c r="N26" s="40">
        <f>COUNTIFS($D$2:$D$1001,$L26,$F$2:$F$1001,N$23)</f>
        <v>46</v>
      </c>
      <c r="O26" s="40">
        <f>COUNTIFS($D$2:$D$1001,$L26,$F$2:$F$1001,O$23)</f>
        <v>42</v>
      </c>
      <c r="P26" s="40">
        <f>COUNTIFS($D$2:$D$1001,$L26,$F$2:$F$1001,P$23)</f>
        <v>42</v>
      </c>
      <c r="Q26" s="40">
        <f>COUNTIFS($D$2:$D$1001,$L26,$F$2:$F$1001,Q$23)</f>
        <v>40</v>
      </c>
      <c r="R26" s="38">
        <f t="shared" si="0"/>
        <v>212</v>
      </c>
    </row>
    <row r="27" ht="15.25" spans="1:18">
      <c r="A27" s="18">
        <v>44930</v>
      </c>
      <c r="B27" s="19" t="s">
        <v>1902</v>
      </c>
      <c r="C27" s="19" t="s">
        <v>1598</v>
      </c>
      <c r="D27" s="19" t="s">
        <v>1850</v>
      </c>
      <c r="E27" s="19" t="s">
        <v>1851</v>
      </c>
      <c r="F27" s="19" t="s">
        <v>1865</v>
      </c>
      <c r="G27" s="19" t="s">
        <v>1890</v>
      </c>
      <c r="H27" s="19">
        <v>19</v>
      </c>
      <c r="I27" s="19">
        <v>1065.27</v>
      </c>
      <c r="J27" s="19">
        <v>20240.13</v>
      </c>
      <c r="L27" s="42" t="s">
        <v>1879</v>
      </c>
      <c r="M27" s="40">
        <f>COUNTIFS($D$2:$D$1001,$L27,$F$2:$F$1001,M$23)</f>
        <v>32</v>
      </c>
      <c r="N27" s="40">
        <f>COUNTIFS($D$2:$D$1001,$L27,$F$2:$F$1001,N$23)</f>
        <v>35</v>
      </c>
      <c r="O27" s="40">
        <f>COUNTIFS($D$2:$D$1001,$L27,$F$2:$F$1001,O$23)</f>
        <v>41</v>
      </c>
      <c r="P27" s="40">
        <f>COUNTIFS($D$2:$D$1001,$L27,$F$2:$F$1001,P$23)</f>
        <v>36</v>
      </c>
      <c r="Q27" s="40">
        <f>COUNTIFS($D$2:$D$1001,$L27,$F$2:$F$1001,Q$23)</f>
        <v>36</v>
      </c>
      <c r="R27" s="38">
        <f t="shared" si="0"/>
        <v>180</v>
      </c>
    </row>
    <row r="28" ht="15.25" spans="1:18">
      <c r="A28" s="18" t="s">
        <v>1911</v>
      </c>
      <c r="B28" s="19" t="s">
        <v>1902</v>
      </c>
      <c r="C28" s="19" t="s">
        <v>1610</v>
      </c>
      <c r="D28" s="19" t="s">
        <v>1879</v>
      </c>
      <c r="E28" s="19" t="s">
        <v>1851</v>
      </c>
      <c r="F28" s="19" t="s">
        <v>1868</v>
      </c>
      <c r="G28" s="19" t="s">
        <v>1899</v>
      </c>
      <c r="H28" s="19">
        <v>10</v>
      </c>
      <c r="I28" s="19">
        <v>4507.62</v>
      </c>
      <c r="J28" s="19">
        <v>45076.2</v>
      </c>
      <c r="L28" s="42" t="s">
        <v>1884</v>
      </c>
      <c r="M28" s="40">
        <f>COUNTIFS($D$2:$D$1001,$L28,$F$2:$F$1001,M$23)</f>
        <v>46</v>
      </c>
      <c r="N28" s="40">
        <f>COUNTIFS($D$2:$D$1001,$L28,$F$2:$F$1001,N$23)</f>
        <v>39</v>
      </c>
      <c r="O28" s="40">
        <f>COUNTIFS($D$2:$D$1001,$L28,$F$2:$F$1001,O$23)</f>
        <v>33</v>
      </c>
      <c r="P28" s="40">
        <f>COUNTIFS($D$2:$D$1001,$L28,$F$2:$F$1001,P$23)</f>
        <v>34</v>
      </c>
      <c r="Q28" s="40">
        <f>COUNTIFS($D$2:$D$1001,$L28,$F$2:$F$1001,Q$23)</f>
        <v>41</v>
      </c>
      <c r="R28" s="38">
        <f t="shared" si="0"/>
        <v>193</v>
      </c>
    </row>
    <row r="29" ht="15.25" spans="1:18">
      <c r="A29" s="18" t="s">
        <v>1912</v>
      </c>
      <c r="B29" s="19" t="s">
        <v>1867</v>
      </c>
      <c r="C29" s="19" t="s">
        <v>1903</v>
      </c>
      <c r="D29" s="19" t="s">
        <v>1884</v>
      </c>
      <c r="E29" s="19" t="s">
        <v>1895</v>
      </c>
      <c r="F29" s="19" t="s">
        <v>1865</v>
      </c>
      <c r="G29" s="19" t="s">
        <v>1886</v>
      </c>
      <c r="H29" s="19">
        <v>4</v>
      </c>
      <c r="I29" s="19">
        <v>4373.75</v>
      </c>
      <c r="J29" s="19">
        <v>17495</v>
      </c>
      <c r="L29" s="38" t="s">
        <v>1887</v>
      </c>
      <c r="M29" s="38">
        <f>SUM(M24:M28)</f>
        <v>205</v>
      </c>
      <c r="N29" s="38">
        <f>SUM(N24:N28)</f>
        <v>194</v>
      </c>
      <c r="O29" s="38">
        <f>SUM(O24:O28)</f>
        <v>210</v>
      </c>
      <c r="P29" s="38">
        <f>SUM(P24:P28)</f>
        <v>189</v>
      </c>
      <c r="Q29" s="38">
        <f>SUM(Q24:Q28)</f>
        <v>202</v>
      </c>
      <c r="R29" s="38">
        <f t="shared" si="0"/>
        <v>1000</v>
      </c>
    </row>
    <row r="30" ht="15.25" spans="1:18">
      <c r="A30" s="18" t="s">
        <v>1913</v>
      </c>
      <c r="B30" s="19" t="s">
        <v>1889</v>
      </c>
      <c r="C30" s="19" t="s">
        <v>1856</v>
      </c>
      <c r="D30" s="19" t="s">
        <v>1857</v>
      </c>
      <c r="E30" s="19" t="s">
        <v>1858</v>
      </c>
      <c r="F30" s="19" t="s">
        <v>1865</v>
      </c>
      <c r="G30" s="19" t="s">
        <v>1886</v>
      </c>
      <c r="H30" s="19">
        <v>4</v>
      </c>
      <c r="I30" s="19">
        <v>791.28</v>
      </c>
      <c r="J30" s="19">
        <v>3165.12</v>
      </c>
      <c r="L30" s="43" t="s">
        <v>1914</v>
      </c>
      <c r="M30" s="43">
        <f>SUM(M29:Q29)</f>
        <v>1000</v>
      </c>
      <c r="N30" s="43"/>
      <c r="O30" s="43"/>
      <c r="P30" s="43"/>
      <c r="Q30" s="43"/>
    </row>
    <row r="31" ht="15.25" spans="1:18">
      <c r="A31" s="18">
        <v>45082</v>
      </c>
      <c r="B31" s="19" t="s">
        <v>1878</v>
      </c>
      <c r="C31" s="19" t="s">
        <v>1875</v>
      </c>
      <c r="D31" s="19" t="s">
        <v>1862</v>
      </c>
      <c r="E31" s="19" t="s">
        <v>1858</v>
      </c>
      <c r="F31" s="19" t="s">
        <v>1868</v>
      </c>
      <c r="G31" s="19" t="s">
        <v>1869</v>
      </c>
      <c r="H31" s="19">
        <v>14</v>
      </c>
      <c r="I31" s="19">
        <v>4868.33</v>
      </c>
      <c r="J31" s="19">
        <v>68156.62</v>
      </c>
    </row>
    <row r="32" ht="15.25" spans="1:18">
      <c r="A32" s="18" t="s">
        <v>1893</v>
      </c>
      <c r="B32" s="19" t="s">
        <v>1874</v>
      </c>
      <c r="C32" s="19" t="s">
        <v>1894</v>
      </c>
      <c r="D32" s="19" t="s">
        <v>1884</v>
      </c>
      <c r="E32" s="19" t="s">
        <v>1895</v>
      </c>
      <c r="F32" s="19" t="s">
        <v>1865</v>
      </c>
      <c r="G32" s="19" t="s">
        <v>1890</v>
      </c>
      <c r="H32" s="19">
        <v>12</v>
      </c>
      <c r="I32" s="19">
        <v>1958.77</v>
      </c>
      <c r="J32" s="19">
        <v>23505.24</v>
      </c>
    </row>
    <row r="33" ht="15.25" spans="1:16">
      <c r="A33" s="18" t="s">
        <v>1915</v>
      </c>
      <c r="B33" s="19" t="s">
        <v>1861</v>
      </c>
      <c r="C33" s="19" t="s">
        <v>1598</v>
      </c>
      <c r="D33" s="19" t="s">
        <v>1850</v>
      </c>
      <c r="E33" s="19" t="s">
        <v>1851</v>
      </c>
      <c r="F33" s="19" t="s">
        <v>1859</v>
      </c>
      <c r="G33" s="19" t="s">
        <v>1872</v>
      </c>
      <c r="H33" s="19">
        <v>10</v>
      </c>
      <c r="I33" s="19">
        <v>3690.75</v>
      </c>
      <c r="J33" s="19">
        <v>36907.5</v>
      </c>
    </row>
    <row r="34" ht="15.25" spans="1:16">
      <c r="A34" s="18" t="s">
        <v>1916</v>
      </c>
      <c r="B34" s="19" t="s">
        <v>1861</v>
      </c>
      <c r="C34" s="19" t="s">
        <v>1610</v>
      </c>
      <c r="D34" s="19" t="s">
        <v>1879</v>
      </c>
      <c r="E34" s="19" t="s">
        <v>1851</v>
      </c>
      <c r="F34" s="19" t="s">
        <v>1859</v>
      </c>
      <c r="G34" s="19" t="s">
        <v>1872</v>
      </c>
      <c r="H34" s="19">
        <v>17</v>
      </c>
      <c r="I34" s="19">
        <v>1037.05</v>
      </c>
      <c r="J34" s="19">
        <v>17629.85</v>
      </c>
      <c r="L34" s="26" t="s">
        <v>1576</v>
      </c>
      <c r="M34" s="27"/>
      <c r="N34" s="27"/>
      <c r="O34" s="27"/>
      <c r="P34" s="28"/>
    </row>
    <row r="35" ht="15.25" spans="1:16">
      <c r="A35" s="18">
        <v>45231</v>
      </c>
      <c r="B35" s="19" t="s">
        <v>1892</v>
      </c>
      <c r="C35" s="19" t="s">
        <v>1906</v>
      </c>
      <c r="D35" s="19" t="s">
        <v>1862</v>
      </c>
      <c r="E35" s="19" t="s">
        <v>1858</v>
      </c>
      <c r="F35" s="19" t="s">
        <v>1868</v>
      </c>
      <c r="G35" s="19" t="s">
        <v>1917</v>
      </c>
      <c r="H35" s="19">
        <v>17</v>
      </c>
      <c r="I35" s="19">
        <v>2215.55</v>
      </c>
      <c r="J35" s="19">
        <v>37664.35</v>
      </c>
      <c r="L35" s="29" t="s">
        <v>1918</v>
      </c>
      <c r="M35" s="30"/>
      <c r="N35" s="30"/>
      <c r="O35" s="30"/>
      <c r="P35" s="31"/>
    </row>
    <row r="36" ht="15.25" spans="1:16">
      <c r="A36" s="18" t="s">
        <v>1919</v>
      </c>
      <c r="B36" s="19" t="s">
        <v>1892</v>
      </c>
      <c r="C36" s="19" t="s">
        <v>1864</v>
      </c>
      <c r="D36" s="19" t="s">
        <v>1857</v>
      </c>
      <c r="E36" s="19" t="s">
        <v>1858</v>
      </c>
      <c r="F36" s="19" t="s">
        <v>1865</v>
      </c>
      <c r="G36" s="19" t="s">
        <v>1920</v>
      </c>
      <c r="H36" s="19">
        <v>19</v>
      </c>
      <c r="I36" s="19">
        <v>1343.6</v>
      </c>
      <c r="J36" s="19">
        <v>25528.4</v>
      </c>
      <c r="L36" s="32"/>
      <c r="M36" s="33"/>
      <c r="N36" s="33"/>
      <c r="O36" s="33"/>
      <c r="P36" s="34"/>
    </row>
    <row r="37" ht="15.25" spans="1:16">
      <c r="A37" s="18">
        <v>45204</v>
      </c>
      <c r="B37" s="19" t="s">
        <v>1892</v>
      </c>
      <c r="C37" s="19" t="s">
        <v>1849</v>
      </c>
      <c r="D37" s="19" t="s">
        <v>1850</v>
      </c>
      <c r="E37" s="19" t="s">
        <v>1851</v>
      </c>
      <c r="F37" s="19" t="s">
        <v>1868</v>
      </c>
      <c r="G37" s="19" t="s">
        <v>1869</v>
      </c>
      <c r="H37" s="19">
        <v>8</v>
      </c>
      <c r="I37" s="19">
        <v>4455.43</v>
      </c>
      <c r="J37" s="19">
        <v>35643.44</v>
      </c>
      <c r="L37" s="35"/>
      <c r="M37" s="36"/>
      <c r="N37" s="36"/>
      <c r="O37" s="36"/>
      <c r="P37" s="37"/>
    </row>
    <row r="38" ht="15.25" spans="1:16">
      <c r="A38" s="18" t="s">
        <v>1921</v>
      </c>
      <c r="B38" s="19" t="s">
        <v>1878</v>
      </c>
      <c r="C38" s="19" t="s">
        <v>1626</v>
      </c>
      <c r="D38" s="19" t="s">
        <v>1857</v>
      </c>
      <c r="E38" s="19" t="s">
        <v>1858</v>
      </c>
      <c r="F38" s="19" t="s">
        <v>1859</v>
      </c>
      <c r="G38" s="19" t="s">
        <v>1922</v>
      </c>
      <c r="H38" s="19">
        <v>9</v>
      </c>
      <c r="I38" s="19">
        <v>3892.79</v>
      </c>
      <c r="J38" s="19">
        <v>35035.11</v>
      </c>
    </row>
    <row r="39" ht="15.25" spans="1:16">
      <c r="A39" s="18">
        <v>45089</v>
      </c>
      <c r="B39" s="19" t="s">
        <v>1878</v>
      </c>
      <c r="C39" s="19" t="s">
        <v>1903</v>
      </c>
      <c r="D39" s="19" t="s">
        <v>1884</v>
      </c>
      <c r="E39" s="19" t="s">
        <v>1895</v>
      </c>
      <c r="F39" s="19" t="s">
        <v>1876</v>
      </c>
      <c r="G39" s="19" t="s">
        <v>1883</v>
      </c>
      <c r="H39" s="19">
        <v>9</v>
      </c>
      <c r="I39" s="19">
        <v>4618.59</v>
      </c>
      <c r="J39" s="19">
        <v>41567.31</v>
      </c>
    </row>
    <row r="40" ht="15.25" spans="1:16">
      <c r="A40" s="18" t="s">
        <v>1923</v>
      </c>
      <c r="B40" s="19" t="s">
        <v>1889</v>
      </c>
      <c r="C40" s="19" t="s">
        <v>1906</v>
      </c>
      <c r="D40" s="19" t="s">
        <v>1862</v>
      </c>
      <c r="E40" s="19" t="s">
        <v>1858</v>
      </c>
      <c r="F40" s="19" t="s">
        <v>1865</v>
      </c>
      <c r="G40" s="19" t="s">
        <v>1920</v>
      </c>
      <c r="H40" s="19">
        <v>11</v>
      </c>
      <c r="I40" s="19">
        <v>3385.93</v>
      </c>
      <c r="J40" s="19">
        <v>37245.23</v>
      </c>
      <c r="L40" s="38" t="s">
        <v>1841</v>
      </c>
      <c r="M40" s="38" t="s">
        <v>1924</v>
      </c>
    </row>
    <row r="41" ht="15.25" spans="1:16">
      <c r="A41" s="18" t="s">
        <v>1925</v>
      </c>
      <c r="B41" s="19" t="s">
        <v>1878</v>
      </c>
      <c r="C41" s="19" t="s">
        <v>1610</v>
      </c>
      <c r="D41" s="19" t="s">
        <v>1879</v>
      </c>
      <c r="E41" s="19" t="s">
        <v>1851</v>
      </c>
      <c r="F41" s="19" t="s">
        <v>1859</v>
      </c>
      <c r="G41" s="19" t="s">
        <v>1872</v>
      </c>
      <c r="H41" s="19">
        <v>14</v>
      </c>
      <c r="I41" s="19">
        <v>2452.98</v>
      </c>
      <c r="J41" s="19">
        <v>34341.72</v>
      </c>
      <c r="L41" s="39" t="s">
        <v>1851</v>
      </c>
      <c r="M41" s="44">
        <f>SUMIF($E$2:$E$1001,L41,$H$2:$H$1001)</f>
        <v>4073</v>
      </c>
    </row>
    <row r="42" ht="15.25" spans="1:16">
      <c r="A42" s="18">
        <v>45024</v>
      </c>
      <c r="B42" s="19" t="s">
        <v>1848</v>
      </c>
      <c r="C42" s="19" t="s">
        <v>1602</v>
      </c>
      <c r="D42" s="19" t="s">
        <v>1862</v>
      </c>
      <c r="E42" s="19" t="s">
        <v>1858</v>
      </c>
      <c r="F42" s="19" t="s">
        <v>1876</v>
      </c>
      <c r="G42" s="19" t="s">
        <v>1877</v>
      </c>
      <c r="H42" s="19">
        <v>16</v>
      </c>
      <c r="I42" s="19">
        <v>695.96</v>
      </c>
      <c r="J42" s="19">
        <v>11135.36</v>
      </c>
      <c r="L42" s="39" t="s">
        <v>1858</v>
      </c>
      <c r="M42" s="44">
        <f>SUMIF($E$2:$E$1001,L42,$H$2:$H$1001)</f>
        <v>4434</v>
      </c>
    </row>
    <row r="43" ht="15.25" spans="1:16">
      <c r="A43" s="18">
        <v>44929</v>
      </c>
      <c r="B43" s="19" t="s">
        <v>1867</v>
      </c>
      <c r="C43" s="19" t="s">
        <v>1610</v>
      </c>
      <c r="D43" s="19" t="s">
        <v>1879</v>
      </c>
      <c r="E43" s="19" t="s">
        <v>1851</v>
      </c>
      <c r="F43" s="19" t="s">
        <v>1876</v>
      </c>
      <c r="G43" s="19" t="s">
        <v>1926</v>
      </c>
      <c r="H43" s="19">
        <v>1</v>
      </c>
      <c r="I43" s="19">
        <v>1979.54</v>
      </c>
      <c r="J43" s="19">
        <v>1979.54</v>
      </c>
      <c r="L43" s="39" t="s">
        <v>1895</v>
      </c>
      <c r="M43" s="44">
        <f>SUMIF($E$2:$E$1001,L43,$H$2:$H$1001)</f>
        <v>2067</v>
      </c>
    </row>
    <row r="44" ht="15.25" spans="1:16">
      <c r="A44" s="18" t="s">
        <v>1927</v>
      </c>
      <c r="B44" s="19" t="s">
        <v>1874</v>
      </c>
      <c r="C44" s="19" t="s">
        <v>1903</v>
      </c>
      <c r="D44" s="19" t="s">
        <v>1884</v>
      </c>
      <c r="E44" s="19" t="s">
        <v>1895</v>
      </c>
      <c r="F44" s="19" t="s">
        <v>1859</v>
      </c>
      <c r="G44" s="19" t="s">
        <v>1860</v>
      </c>
      <c r="H44" s="19">
        <v>9</v>
      </c>
      <c r="I44" s="19">
        <v>3727.82</v>
      </c>
      <c r="J44" s="19">
        <v>33550.38</v>
      </c>
      <c r="L44" s="38" t="s">
        <v>1887</v>
      </c>
      <c r="M44" s="38">
        <f>SUM(M41:M43)</f>
        <v>10574</v>
      </c>
    </row>
    <row r="45" ht="15.25" spans="1:16">
      <c r="A45" s="18" t="s">
        <v>1928</v>
      </c>
      <c r="B45" s="19" t="s">
        <v>1848</v>
      </c>
      <c r="C45" s="19" t="s">
        <v>1898</v>
      </c>
      <c r="D45" s="19" t="s">
        <v>1879</v>
      </c>
      <c r="E45" s="19" t="s">
        <v>1851</v>
      </c>
      <c r="F45" s="19" t="s">
        <v>1868</v>
      </c>
      <c r="G45" s="19" t="s">
        <v>1917</v>
      </c>
      <c r="H45" s="19">
        <v>1</v>
      </c>
      <c r="I45" s="19">
        <v>1495.61</v>
      </c>
      <c r="J45" s="19">
        <v>1495.61</v>
      </c>
    </row>
    <row r="46" ht="15.25" spans="1:16">
      <c r="A46" s="18" t="s">
        <v>1929</v>
      </c>
      <c r="B46" s="19" t="s">
        <v>1889</v>
      </c>
      <c r="C46" s="19" t="s">
        <v>1593</v>
      </c>
      <c r="D46" s="19" t="s">
        <v>1850</v>
      </c>
      <c r="E46" s="19" t="s">
        <v>1851</v>
      </c>
      <c r="F46" s="19" t="s">
        <v>1865</v>
      </c>
      <c r="G46" s="19" t="s">
        <v>1886</v>
      </c>
      <c r="H46" s="19">
        <v>18</v>
      </c>
      <c r="I46" s="19">
        <v>1928.15</v>
      </c>
      <c r="J46" s="19">
        <v>34706.7</v>
      </c>
    </row>
    <row r="47" ht="15.25" spans="1:16">
      <c r="A47" s="18">
        <v>45019</v>
      </c>
      <c r="B47" s="19" t="s">
        <v>1871</v>
      </c>
      <c r="C47" s="19" t="s">
        <v>1593</v>
      </c>
      <c r="D47" s="19" t="s">
        <v>1850</v>
      </c>
      <c r="E47" s="19" t="s">
        <v>1851</v>
      </c>
      <c r="F47" s="19" t="s">
        <v>1859</v>
      </c>
      <c r="G47" s="19" t="s">
        <v>1872</v>
      </c>
      <c r="H47" s="19">
        <v>1</v>
      </c>
      <c r="I47" s="19">
        <v>4192.39</v>
      </c>
      <c r="J47" s="19">
        <v>4192.39</v>
      </c>
      <c r="L47" s="26" t="s">
        <v>1578</v>
      </c>
      <c r="M47" s="27"/>
      <c r="N47" s="27"/>
      <c r="O47" s="27"/>
      <c r="P47" s="28"/>
    </row>
    <row r="48" ht="15.25" spans="1:16">
      <c r="A48" s="18">
        <v>45018</v>
      </c>
      <c r="B48" s="19" t="s">
        <v>1889</v>
      </c>
      <c r="C48" s="19" t="s">
        <v>1626</v>
      </c>
      <c r="D48" s="19" t="s">
        <v>1857</v>
      </c>
      <c r="E48" s="19" t="s">
        <v>1858</v>
      </c>
      <c r="F48" s="19" t="s">
        <v>1876</v>
      </c>
      <c r="G48" s="19" t="s">
        <v>1930</v>
      </c>
      <c r="H48" s="19">
        <v>7</v>
      </c>
      <c r="I48" s="19">
        <v>4988.71</v>
      </c>
      <c r="J48" s="19">
        <v>34920.97</v>
      </c>
      <c r="L48" s="29" t="s">
        <v>1931</v>
      </c>
      <c r="M48" s="30"/>
      <c r="N48" s="30"/>
      <c r="O48" s="30"/>
      <c r="P48" s="31"/>
    </row>
    <row r="49" ht="15.25" spans="1:16">
      <c r="A49" s="18" t="s">
        <v>1932</v>
      </c>
      <c r="B49" s="19" t="s">
        <v>1878</v>
      </c>
      <c r="C49" s="19" t="s">
        <v>1906</v>
      </c>
      <c r="D49" s="19" t="s">
        <v>1862</v>
      </c>
      <c r="E49" s="19" t="s">
        <v>1858</v>
      </c>
      <c r="F49" s="19" t="s">
        <v>1865</v>
      </c>
      <c r="G49" s="19" t="s">
        <v>1886</v>
      </c>
      <c r="H49" s="19">
        <v>9</v>
      </c>
      <c r="I49" s="19">
        <v>1328.13</v>
      </c>
      <c r="J49" s="19">
        <v>11953.17</v>
      </c>
      <c r="L49" s="32"/>
      <c r="M49" s="33"/>
      <c r="N49" s="33"/>
      <c r="O49" s="33"/>
      <c r="P49" s="34"/>
    </row>
    <row r="50" ht="15.25" spans="1:16">
      <c r="A50" s="18" t="s">
        <v>1933</v>
      </c>
      <c r="B50" s="19" t="s">
        <v>1889</v>
      </c>
      <c r="C50" s="19" t="s">
        <v>1598</v>
      </c>
      <c r="D50" s="19" t="s">
        <v>1850</v>
      </c>
      <c r="E50" s="19" t="s">
        <v>1851</v>
      </c>
      <c r="F50" s="19" t="s">
        <v>1852</v>
      </c>
      <c r="G50" s="19" t="s">
        <v>1934</v>
      </c>
      <c r="H50" s="19">
        <v>9</v>
      </c>
      <c r="I50" s="19">
        <v>722.44</v>
      </c>
      <c r="J50" s="19">
        <v>6501.96</v>
      </c>
      <c r="L50" s="35"/>
      <c r="M50" s="36"/>
      <c r="N50" s="36"/>
      <c r="O50" s="36"/>
      <c r="P50" s="37"/>
    </row>
    <row r="51" ht="15.25" spans="1:16">
      <c r="A51" s="18" t="s">
        <v>1935</v>
      </c>
      <c r="B51" s="19" t="s">
        <v>1861</v>
      </c>
      <c r="C51" s="19" t="s">
        <v>1849</v>
      </c>
      <c r="D51" s="19" t="s">
        <v>1850</v>
      </c>
      <c r="E51" s="19" t="s">
        <v>1851</v>
      </c>
      <c r="F51" s="19" t="s">
        <v>1865</v>
      </c>
      <c r="G51" s="19" t="s">
        <v>1886</v>
      </c>
      <c r="H51" s="19">
        <v>2</v>
      </c>
      <c r="I51" s="19">
        <v>4726.06</v>
      </c>
      <c r="J51" s="19">
        <v>9452.12</v>
      </c>
    </row>
    <row r="52" ht="15.25" spans="1:16">
      <c r="A52" s="18">
        <v>45079</v>
      </c>
      <c r="B52" s="19" t="s">
        <v>1878</v>
      </c>
      <c r="C52" s="19" t="s">
        <v>1602</v>
      </c>
      <c r="D52" s="19" t="s">
        <v>1862</v>
      </c>
      <c r="E52" s="19" t="s">
        <v>1858</v>
      </c>
      <c r="F52" s="19" t="s">
        <v>1865</v>
      </c>
      <c r="G52" s="19" t="s">
        <v>1890</v>
      </c>
      <c r="H52" s="19">
        <v>3</v>
      </c>
      <c r="I52" s="19">
        <v>2263.47</v>
      </c>
      <c r="J52" s="19">
        <v>6790.41</v>
      </c>
    </row>
    <row r="53" ht="15.25" spans="1:16">
      <c r="A53" s="18" t="s">
        <v>1936</v>
      </c>
      <c r="B53" s="19" t="s">
        <v>1861</v>
      </c>
      <c r="C53" s="19" t="s">
        <v>1875</v>
      </c>
      <c r="D53" s="19" t="s">
        <v>1862</v>
      </c>
      <c r="E53" s="19" t="s">
        <v>1858</v>
      </c>
      <c r="F53" s="19" t="s">
        <v>1852</v>
      </c>
      <c r="G53" s="19" t="s">
        <v>1910</v>
      </c>
      <c r="H53" s="19">
        <v>20</v>
      </c>
      <c r="I53" s="19">
        <v>4365.58</v>
      </c>
      <c r="J53" s="19">
        <v>87311.6</v>
      </c>
      <c r="L53" s="38" t="s">
        <v>1937</v>
      </c>
      <c r="M53" s="45" t="s">
        <v>1851</v>
      </c>
      <c r="N53" s="45" t="s">
        <v>1858</v>
      </c>
      <c r="O53" s="45" t="s">
        <v>1895</v>
      </c>
      <c r="P53" s="38" t="s">
        <v>1887</v>
      </c>
    </row>
    <row r="54" ht="15.25" spans="1:16">
      <c r="A54" s="18" t="s">
        <v>1938</v>
      </c>
      <c r="B54" s="19" t="s">
        <v>1892</v>
      </c>
      <c r="C54" s="19" t="s">
        <v>1589</v>
      </c>
      <c r="D54" s="19" t="s">
        <v>1884</v>
      </c>
      <c r="E54" s="19" t="s">
        <v>1895</v>
      </c>
      <c r="F54" s="19" t="s">
        <v>1876</v>
      </c>
      <c r="G54" s="19" t="s">
        <v>1877</v>
      </c>
      <c r="H54" s="19">
        <v>20</v>
      </c>
      <c r="I54" s="19">
        <v>3925.65</v>
      </c>
      <c r="J54" s="19">
        <v>78513</v>
      </c>
      <c r="L54" s="46" t="s">
        <v>1853</v>
      </c>
      <c r="M54" s="47">
        <f>SUMIFS($H$2:$H$1001,$G$2:$G$1001,$L54,$E$2:$E$1001,M$53)</f>
        <v>195</v>
      </c>
      <c r="N54" s="47">
        <f t="shared" ref="N54:N73" si="1">SUMIFS($H$2:$H$1001,$G$2:$G$1001,$L54,$E$2:$E$1001,N$53)</f>
        <v>126</v>
      </c>
      <c r="O54" s="47">
        <f t="shared" ref="O54:O73" si="2">SUMIFS($H$2:$H$1001,$G$2:$G$1001,$L54,$E$2:$E$1001,O$53)</f>
        <v>122</v>
      </c>
      <c r="P54" s="38">
        <f>SUM(M54:O54)</f>
        <v>443</v>
      </c>
    </row>
    <row r="55" ht="15.25" spans="1:16">
      <c r="A55" s="18">
        <v>44995</v>
      </c>
      <c r="B55" s="19" t="s">
        <v>1855</v>
      </c>
      <c r="C55" s="19" t="s">
        <v>1626</v>
      </c>
      <c r="D55" s="19" t="s">
        <v>1857</v>
      </c>
      <c r="E55" s="19" t="s">
        <v>1858</v>
      </c>
      <c r="F55" s="19" t="s">
        <v>1852</v>
      </c>
      <c r="G55" s="19" t="s">
        <v>1934</v>
      </c>
      <c r="H55" s="19">
        <v>3</v>
      </c>
      <c r="I55" s="19">
        <v>3613.98</v>
      </c>
      <c r="J55" s="19">
        <v>10841.94</v>
      </c>
      <c r="L55" s="46" t="s">
        <v>1860</v>
      </c>
      <c r="M55" s="47">
        <f t="shared" ref="M55:M73" si="3">SUMIFS($H$2:$H$1001,$G$2:$G$1001,$L55,$E$2:$E$1001,M$53)</f>
        <v>299</v>
      </c>
      <c r="N55" s="47">
        <f t="shared" si="1"/>
        <v>227</v>
      </c>
      <c r="O55" s="47">
        <f t="shared" si="2"/>
        <v>100</v>
      </c>
      <c r="P55" s="38">
        <f t="shared" ref="P55:P74" si="4">SUM(M55:O55)</f>
        <v>626</v>
      </c>
    </row>
    <row r="56" ht="15.25" spans="1:16">
      <c r="A56" s="18">
        <v>45236</v>
      </c>
      <c r="B56" s="19" t="s">
        <v>1889</v>
      </c>
      <c r="C56" s="19" t="s">
        <v>1593</v>
      </c>
      <c r="D56" s="19" t="s">
        <v>1850</v>
      </c>
      <c r="E56" s="19" t="s">
        <v>1851</v>
      </c>
      <c r="F56" s="19" t="s">
        <v>1859</v>
      </c>
      <c r="G56" s="19" t="s">
        <v>1922</v>
      </c>
      <c r="H56" s="19">
        <v>7</v>
      </c>
      <c r="I56" s="19">
        <v>2483.54</v>
      </c>
      <c r="J56" s="19">
        <v>17384.78</v>
      </c>
      <c r="L56" s="46" t="s">
        <v>1866</v>
      </c>
      <c r="M56" s="47">
        <f t="shared" si="3"/>
        <v>333</v>
      </c>
      <c r="N56" s="47">
        <f t="shared" si="1"/>
        <v>218</v>
      </c>
      <c r="O56" s="47">
        <f t="shared" si="2"/>
        <v>94</v>
      </c>
      <c r="P56" s="38">
        <f t="shared" si="4"/>
        <v>645</v>
      </c>
    </row>
    <row r="57" ht="15.25" spans="1:16">
      <c r="A57" s="18">
        <v>44967</v>
      </c>
      <c r="B57" s="19" t="s">
        <v>1871</v>
      </c>
      <c r="C57" s="19" t="s">
        <v>1894</v>
      </c>
      <c r="D57" s="19" t="s">
        <v>1884</v>
      </c>
      <c r="E57" s="19" t="s">
        <v>1895</v>
      </c>
      <c r="F57" s="19" t="s">
        <v>1852</v>
      </c>
      <c r="G57" s="19" t="s">
        <v>1934</v>
      </c>
      <c r="H57" s="19">
        <v>14</v>
      </c>
      <c r="I57" s="19">
        <v>2145.21</v>
      </c>
      <c r="J57" s="19">
        <v>30032.94</v>
      </c>
      <c r="L57" s="46" t="s">
        <v>1869</v>
      </c>
      <c r="M57" s="47">
        <f t="shared" si="3"/>
        <v>212</v>
      </c>
      <c r="N57" s="47">
        <f t="shared" si="1"/>
        <v>170</v>
      </c>
      <c r="O57" s="47">
        <f t="shared" si="2"/>
        <v>82</v>
      </c>
      <c r="P57" s="38">
        <f t="shared" si="4"/>
        <v>464</v>
      </c>
    </row>
    <row r="58" ht="15.25" spans="1:16">
      <c r="A58" s="18" t="s">
        <v>1939</v>
      </c>
      <c r="B58" s="19" t="s">
        <v>1889</v>
      </c>
      <c r="C58" s="19" t="s">
        <v>1906</v>
      </c>
      <c r="D58" s="19" t="s">
        <v>1862</v>
      </c>
      <c r="E58" s="19" t="s">
        <v>1858</v>
      </c>
      <c r="F58" s="19" t="s">
        <v>1876</v>
      </c>
      <c r="G58" s="19" t="s">
        <v>1926</v>
      </c>
      <c r="H58" s="19">
        <v>8</v>
      </c>
      <c r="I58" s="19">
        <v>4997.45</v>
      </c>
      <c r="J58" s="19">
        <v>39979.6</v>
      </c>
      <c r="L58" s="46" t="s">
        <v>1872</v>
      </c>
      <c r="M58" s="47">
        <f t="shared" si="3"/>
        <v>221</v>
      </c>
      <c r="N58" s="47">
        <f t="shared" si="1"/>
        <v>196</v>
      </c>
      <c r="O58" s="47">
        <f t="shared" si="2"/>
        <v>102</v>
      </c>
      <c r="P58" s="38">
        <f t="shared" si="4"/>
        <v>519</v>
      </c>
    </row>
    <row r="59" ht="15.25" spans="1:16">
      <c r="A59" s="18">
        <v>45176</v>
      </c>
      <c r="B59" s="19" t="s">
        <v>1892</v>
      </c>
      <c r="C59" s="19" t="s">
        <v>1610</v>
      </c>
      <c r="D59" s="19" t="s">
        <v>1879</v>
      </c>
      <c r="E59" s="19" t="s">
        <v>1851</v>
      </c>
      <c r="F59" s="19" t="s">
        <v>1876</v>
      </c>
      <c r="G59" s="19" t="s">
        <v>1883</v>
      </c>
      <c r="H59" s="19">
        <v>3</v>
      </c>
      <c r="I59" s="19">
        <v>1753.98</v>
      </c>
      <c r="J59" s="19">
        <v>5261.94</v>
      </c>
      <c r="L59" s="46" t="s">
        <v>1877</v>
      </c>
      <c r="M59" s="47">
        <f t="shared" si="3"/>
        <v>136</v>
      </c>
      <c r="N59" s="47">
        <f t="shared" si="1"/>
        <v>289</v>
      </c>
      <c r="O59" s="47">
        <f t="shared" si="2"/>
        <v>113</v>
      </c>
      <c r="P59" s="38">
        <f t="shared" si="4"/>
        <v>538</v>
      </c>
    </row>
    <row r="60" ht="15.25" spans="1:16">
      <c r="A60" s="18" t="s">
        <v>1940</v>
      </c>
      <c r="B60" s="19" t="s">
        <v>1874</v>
      </c>
      <c r="C60" s="19" t="s">
        <v>1875</v>
      </c>
      <c r="D60" s="19" t="s">
        <v>1862</v>
      </c>
      <c r="E60" s="19" t="s">
        <v>1858</v>
      </c>
      <c r="F60" s="19" t="s">
        <v>1876</v>
      </c>
      <c r="G60" s="19" t="s">
        <v>1926</v>
      </c>
      <c r="H60" s="19">
        <v>2</v>
      </c>
      <c r="I60" s="19">
        <v>1207.92</v>
      </c>
      <c r="J60" s="19">
        <v>2415.84</v>
      </c>
      <c r="L60" s="46" t="s">
        <v>1883</v>
      </c>
      <c r="M60" s="47">
        <f t="shared" si="3"/>
        <v>224</v>
      </c>
      <c r="N60" s="47">
        <f t="shared" si="1"/>
        <v>161</v>
      </c>
      <c r="O60" s="47">
        <f t="shared" si="2"/>
        <v>76</v>
      </c>
      <c r="P60" s="38">
        <f t="shared" si="4"/>
        <v>461</v>
      </c>
    </row>
    <row r="61" ht="15.25" spans="1:16">
      <c r="A61" s="18">
        <v>45202</v>
      </c>
      <c r="B61" s="19" t="s">
        <v>1867</v>
      </c>
      <c r="C61" s="19" t="s">
        <v>1598</v>
      </c>
      <c r="D61" s="19" t="s">
        <v>1850</v>
      </c>
      <c r="E61" s="19" t="s">
        <v>1851</v>
      </c>
      <c r="F61" s="19" t="s">
        <v>1876</v>
      </c>
      <c r="G61" s="19" t="s">
        <v>1930</v>
      </c>
      <c r="H61" s="19">
        <v>13</v>
      </c>
      <c r="I61" s="19">
        <v>4196.33</v>
      </c>
      <c r="J61" s="19">
        <v>54552.29</v>
      </c>
      <c r="L61" s="46" t="s">
        <v>1886</v>
      </c>
      <c r="M61" s="47">
        <f t="shared" si="3"/>
        <v>240</v>
      </c>
      <c r="N61" s="47">
        <f t="shared" si="1"/>
        <v>187</v>
      </c>
      <c r="O61" s="47">
        <f t="shared" si="2"/>
        <v>117</v>
      </c>
      <c r="P61" s="38">
        <f t="shared" si="4"/>
        <v>544</v>
      </c>
    </row>
    <row r="62" ht="15.25" spans="1:16">
      <c r="A62" s="18">
        <v>44990</v>
      </c>
      <c r="B62" s="19" t="s">
        <v>1902</v>
      </c>
      <c r="C62" s="19" t="s">
        <v>1941</v>
      </c>
      <c r="D62" s="19" t="s">
        <v>1879</v>
      </c>
      <c r="E62" s="19" t="s">
        <v>1851</v>
      </c>
      <c r="F62" s="19" t="s">
        <v>1859</v>
      </c>
      <c r="G62" s="19" t="s">
        <v>1860</v>
      </c>
      <c r="H62" s="19">
        <v>18</v>
      </c>
      <c r="I62" s="19">
        <v>1310.78</v>
      </c>
      <c r="J62" s="19">
        <v>23594.04</v>
      </c>
      <c r="L62" s="46" t="s">
        <v>1890</v>
      </c>
      <c r="M62" s="47">
        <f t="shared" si="3"/>
        <v>205</v>
      </c>
      <c r="N62" s="47">
        <f t="shared" si="1"/>
        <v>246</v>
      </c>
      <c r="O62" s="47">
        <f t="shared" si="2"/>
        <v>100</v>
      </c>
      <c r="P62" s="38">
        <f t="shared" si="4"/>
        <v>551</v>
      </c>
    </row>
    <row r="63" ht="15.25" spans="1:16">
      <c r="A63" s="18" t="s">
        <v>1942</v>
      </c>
      <c r="B63" s="19" t="s">
        <v>1892</v>
      </c>
      <c r="C63" s="19" t="s">
        <v>1598</v>
      </c>
      <c r="D63" s="19" t="s">
        <v>1850</v>
      </c>
      <c r="E63" s="19" t="s">
        <v>1851</v>
      </c>
      <c r="F63" s="19" t="s">
        <v>1852</v>
      </c>
      <c r="G63" s="19" t="s">
        <v>1934</v>
      </c>
      <c r="H63" s="19">
        <v>20</v>
      </c>
      <c r="I63" s="19">
        <v>2142.9</v>
      </c>
      <c r="J63" s="19">
        <v>42858</v>
      </c>
      <c r="L63" s="46" t="s">
        <v>1899</v>
      </c>
      <c r="M63" s="47">
        <f t="shared" si="3"/>
        <v>149</v>
      </c>
      <c r="N63" s="47">
        <f t="shared" si="1"/>
        <v>193</v>
      </c>
      <c r="O63" s="47">
        <f t="shared" si="2"/>
        <v>93</v>
      </c>
      <c r="P63" s="38">
        <f t="shared" si="4"/>
        <v>435</v>
      </c>
    </row>
    <row r="64" ht="15.25" spans="1:16">
      <c r="A64" s="18">
        <v>44997</v>
      </c>
      <c r="B64" s="19" t="s">
        <v>1902</v>
      </c>
      <c r="C64" s="19" t="s">
        <v>1589</v>
      </c>
      <c r="D64" s="19" t="s">
        <v>1884</v>
      </c>
      <c r="E64" s="19" t="s">
        <v>1895</v>
      </c>
      <c r="F64" s="19" t="s">
        <v>1876</v>
      </c>
      <c r="G64" s="19" t="s">
        <v>1930</v>
      </c>
      <c r="H64" s="19">
        <v>19</v>
      </c>
      <c r="I64" s="19">
        <v>1359.7</v>
      </c>
      <c r="J64" s="19">
        <v>25834.3</v>
      </c>
      <c r="L64" s="46" t="s">
        <v>1907</v>
      </c>
      <c r="M64" s="47">
        <f t="shared" si="3"/>
        <v>166</v>
      </c>
      <c r="N64" s="47">
        <f t="shared" si="1"/>
        <v>286</v>
      </c>
      <c r="O64" s="47">
        <f t="shared" si="2"/>
        <v>141</v>
      </c>
      <c r="P64" s="38">
        <f t="shared" si="4"/>
        <v>593</v>
      </c>
    </row>
    <row r="65" ht="15.25" spans="1:16">
      <c r="A65" s="18" t="s">
        <v>1943</v>
      </c>
      <c r="B65" s="19" t="s">
        <v>1848</v>
      </c>
      <c r="C65" s="19" t="s">
        <v>1906</v>
      </c>
      <c r="D65" s="19" t="s">
        <v>1862</v>
      </c>
      <c r="E65" s="19" t="s">
        <v>1858</v>
      </c>
      <c r="F65" s="19" t="s">
        <v>1852</v>
      </c>
      <c r="G65" s="19" t="s">
        <v>1934</v>
      </c>
      <c r="H65" s="19">
        <v>16</v>
      </c>
      <c r="I65" s="19">
        <v>4896.07</v>
      </c>
      <c r="J65" s="19">
        <v>78337.12</v>
      </c>
      <c r="L65" s="46" t="s">
        <v>1910</v>
      </c>
      <c r="M65" s="47">
        <f t="shared" si="3"/>
        <v>269</v>
      </c>
      <c r="N65" s="47">
        <f t="shared" si="1"/>
        <v>201</v>
      </c>
      <c r="O65" s="47">
        <f t="shared" si="2"/>
        <v>98</v>
      </c>
      <c r="P65" s="38">
        <f t="shared" si="4"/>
        <v>568</v>
      </c>
    </row>
    <row r="66" ht="15.25" spans="1:16">
      <c r="A66" s="18" t="s">
        <v>1944</v>
      </c>
      <c r="B66" s="19" t="s">
        <v>1871</v>
      </c>
      <c r="C66" s="19" t="s">
        <v>1602</v>
      </c>
      <c r="D66" s="19" t="s">
        <v>1862</v>
      </c>
      <c r="E66" s="19" t="s">
        <v>1858</v>
      </c>
      <c r="F66" s="19" t="s">
        <v>1859</v>
      </c>
      <c r="G66" s="19" t="s">
        <v>1922</v>
      </c>
      <c r="H66" s="19">
        <v>8</v>
      </c>
      <c r="I66" s="19">
        <v>4216.03</v>
      </c>
      <c r="J66" s="19">
        <v>33728.24</v>
      </c>
      <c r="L66" s="46" t="s">
        <v>1917</v>
      </c>
      <c r="M66" s="47">
        <f t="shared" si="3"/>
        <v>140</v>
      </c>
      <c r="N66" s="47">
        <f t="shared" si="1"/>
        <v>269</v>
      </c>
      <c r="O66" s="47">
        <f t="shared" si="2"/>
        <v>49</v>
      </c>
      <c r="P66" s="38">
        <f t="shared" si="4"/>
        <v>458</v>
      </c>
    </row>
    <row r="67" ht="15.25" spans="1:16">
      <c r="A67" s="18">
        <v>45054</v>
      </c>
      <c r="B67" s="19" t="s">
        <v>1867</v>
      </c>
      <c r="C67" s="19" t="s">
        <v>1598</v>
      </c>
      <c r="D67" s="19" t="s">
        <v>1850</v>
      </c>
      <c r="E67" s="19" t="s">
        <v>1851</v>
      </c>
      <c r="F67" s="19" t="s">
        <v>1868</v>
      </c>
      <c r="G67" s="19" t="s">
        <v>1899</v>
      </c>
      <c r="H67" s="19">
        <v>14</v>
      </c>
      <c r="I67" s="19">
        <v>2134.06</v>
      </c>
      <c r="J67" s="19">
        <v>29876.84</v>
      </c>
      <c r="L67" s="46" t="s">
        <v>1920</v>
      </c>
      <c r="M67" s="47">
        <f t="shared" si="3"/>
        <v>124</v>
      </c>
      <c r="N67" s="47">
        <f t="shared" si="1"/>
        <v>309</v>
      </c>
      <c r="O67" s="47">
        <f t="shared" si="2"/>
        <v>79</v>
      </c>
      <c r="P67" s="38">
        <f t="shared" si="4"/>
        <v>512</v>
      </c>
    </row>
    <row r="68" ht="15.25" spans="1:16">
      <c r="A68" s="18" t="s">
        <v>1945</v>
      </c>
      <c r="B68" s="19" t="s">
        <v>1902</v>
      </c>
      <c r="C68" s="19" t="s">
        <v>1894</v>
      </c>
      <c r="D68" s="19" t="s">
        <v>1884</v>
      </c>
      <c r="E68" s="19" t="s">
        <v>1895</v>
      </c>
      <c r="F68" s="19" t="s">
        <v>1852</v>
      </c>
      <c r="G68" s="19" t="s">
        <v>1910</v>
      </c>
      <c r="H68" s="19">
        <v>6</v>
      </c>
      <c r="I68" s="19">
        <v>1523.33</v>
      </c>
      <c r="J68" s="19">
        <v>9139.98</v>
      </c>
      <c r="L68" s="46" t="s">
        <v>1922</v>
      </c>
      <c r="M68" s="47">
        <f t="shared" si="3"/>
        <v>179</v>
      </c>
      <c r="N68" s="47">
        <f t="shared" si="1"/>
        <v>258</v>
      </c>
      <c r="O68" s="47">
        <f t="shared" si="2"/>
        <v>162</v>
      </c>
      <c r="P68" s="38">
        <f t="shared" si="4"/>
        <v>599</v>
      </c>
    </row>
    <row r="69" ht="15.25" spans="1:16">
      <c r="A69" s="18" t="s">
        <v>1946</v>
      </c>
      <c r="B69" s="19" t="s">
        <v>1861</v>
      </c>
      <c r="C69" s="19" t="s">
        <v>1864</v>
      </c>
      <c r="D69" s="19" t="s">
        <v>1857</v>
      </c>
      <c r="E69" s="19" t="s">
        <v>1858</v>
      </c>
      <c r="F69" s="19" t="s">
        <v>1868</v>
      </c>
      <c r="G69" s="19" t="s">
        <v>1869</v>
      </c>
      <c r="H69" s="19">
        <v>13</v>
      </c>
      <c r="I69" s="19">
        <v>646.63</v>
      </c>
      <c r="J69" s="19">
        <v>8406.19</v>
      </c>
      <c r="L69" s="46" t="s">
        <v>1926</v>
      </c>
      <c r="M69" s="47">
        <f t="shared" si="3"/>
        <v>241</v>
      </c>
      <c r="N69" s="47">
        <f t="shared" si="1"/>
        <v>205</v>
      </c>
      <c r="O69" s="47">
        <f t="shared" si="2"/>
        <v>178</v>
      </c>
      <c r="P69" s="38">
        <f t="shared" si="4"/>
        <v>624</v>
      </c>
    </row>
    <row r="70" ht="15.25" spans="1:16">
      <c r="A70" s="18" t="s">
        <v>1927</v>
      </c>
      <c r="B70" s="19" t="s">
        <v>1874</v>
      </c>
      <c r="C70" s="19" t="s">
        <v>1906</v>
      </c>
      <c r="D70" s="19" t="s">
        <v>1862</v>
      </c>
      <c r="E70" s="19" t="s">
        <v>1858</v>
      </c>
      <c r="F70" s="19" t="s">
        <v>1859</v>
      </c>
      <c r="G70" s="19" t="s">
        <v>1947</v>
      </c>
      <c r="H70" s="19">
        <v>4</v>
      </c>
      <c r="I70" s="19">
        <v>4965.34</v>
      </c>
      <c r="J70" s="19">
        <v>19861.36</v>
      </c>
      <c r="L70" s="46" t="s">
        <v>1930</v>
      </c>
      <c r="M70" s="47">
        <f t="shared" si="3"/>
        <v>150</v>
      </c>
      <c r="N70" s="47">
        <f t="shared" si="1"/>
        <v>146</v>
      </c>
      <c r="O70" s="47">
        <f t="shared" si="2"/>
        <v>105</v>
      </c>
      <c r="P70" s="38">
        <f t="shared" si="4"/>
        <v>401</v>
      </c>
    </row>
    <row r="71" ht="15.25" spans="1:16">
      <c r="A71" s="18" t="s">
        <v>1948</v>
      </c>
      <c r="B71" s="19" t="s">
        <v>1889</v>
      </c>
      <c r="C71" s="19" t="s">
        <v>1598</v>
      </c>
      <c r="D71" s="19" t="s">
        <v>1850</v>
      </c>
      <c r="E71" s="19" t="s">
        <v>1851</v>
      </c>
      <c r="F71" s="19" t="s">
        <v>1859</v>
      </c>
      <c r="G71" s="19" t="s">
        <v>1872</v>
      </c>
      <c r="H71" s="19">
        <v>14</v>
      </c>
      <c r="I71" s="19">
        <v>2883.11</v>
      </c>
      <c r="J71" s="19">
        <v>40363.54</v>
      </c>
      <c r="L71" s="46" t="s">
        <v>1934</v>
      </c>
      <c r="M71" s="47">
        <f t="shared" si="3"/>
        <v>216</v>
      </c>
      <c r="N71" s="47">
        <f t="shared" si="1"/>
        <v>272</v>
      </c>
      <c r="O71" s="47">
        <f t="shared" si="2"/>
        <v>141</v>
      </c>
      <c r="P71" s="38">
        <f t="shared" si="4"/>
        <v>629</v>
      </c>
    </row>
    <row r="72" ht="15.25" spans="1:16">
      <c r="A72" s="18" t="s">
        <v>1949</v>
      </c>
      <c r="B72" s="19" t="s">
        <v>1871</v>
      </c>
      <c r="C72" s="19" t="s">
        <v>1903</v>
      </c>
      <c r="D72" s="19" t="s">
        <v>1884</v>
      </c>
      <c r="E72" s="19" t="s">
        <v>1895</v>
      </c>
      <c r="F72" s="19" t="s">
        <v>1868</v>
      </c>
      <c r="G72" s="19" t="s">
        <v>1899</v>
      </c>
      <c r="H72" s="19">
        <v>9</v>
      </c>
      <c r="I72" s="19">
        <v>2819.87</v>
      </c>
      <c r="J72" s="19">
        <v>25378.83</v>
      </c>
      <c r="L72" s="46" t="s">
        <v>1947</v>
      </c>
      <c r="M72" s="47">
        <f t="shared" si="3"/>
        <v>188</v>
      </c>
      <c r="N72" s="47">
        <f t="shared" si="1"/>
        <v>212</v>
      </c>
      <c r="O72" s="47">
        <f t="shared" si="2"/>
        <v>42</v>
      </c>
      <c r="P72" s="38">
        <f t="shared" si="4"/>
        <v>442</v>
      </c>
    </row>
    <row r="73" ht="15.25" spans="1:16">
      <c r="A73" s="18" t="s">
        <v>1881</v>
      </c>
      <c r="B73" s="19" t="s">
        <v>1867</v>
      </c>
      <c r="C73" s="19" t="s">
        <v>1593</v>
      </c>
      <c r="D73" s="19" t="s">
        <v>1850</v>
      </c>
      <c r="E73" s="19" t="s">
        <v>1851</v>
      </c>
      <c r="F73" s="19" t="s">
        <v>1865</v>
      </c>
      <c r="G73" s="19" t="s">
        <v>1866</v>
      </c>
      <c r="H73" s="19">
        <v>12</v>
      </c>
      <c r="I73" s="19">
        <v>3961.23</v>
      </c>
      <c r="J73" s="19">
        <v>47534.76</v>
      </c>
      <c r="L73" s="46" t="s">
        <v>1950</v>
      </c>
      <c r="M73" s="47">
        <f t="shared" si="3"/>
        <v>186</v>
      </c>
      <c r="N73" s="47">
        <f t="shared" si="1"/>
        <v>263</v>
      </c>
      <c r="O73" s="47">
        <f t="shared" si="2"/>
        <v>73</v>
      </c>
      <c r="P73" s="38">
        <f t="shared" si="4"/>
        <v>522</v>
      </c>
    </row>
    <row r="74" ht="15.25" spans="1:16">
      <c r="A74" s="18">
        <v>44960</v>
      </c>
      <c r="B74" s="19" t="s">
        <v>1874</v>
      </c>
      <c r="C74" s="19" t="s">
        <v>1864</v>
      </c>
      <c r="D74" s="19" t="s">
        <v>1857</v>
      </c>
      <c r="E74" s="19" t="s">
        <v>1858</v>
      </c>
      <c r="F74" s="19" t="s">
        <v>1865</v>
      </c>
      <c r="G74" s="19" t="s">
        <v>1866</v>
      </c>
      <c r="H74" s="19">
        <v>15</v>
      </c>
      <c r="I74" s="19">
        <v>2194.72</v>
      </c>
      <c r="J74" s="19">
        <v>32920.8</v>
      </c>
      <c r="L74" s="38" t="s">
        <v>1887</v>
      </c>
      <c r="M74" s="38">
        <f>SUM(M54:M73)</f>
        <v>4073</v>
      </c>
      <c r="N74" s="38">
        <f>SUM(N54:N73)</f>
        <v>4434</v>
      </c>
      <c r="O74" s="38">
        <f>SUM(O54:O73)</f>
        <v>2067</v>
      </c>
      <c r="P74" s="38">
        <f t="shared" si="4"/>
        <v>10574</v>
      </c>
    </row>
    <row r="75" ht="15.25" spans="1:16">
      <c r="A75" s="18" t="s">
        <v>1951</v>
      </c>
      <c r="B75" s="19" t="s">
        <v>1871</v>
      </c>
      <c r="C75" s="19" t="s">
        <v>1875</v>
      </c>
      <c r="D75" s="19" t="s">
        <v>1862</v>
      </c>
      <c r="E75" s="19" t="s">
        <v>1858</v>
      </c>
      <c r="F75" s="19" t="s">
        <v>1876</v>
      </c>
      <c r="G75" s="19" t="s">
        <v>1926</v>
      </c>
      <c r="H75" s="19">
        <v>5</v>
      </c>
      <c r="I75" s="19">
        <v>3058.74</v>
      </c>
      <c r="J75" s="19">
        <v>15293.7</v>
      </c>
    </row>
    <row r="76" ht="15.25" spans="1:16">
      <c r="A76" s="18">
        <v>45211</v>
      </c>
      <c r="B76" s="19" t="s">
        <v>1878</v>
      </c>
      <c r="C76" s="19" t="s">
        <v>1593</v>
      </c>
      <c r="D76" s="19" t="s">
        <v>1850</v>
      </c>
      <c r="E76" s="19" t="s">
        <v>1851</v>
      </c>
      <c r="F76" s="19" t="s">
        <v>1865</v>
      </c>
      <c r="G76" s="19" t="s">
        <v>1866</v>
      </c>
      <c r="H76" s="19">
        <v>11</v>
      </c>
      <c r="I76" s="19">
        <v>827.59</v>
      </c>
      <c r="J76" s="19">
        <v>9103.49</v>
      </c>
    </row>
    <row r="77" ht="15.25" spans="1:16">
      <c r="A77" s="18" t="s">
        <v>1952</v>
      </c>
      <c r="B77" s="19" t="s">
        <v>1889</v>
      </c>
      <c r="C77" s="19" t="s">
        <v>1864</v>
      </c>
      <c r="D77" s="19" t="s">
        <v>1857</v>
      </c>
      <c r="E77" s="19" t="s">
        <v>1858</v>
      </c>
      <c r="F77" s="19" t="s">
        <v>1876</v>
      </c>
      <c r="G77" s="19" t="s">
        <v>1930</v>
      </c>
      <c r="H77" s="19">
        <v>10</v>
      </c>
      <c r="I77" s="19">
        <v>2008.29</v>
      </c>
      <c r="J77" s="19">
        <v>20082.9</v>
      </c>
      <c r="L77" s="26" t="s">
        <v>1582</v>
      </c>
      <c r="M77" s="27"/>
      <c r="N77" s="27"/>
      <c r="O77" s="27"/>
      <c r="P77" s="28"/>
    </row>
    <row r="78" ht="15.25" spans="1:16">
      <c r="A78" s="18" t="s">
        <v>1897</v>
      </c>
      <c r="B78" s="19" t="s">
        <v>1878</v>
      </c>
      <c r="C78" s="19" t="s">
        <v>1898</v>
      </c>
      <c r="D78" s="19" t="s">
        <v>1879</v>
      </c>
      <c r="E78" s="19" t="s">
        <v>1851</v>
      </c>
      <c r="F78" s="19" t="s">
        <v>1865</v>
      </c>
      <c r="G78" s="19" t="s">
        <v>1886</v>
      </c>
      <c r="H78" s="19">
        <v>3</v>
      </c>
      <c r="I78" s="19">
        <v>4157.17</v>
      </c>
      <c r="J78" s="19">
        <v>12471.51</v>
      </c>
      <c r="L78" s="29" t="s">
        <v>1953</v>
      </c>
      <c r="M78" s="30"/>
      <c r="N78" s="30"/>
      <c r="O78" s="30"/>
      <c r="P78" s="31"/>
    </row>
    <row r="79" ht="15.25" spans="1:16">
      <c r="A79" s="18">
        <v>45109</v>
      </c>
      <c r="B79" s="19" t="s">
        <v>1867</v>
      </c>
      <c r="C79" s="19" t="s">
        <v>1906</v>
      </c>
      <c r="D79" s="19" t="s">
        <v>1862</v>
      </c>
      <c r="E79" s="19" t="s">
        <v>1858</v>
      </c>
      <c r="F79" s="19" t="s">
        <v>1852</v>
      </c>
      <c r="G79" s="19" t="s">
        <v>1950</v>
      </c>
      <c r="H79" s="19">
        <v>19</v>
      </c>
      <c r="I79" s="19">
        <v>2880.28</v>
      </c>
      <c r="J79" s="19">
        <v>54725.32</v>
      </c>
      <c r="L79" s="32"/>
      <c r="M79" s="33"/>
      <c r="N79" s="33"/>
      <c r="O79" s="33"/>
      <c r="P79" s="34"/>
    </row>
    <row r="80" ht="15.25" spans="1:16">
      <c r="A80" s="18" t="s">
        <v>1954</v>
      </c>
      <c r="B80" s="19" t="s">
        <v>1902</v>
      </c>
      <c r="C80" s="19" t="s">
        <v>1610</v>
      </c>
      <c r="D80" s="19" t="s">
        <v>1879</v>
      </c>
      <c r="E80" s="19" t="s">
        <v>1851</v>
      </c>
      <c r="F80" s="19" t="s">
        <v>1876</v>
      </c>
      <c r="G80" s="19" t="s">
        <v>1883</v>
      </c>
      <c r="H80" s="19">
        <v>6</v>
      </c>
      <c r="I80" s="19">
        <v>1212.76</v>
      </c>
      <c r="J80" s="19">
        <v>7276.56</v>
      </c>
      <c r="L80" s="35"/>
      <c r="M80" s="36"/>
      <c r="N80" s="36"/>
      <c r="O80" s="36"/>
      <c r="P80" s="37"/>
    </row>
    <row r="81" ht="15.25" spans="1:17">
      <c r="A81" s="18" t="s">
        <v>1955</v>
      </c>
      <c r="B81" s="19" t="s">
        <v>1871</v>
      </c>
      <c r="C81" s="19" t="s">
        <v>1941</v>
      </c>
      <c r="D81" s="19" t="s">
        <v>1879</v>
      </c>
      <c r="E81" s="19" t="s">
        <v>1851</v>
      </c>
      <c r="F81" s="19" t="s">
        <v>1876</v>
      </c>
      <c r="G81" s="19" t="s">
        <v>1926</v>
      </c>
      <c r="H81" s="19">
        <v>11</v>
      </c>
      <c r="I81" s="19">
        <v>4463.48</v>
      </c>
      <c r="J81" s="19">
        <v>49098.28</v>
      </c>
    </row>
    <row r="82" ht="15.25" spans="1:17">
      <c r="A82" s="18">
        <v>45236</v>
      </c>
      <c r="B82" s="19" t="s">
        <v>1889</v>
      </c>
      <c r="C82" s="19" t="s">
        <v>1875</v>
      </c>
      <c r="D82" s="19" t="s">
        <v>1862</v>
      </c>
      <c r="E82" s="19" t="s">
        <v>1858</v>
      </c>
      <c r="F82" s="19" t="s">
        <v>1859</v>
      </c>
      <c r="G82" s="19" t="s">
        <v>1872</v>
      </c>
      <c r="H82" s="19">
        <v>17</v>
      </c>
      <c r="I82" s="19">
        <v>3975.74</v>
      </c>
      <c r="J82" s="19">
        <v>67587.58</v>
      </c>
    </row>
    <row r="83" ht="15.25" spans="1:17">
      <c r="A83" s="18" t="s">
        <v>1956</v>
      </c>
      <c r="B83" s="19" t="s">
        <v>1848</v>
      </c>
      <c r="C83" s="19" t="s">
        <v>1856</v>
      </c>
      <c r="D83" s="19" t="s">
        <v>1857</v>
      </c>
      <c r="E83" s="19" t="s">
        <v>1858</v>
      </c>
      <c r="F83" s="19" t="s">
        <v>1865</v>
      </c>
      <c r="G83" s="19" t="s">
        <v>1890</v>
      </c>
      <c r="H83" s="19">
        <v>15</v>
      </c>
      <c r="I83" s="19">
        <v>2158.22</v>
      </c>
      <c r="J83" s="19">
        <v>32373.3</v>
      </c>
      <c r="L83" s="38" t="s">
        <v>1957</v>
      </c>
      <c r="M83" s="41" t="s">
        <v>1857</v>
      </c>
      <c r="N83" s="41" t="s">
        <v>1862</v>
      </c>
      <c r="O83" s="41" t="s">
        <v>1850</v>
      </c>
      <c r="P83" s="41" t="s">
        <v>1879</v>
      </c>
      <c r="Q83" s="41" t="s">
        <v>1884</v>
      </c>
    </row>
    <row r="84" ht="15.25" spans="1:17">
      <c r="A84" s="18" t="s">
        <v>1958</v>
      </c>
      <c r="B84" s="19" t="s">
        <v>1861</v>
      </c>
      <c r="C84" s="19" t="s">
        <v>1898</v>
      </c>
      <c r="D84" s="19" t="s">
        <v>1879</v>
      </c>
      <c r="E84" s="19" t="s">
        <v>1851</v>
      </c>
      <c r="F84" s="19" t="s">
        <v>1865</v>
      </c>
      <c r="G84" s="19" t="s">
        <v>1886</v>
      </c>
      <c r="H84" s="19">
        <v>17</v>
      </c>
      <c r="I84" s="19">
        <v>1720.9</v>
      </c>
      <c r="J84" s="19">
        <v>29255.3</v>
      </c>
      <c r="L84" s="48" t="s">
        <v>1849</v>
      </c>
      <c r="M84" s="44">
        <f t="shared" ref="M84:M98" si="5">_xlfn.MAXIFS($J$2:$J$1001,$C$2:$C$1001,$L84,$D$2:$D$1001,M$83)</f>
        <v>0</v>
      </c>
      <c r="N84" s="44">
        <f t="shared" ref="N84:N98" si="6">_xlfn.MAXIFS($J$2:$J$1001,$C$2:$C$1001,$L84,$D$2:$D$1001,N$83)</f>
        <v>0</v>
      </c>
      <c r="O84" s="44">
        <f t="shared" ref="O84:O98" si="7">_xlfn.MAXIFS($J$2:$J$1001,$C$2:$C$1001,$L84,$D$2:$D$1001,O$83)</f>
        <v>87316.38</v>
      </c>
      <c r="P84" s="44">
        <f t="shared" ref="P84:P98" si="8">_xlfn.MAXIFS($J$2:$J$1001,$C$2:$C$1001,$L84,$D$2:$D$1001,P$83)</f>
        <v>0</v>
      </c>
      <c r="Q84" s="44">
        <f t="shared" ref="Q84:Q98" si="9">_xlfn.MAXIFS($J$2:$J$1001,$C$2:$C$1001,$L84,$D$2:$D$1001,Q$83)</f>
        <v>0</v>
      </c>
    </row>
    <row r="85" ht="15.25" spans="1:17">
      <c r="A85" s="18" t="s">
        <v>1959</v>
      </c>
      <c r="B85" s="19" t="s">
        <v>1878</v>
      </c>
      <c r="C85" s="19" t="s">
        <v>1593</v>
      </c>
      <c r="D85" s="19" t="s">
        <v>1850</v>
      </c>
      <c r="E85" s="19" t="s">
        <v>1851</v>
      </c>
      <c r="F85" s="19" t="s">
        <v>1865</v>
      </c>
      <c r="G85" s="19" t="s">
        <v>1866</v>
      </c>
      <c r="H85" s="19">
        <v>11</v>
      </c>
      <c r="I85" s="19">
        <v>3562.92</v>
      </c>
      <c r="J85" s="19">
        <v>39192.12</v>
      </c>
      <c r="L85" s="48" t="s">
        <v>1856</v>
      </c>
      <c r="M85" s="44">
        <f t="shared" si="5"/>
        <v>95022.8</v>
      </c>
      <c r="N85" s="44">
        <f t="shared" si="6"/>
        <v>0</v>
      </c>
      <c r="O85" s="44">
        <f t="shared" si="7"/>
        <v>0</v>
      </c>
      <c r="P85" s="44">
        <f t="shared" si="8"/>
        <v>0</v>
      </c>
      <c r="Q85" s="44">
        <f t="shared" si="9"/>
        <v>0</v>
      </c>
    </row>
    <row r="86" ht="15.25" spans="1:17">
      <c r="A86" s="18" t="s">
        <v>1960</v>
      </c>
      <c r="B86" s="19" t="s">
        <v>1871</v>
      </c>
      <c r="C86" s="19" t="s">
        <v>1593</v>
      </c>
      <c r="D86" s="19" t="s">
        <v>1850</v>
      </c>
      <c r="E86" s="19" t="s">
        <v>1851</v>
      </c>
      <c r="F86" s="19" t="s">
        <v>1859</v>
      </c>
      <c r="G86" s="19" t="s">
        <v>1872</v>
      </c>
      <c r="H86" s="19">
        <v>17</v>
      </c>
      <c r="I86" s="19">
        <v>608.79</v>
      </c>
      <c r="J86" s="19">
        <v>10349.43</v>
      </c>
      <c r="L86" s="48" t="s">
        <v>1602</v>
      </c>
      <c r="M86" s="44">
        <f t="shared" si="5"/>
        <v>0</v>
      </c>
      <c r="N86" s="44">
        <f t="shared" si="6"/>
        <v>82928.16</v>
      </c>
      <c r="O86" s="44">
        <f t="shared" si="7"/>
        <v>0</v>
      </c>
      <c r="P86" s="44">
        <f t="shared" si="8"/>
        <v>0</v>
      </c>
      <c r="Q86" s="44">
        <f t="shared" si="9"/>
        <v>0</v>
      </c>
    </row>
    <row r="87" ht="15.25" spans="1:17">
      <c r="A87" s="18" t="s">
        <v>1932</v>
      </c>
      <c r="B87" s="19" t="s">
        <v>1874</v>
      </c>
      <c r="C87" s="19" t="s">
        <v>1610</v>
      </c>
      <c r="D87" s="19" t="s">
        <v>1879</v>
      </c>
      <c r="E87" s="19" t="s">
        <v>1851</v>
      </c>
      <c r="F87" s="19" t="s">
        <v>1868</v>
      </c>
      <c r="G87" s="19" t="s">
        <v>1869</v>
      </c>
      <c r="H87" s="19">
        <v>20</v>
      </c>
      <c r="I87" s="19">
        <v>4856.17</v>
      </c>
      <c r="J87" s="19">
        <v>97123.4</v>
      </c>
      <c r="L87" s="48" t="s">
        <v>1864</v>
      </c>
      <c r="M87" s="44">
        <f t="shared" si="5"/>
        <v>87949.2</v>
      </c>
      <c r="N87" s="44">
        <f t="shared" si="6"/>
        <v>0</v>
      </c>
      <c r="O87" s="44">
        <f t="shared" si="7"/>
        <v>0</v>
      </c>
      <c r="P87" s="44">
        <f t="shared" si="8"/>
        <v>0</v>
      </c>
      <c r="Q87" s="44">
        <f t="shared" si="9"/>
        <v>0</v>
      </c>
    </row>
    <row r="88" ht="15.25" spans="1:17">
      <c r="A88" s="18" t="s">
        <v>1946</v>
      </c>
      <c r="B88" s="19" t="s">
        <v>1902</v>
      </c>
      <c r="C88" s="19" t="s">
        <v>1894</v>
      </c>
      <c r="D88" s="19" t="s">
        <v>1884</v>
      </c>
      <c r="E88" s="19" t="s">
        <v>1895</v>
      </c>
      <c r="F88" s="19" t="s">
        <v>1859</v>
      </c>
      <c r="G88" s="19" t="s">
        <v>1860</v>
      </c>
      <c r="H88" s="19">
        <v>12</v>
      </c>
      <c r="I88" s="19">
        <v>4298</v>
      </c>
      <c r="J88" s="19">
        <v>51576</v>
      </c>
      <c r="L88" s="48" t="s">
        <v>1593</v>
      </c>
      <c r="M88" s="44">
        <f t="shared" si="5"/>
        <v>0</v>
      </c>
      <c r="N88" s="44">
        <f t="shared" si="6"/>
        <v>0</v>
      </c>
      <c r="O88" s="44">
        <f t="shared" si="7"/>
        <v>99406.6</v>
      </c>
      <c r="P88" s="44">
        <f t="shared" si="8"/>
        <v>0</v>
      </c>
      <c r="Q88" s="44">
        <f t="shared" si="9"/>
        <v>0</v>
      </c>
    </row>
    <row r="89" ht="15.25" spans="1:17">
      <c r="A89" s="18">
        <v>45020</v>
      </c>
      <c r="B89" s="19" t="s">
        <v>1871</v>
      </c>
      <c r="C89" s="19" t="s">
        <v>1903</v>
      </c>
      <c r="D89" s="19" t="s">
        <v>1884</v>
      </c>
      <c r="E89" s="19" t="s">
        <v>1895</v>
      </c>
      <c r="F89" s="19" t="s">
        <v>1876</v>
      </c>
      <c r="G89" s="19" t="s">
        <v>1926</v>
      </c>
      <c r="H89" s="19">
        <v>7</v>
      </c>
      <c r="I89" s="19">
        <v>1160.35</v>
      </c>
      <c r="J89" s="19">
        <v>8122.45</v>
      </c>
      <c r="L89" s="48" t="s">
        <v>1626</v>
      </c>
      <c r="M89" s="44">
        <f t="shared" si="5"/>
        <v>94929.32</v>
      </c>
      <c r="N89" s="44">
        <f t="shared" si="6"/>
        <v>0</v>
      </c>
      <c r="O89" s="44">
        <f t="shared" si="7"/>
        <v>0</v>
      </c>
      <c r="P89" s="44">
        <f t="shared" si="8"/>
        <v>0</v>
      </c>
      <c r="Q89" s="44">
        <f t="shared" si="9"/>
        <v>0</v>
      </c>
    </row>
    <row r="90" ht="15.25" spans="1:17">
      <c r="A90" s="18">
        <v>45115</v>
      </c>
      <c r="B90" s="19" t="s">
        <v>1878</v>
      </c>
      <c r="C90" s="19" t="s">
        <v>1894</v>
      </c>
      <c r="D90" s="19" t="s">
        <v>1884</v>
      </c>
      <c r="E90" s="19" t="s">
        <v>1895</v>
      </c>
      <c r="F90" s="19" t="s">
        <v>1865</v>
      </c>
      <c r="G90" s="19" t="s">
        <v>1886</v>
      </c>
      <c r="H90" s="19">
        <v>3</v>
      </c>
      <c r="I90" s="19">
        <v>2488.34</v>
      </c>
      <c r="J90" s="19">
        <v>7465.02</v>
      </c>
      <c r="L90" s="48" t="s">
        <v>1875</v>
      </c>
      <c r="M90" s="44">
        <f t="shared" si="5"/>
        <v>0</v>
      </c>
      <c r="N90" s="44">
        <f t="shared" si="6"/>
        <v>87311.6</v>
      </c>
      <c r="O90" s="44">
        <f t="shared" si="7"/>
        <v>0</v>
      </c>
      <c r="P90" s="44">
        <f t="shared" si="8"/>
        <v>0</v>
      </c>
      <c r="Q90" s="44">
        <f t="shared" si="9"/>
        <v>0</v>
      </c>
    </row>
    <row r="91" ht="15.25" spans="1:17">
      <c r="A91" s="18" t="s">
        <v>1956</v>
      </c>
      <c r="B91" s="19" t="s">
        <v>1861</v>
      </c>
      <c r="C91" s="19" t="s">
        <v>1856</v>
      </c>
      <c r="D91" s="19" t="s">
        <v>1857</v>
      </c>
      <c r="E91" s="19" t="s">
        <v>1858</v>
      </c>
      <c r="F91" s="19" t="s">
        <v>1852</v>
      </c>
      <c r="G91" s="19" t="s">
        <v>1934</v>
      </c>
      <c r="H91" s="19">
        <v>8</v>
      </c>
      <c r="I91" s="19">
        <v>1990</v>
      </c>
      <c r="J91" s="19">
        <v>15920</v>
      </c>
      <c r="L91" s="48" t="s">
        <v>1610</v>
      </c>
      <c r="M91" s="44">
        <f t="shared" si="5"/>
        <v>0</v>
      </c>
      <c r="N91" s="44">
        <f t="shared" si="6"/>
        <v>0</v>
      </c>
      <c r="O91" s="44">
        <f t="shared" si="7"/>
        <v>0</v>
      </c>
      <c r="P91" s="44">
        <f t="shared" si="8"/>
        <v>97123.4</v>
      </c>
      <c r="Q91" s="44">
        <f t="shared" si="9"/>
        <v>0</v>
      </c>
    </row>
    <row r="92" ht="15.25" spans="1:17">
      <c r="A92" s="18" t="s">
        <v>1961</v>
      </c>
      <c r="B92" s="19" t="s">
        <v>1874</v>
      </c>
      <c r="C92" s="19" t="s">
        <v>1941</v>
      </c>
      <c r="D92" s="19" t="s">
        <v>1879</v>
      </c>
      <c r="E92" s="19" t="s">
        <v>1851</v>
      </c>
      <c r="F92" s="19" t="s">
        <v>1876</v>
      </c>
      <c r="G92" s="19" t="s">
        <v>1926</v>
      </c>
      <c r="H92" s="19">
        <v>20</v>
      </c>
      <c r="I92" s="19">
        <v>2446.21</v>
      </c>
      <c r="J92" s="19">
        <v>48924.2</v>
      </c>
      <c r="L92" s="48" t="s">
        <v>1894</v>
      </c>
      <c r="M92" s="44">
        <f t="shared" si="5"/>
        <v>0</v>
      </c>
      <c r="N92" s="44">
        <f t="shared" si="6"/>
        <v>0</v>
      </c>
      <c r="O92" s="44">
        <f t="shared" si="7"/>
        <v>0</v>
      </c>
      <c r="P92" s="44">
        <f t="shared" si="8"/>
        <v>0</v>
      </c>
      <c r="Q92" s="44">
        <f t="shared" si="9"/>
        <v>94230.2</v>
      </c>
    </row>
    <row r="93" ht="15.25" spans="1:17">
      <c r="A93" s="18" t="s">
        <v>1962</v>
      </c>
      <c r="B93" s="19" t="s">
        <v>1867</v>
      </c>
      <c r="C93" s="19" t="s">
        <v>1906</v>
      </c>
      <c r="D93" s="19" t="s">
        <v>1862</v>
      </c>
      <c r="E93" s="19" t="s">
        <v>1858</v>
      </c>
      <c r="F93" s="19" t="s">
        <v>1859</v>
      </c>
      <c r="G93" s="19" t="s">
        <v>1947</v>
      </c>
      <c r="H93" s="19">
        <v>11</v>
      </c>
      <c r="I93" s="19">
        <v>1841.84</v>
      </c>
      <c r="J93" s="19">
        <v>20260.24</v>
      </c>
      <c r="L93" s="48" t="s">
        <v>1598</v>
      </c>
      <c r="M93" s="44">
        <f t="shared" si="5"/>
        <v>0</v>
      </c>
      <c r="N93" s="44">
        <f t="shared" si="6"/>
        <v>0</v>
      </c>
      <c r="O93" s="44">
        <f t="shared" si="7"/>
        <v>79546.16</v>
      </c>
      <c r="P93" s="44">
        <f t="shared" si="8"/>
        <v>0</v>
      </c>
      <c r="Q93" s="44">
        <f t="shared" si="9"/>
        <v>0</v>
      </c>
    </row>
    <row r="94" ht="15.25" spans="1:17">
      <c r="A94" s="18">
        <v>44938</v>
      </c>
      <c r="B94" s="19" t="s">
        <v>1874</v>
      </c>
      <c r="C94" s="19" t="s">
        <v>1589</v>
      </c>
      <c r="D94" s="19" t="s">
        <v>1884</v>
      </c>
      <c r="E94" s="19" t="s">
        <v>1895</v>
      </c>
      <c r="F94" s="19" t="s">
        <v>1876</v>
      </c>
      <c r="G94" s="19" t="s">
        <v>1877</v>
      </c>
      <c r="H94" s="19">
        <v>5</v>
      </c>
      <c r="I94" s="19">
        <v>3289.83</v>
      </c>
      <c r="J94" s="19">
        <v>16449.15</v>
      </c>
      <c r="L94" s="48" t="s">
        <v>1898</v>
      </c>
      <c r="M94" s="44">
        <f t="shared" si="5"/>
        <v>0</v>
      </c>
      <c r="N94" s="44">
        <f t="shared" si="6"/>
        <v>0</v>
      </c>
      <c r="O94" s="44">
        <f t="shared" si="7"/>
        <v>0</v>
      </c>
      <c r="P94" s="44">
        <f t="shared" si="8"/>
        <v>74713.86</v>
      </c>
      <c r="Q94" s="44">
        <f t="shared" si="9"/>
        <v>0</v>
      </c>
    </row>
    <row r="95" ht="15.25" spans="1:17">
      <c r="A95" s="18" t="s">
        <v>1963</v>
      </c>
      <c r="B95" s="19" t="s">
        <v>1878</v>
      </c>
      <c r="C95" s="19" t="s">
        <v>1593</v>
      </c>
      <c r="D95" s="19" t="s">
        <v>1850</v>
      </c>
      <c r="E95" s="19" t="s">
        <v>1851</v>
      </c>
      <c r="F95" s="19" t="s">
        <v>1868</v>
      </c>
      <c r="G95" s="19" t="s">
        <v>1907</v>
      </c>
      <c r="H95" s="19">
        <v>6</v>
      </c>
      <c r="I95" s="19">
        <v>549.8</v>
      </c>
      <c r="J95" s="19">
        <v>3298.8</v>
      </c>
      <c r="L95" s="48" t="s">
        <v>1903</v>
      </c>
      <c r="M95" s="44">
        <f t="shared" si="5"/>
        <v>0</v>
      </c>
      <c r="N95" s="44">
        <f t="shared" si="6"/>
        <v>0</v>
      </c>
      <c r="O95" s="44">
        <f t="shared" si="7"/>
        <v>0</v>
      </c>
      <c r="P95" s="44">
        <f t="shared" si="8"/>
        <v>0</v>
      </c>
      <c r="Q95" s="44">
        <f t="shared" si="9"/>
        <v>77219.2</v>
      </c>
    </row>
    <row r="96" ht="15.25" spans="1:17">
      <c r="A96" s="18">
        <v>44987</v>
      </c>
      <c r="B96" s="19" t="s">
        <v>1889</v>
      </c>
      <c r="C96" s="19" t="s">
        <v>1864</v>
      </c>
      <c r="D96" s="19" t="s">
        <v>1857</v>
      </c>
      <c r="E96" s="19" t="s">
        <v>1858</v>
      </c>
      <c r="F96" s="19" t="s">
        <v>1876</v>
      </c>
      <c r="G96" s="19" t="s">
        <v>1877</v>
      </c>
      <c r="H96" s="19">
        <v>20</v>
      </c>
      <c r="I96" s="19">
        <v>4397.46</v>
      </c>
      <c r="J96" s="19">
        <v>87949.2</v>
      </c>
      <c r="L96" s="48" t="s">
        <v>1906</v>
      </c>
      <c r="M96" s="44">
        <f t="shared" si="5"/>
        <v>0</v>
      </c>
      <c r="N96" s="44">
        <f t="shared" si="6"/>
        <v>85758.4</v>
      </c>
      <c r="O96" s="44">
        <f t="shared" si="7"/>
        <v>0</v>
      </c>
      <c r="P96" s="44">
        <f t="shared" si="8"/>
        <v>0</v>
      </c>
      <c r="Q96" s="44">
        <f t="shared" si="9"/>
        <v>0</v>
      </c>
    </row>
    <row r="97" ht="15.25" spans="1:17">
      <c r="A97" s="18">
        <v>45235</v>
      </c>
      <c r="B97" s="19" t="s">
        <v>1878</v>
      </c>
      <c r="C97" s="19" t="s">
        <v>1602</v>
      </c>
      <c r="D97" s="19" t="s">
        <v>1862</v>
      </c>
      <c r="E97" s="19" t="s">
        <v>1858</v>
      </c>
      <c r="F97" s="19" t="s">
        <v>1868</v>
      </c>
      <c r="G97" s="19" t="s">
        <v>1869</v>
      </c>
      <c r="H97" s="19">
        <v>3</v>
      </c>
      <c r="I97" s="19">
        <v>3107.88</v>
      </c>
      <c r="J97" s="19">
        <v>9323.64</v>
      </c>
      <c r="L97" s="48" t="s">
        <v>1589</v>
      </c>
      <c r="M97" s="44">
        <f t="shared" si="5"/>
        <v>0</v>
      </c>
      <c r="N97" s="44">
        <f t="shared" si="6"/>
        <v>0</v>
      </c>
      <c r="O97" s="44">
        <f t="shared" si="7"/>
        <v>0</v>
      </c>
      <c r="P97" s="44">
        <f t="shared" si="8"/>
        <v>0</v>
      </c>
      <c r="Q97" s="44">
        <f t="shared" si="9"/>
        <v>78513</v>
      </c>
    </row>
    <row r="98" ht="15.25" spans="1:17">
      <c r="A98" s="18" t="s">
        <v>1939</v>
      </c>
      <c r="B98" s="19" t="s">
        <v>1848</v>
      </c>
      <c r="C98" s="19" t="s">
        <v>1898</v>
      </c>
      <c r="D98" s="19" t="s">
        <v>1879</v>
      </c>
      <c r="E98" s="19" t="s">
        <v>1851</v>
      </c>
      <c r="F98" s="19" t="s">
        <v>1852</v>
      </c>
      <c r="G98" s="19" t="s">
        <v>1950</v>
      </c>
      <c r="H98" s="19">
        <v>11</v>
      </c>
      <c r="I98" s="19">
        <v>1451.86</v>
      </c>
      <c r="J98" s="19">
        <v>15970.46</v>
      </c>
      <c r="L98" s="48" t="s">
        <v>1941</v>
      </c>
      <c r="M98" s="44">
        <f t="shared" si="5"/>
        <v>0</v>
      </c>
      <c r="N98" s="44">
        <f t="shared" si="6"/>
        <v>0</v>
      </c>
      <c r="O98" s="44">
        <f t="shared" si="7"/>
        <v>0</v>
      </c>
      <c r="P98" s="44">
        <f t="shared" si="8"/>
        <v>69317.13</v>
      </c>
      <c r="Q98" s="44">
        <f t="shared" si="9"/>
        <v>0</v>
      </c>
    </row>
    <row r="99" ht="15.25" spans="1:17">
      <c r="A99" s="18">
        <v>44992</v>
      </c>
      <c r="B99" s="19" t="s">
        <v>1878</v>
      </c>
      <c r="C99" s="19" t="s">
        <v>1856</v>
      </c>
      <c r="D99" s="19" t="s">
        <v>1857</v>
      </c>
      <c r="E99" s="19" t="s">
        <v>1858</v>
      </c>
      <c r="F99" s="19" t="s">
        <v>1868</v>
      </c>
      <c r="G99" s="19" t="s">
        <v>1917</v>
      </c>
      <c r="H99" s="19">
        <v>13</v>
      </c>
      <c r="I99" s="19">
        <v>4087.03</v>
      </c>
      <c r="J99" s="19">
        <v>53131.39</v>
      </c>
    </row>
    <row r="100" ht="15.25" spans="1:17">
      <c r="A100" s="18">
        <v>44966</v>
      </c>
      <c r="B100" s="19" t="s">
        <v>1848</v>
      </c>
      <c r="C100" s="19" t="s">
        <v>1894</v>
      </c>
      <c r="D100" s="19" t="s">
        <v>1884</v>
      </c>
      <c r="E100" s="19" t="s">
        <v>1895</v>
      </c>
      <c r="F100" s="19" t="s">
        <v>1859</v>
      </c>
      <c r="G100" s="19" t="s">
        <v>1860</v>
      </c>
      <c r="H100" s="19">
        <v>12</v>
      </c>
      <c r="I100" s="19">
        <v>3040.08</v>
      </c>
      <c r="J100" s="19">
        <v>36480.96</v>
      </c>
    </row>
    <row r="101" ht="15.25" spans="1:17">
      <c r="A101" s="18" t="s">
        <v>1952</v>
      </c>
      <c r="B101" s="19" t="s">
        <v>1874</v>
      </c>
      <c r="C101" s="19" t="s">
        <v>1589</v>
      </c>
      <c r="D101" s="19" t="s">
        <v>1884</v>
      </c>
      <c r="E101" s="19" t="s">
        <v>1895</v>
      </c>
      <c r="F101" s="19" t="s">
        <v>1868</v>
      </c>
      <c r="G101" s="19" t="s">
        <v>1907</v>
      </c>
      <c r="H101" s="19">
        <v>19</v>
      </c>
      <c r="I101" s="19">
        <v>3968.42</v>
      </c>
      <c r="J101" s="19">
        <v>75399.98</v>
      </c>
    </row>
    <row r="102" ht="15.25" spans="1:17">
      <c r="A102" s="18" t="s">
        <v>1964</v>
      </c>
      <c r="B102" s="19" t="s">
        <v>1902</v>
      </c>
      <c r="C102" s="19" t="s">
        <v>1875</v>
      </c>
      <c r="D102" s="19" t="s">
        <v>1862</v>
      </c>
      <c r="E102" s="19" t="s">
        <v>1858</v>
      </c>
      <c r="F102" s="19" t="s">
        <v>1876</v>
      </c>
      <c r="G102" s="19" t="s">
        <v>1883</v>
      </c>
      <c r="H102" s="19">
        <v>4</v>
      </c>
      <c r="I102" s="19">
        <v>894.64</v>
      </c>
      <c r="J102" s="19">
        <v>3578.56</v>
      </c>
    </row>
    <row r="103" ht="15.25" spans="1:17">
      <c r="A103" s="18">
        <v>44996</v>
      </c>
      <c r="B103" s="19" t="s">
        <v>1878</v>
      </c>
      <c r="C103" s="19" t="s">
        <v>1875</v>
      </c>
      <c r="D103" s="19" t="s">
        <v>1862</v>
      </c>
      <c r="E103" s="19" t="s">
        <v>1858</v>
      </c>
      <c r="F103" s="19" t="s">
        <v>1868</v>
      </c>
      <c r="G103" s="19" t="s">
        <v>1917</v>
      </c>
      <c r="H103" s="19">
        <v>20</v>
      </c>
      <c r="I103" s="19">
        <v>1787.99</v>
      </c>
      <c r="J103" s="19">
        <v>35759.8</v>
      </c>
    </row>
    <row r="104" ht="15.25" spans="1:17">
      <c r="A104" s="18" t="s">
        <v>1965</v>
      </c>
      <c r="B104" s="19" t="s">
        <v>1848</v>
      </c>
      <c r="C104" s="19" t="s">
        <v>1593</v>
      </c>
      <c r="D104" s="19" t="s">
        <v>1850</v>
      </c>
      <c r="E104" s="19" t="s">
        <v>1851</v>
      </c>
      <c r="F104" s="19" t="s">
        <v>1852</v>
      </c>
      <c r="G104" s="19" t="s">
        <v>1910</v>
      </c>
      <c r="H104" s="19">
        <v>17</v>
      </c>
      <c r="I104" s="19">
        <v>2910.12</v>
      </c>
      <c r="J104" s="19">
        <v>49472.04</v>
      </c>
    </row>
    <row r="105" ht="15.25" spans="1:17">
      <c r="A105" s="18">
        <v>44987</v>
      </c>
      <c r="B105" s="19" t="s">
        <v>1902</v>
      </c>
      <c r="C105" s="19" t="s">
        <v>1856</v>
      </c>
      <c r="D105" s="19" t="s">
        <v>1857</v>
      </c>
      <c r="E105" s="19" t="s">
        <v>1858</v>
      </c>
      <c r="F105" s="19" t="s">
        <v>1868</v>
      </c>
      <c r="G105" s="19" t="s">
        <v>1869</v>
      </c>
      <c r="H105" s="19">
        <v>16</v>
      </c>
      <c r="I105" s="19">
        <v>827.8</v>
      </c>
      <c r="J105" s="19">
        <v>13244.8</v>
      </c>
    </row>
    <row r="106" ht="15.25" spans="1:17">
      <c r="A106" s="18">
        <v>45174</v>
      </c>
      <c r="B106" s="19" t="s">
        <v>1861</v>
      </c>
      <c r="C106" s="19" t="s">
        <v>1894</v>
      </c>
      <c r="D106" s="19" t="s">
        <v>1884</v>
      </c>
      <c r="E106" s="19" t="s">
        <v>1895</v>
      </c>
      <c r="F106" s="19" t="s">
        <v>1859</v>
      </c>
      <c r="G106" s="19" t="s">
        <v>1872</v>
      </c>
      <c r="H106" s="19">
        <v>18</v>
      </c>
      <c r="I106" s="19">
        <v>3093.44</v>
      </c>
      <c r="J106" s="19">
        <v>55681.92</v>
      </c>
    </row>
    <row r="107" ht="15.25" spans="1:17">
      <c r="A107" s="18" t="s">
        <v>1966</v>
      </c>
      <c r="B107" s="19" t="s">
        <v>1878</v>
      </c>
      <c r="C107" s="19" t="s">
        <v>1626</v>
      </c>
      <c r="D107" s="19" t="s">
        <v>1857</v>
      </c>
      <c r="E107" s="19" t="s">
        <v>1858</v>
      </c>
      <c r="F107" s="19" t="s">
        <v>1865</v>
      </c>
      <c r="G107" s="19" t="s">
        <v>1890</v>
      </c>
      <c r="H107" s="19">
        <v>10</v>
      </c>
      <c r="I107" s="19">
        <v>2469.04</v>
      </c>
      <c r="J107" s="19">
        <v>24690.4</v>
      </c>
    </row>
    <row r="108" ht="15.25" spans="1:17">
      <c r="A108" s="18" t="s">
        <v>1967</v>
      </c>
      <c r="B108" s="19" t="s">
        <v>1861</v>
      </c>
      <c r="C108" s="19" t="s">
        <v>1626</v>
      </c>
      <c r="D108" s="19" t="s">
        <v>1857</v>
      </c>
      <c r="E108" s="19" t="s">
        <v>1858</v>
      </c>
      <c r="F108" s="19" t="s">
        <v>1859</v>
      </c>
      <c r="G108" s="19" t="s">
        <v>1860</v>
      </c>
      <c r="H108" s="19">
        <v>12</v>
      </c>
      <c r="I108" s="19">
        <v>2127.28</v>
      </c>
      <c r="J108" s="19">
        <v>25527.36</v>
      </c>
    </row>
    <row r="109" ht="15.25" spans="1:17">
      <c r="A109" s="18" t="s">
        <v>1968</v>
      </c>
      <c r="B109" s="19" t="s">
        <v>1874</v>
      </c>
      <c r="C109" s="19" t="s">
        <v>1626</v>
      </c>
      <c r="D109" s="19" t="s">
        <v>1857</v>
      </c>
      <c r="E109" s="19" t="s">
        <v>1858</v>
      </c>
      <c r="F109" s="19" t="s">
        <v>1876</v>
      </c>
      <c r="G109" s="19" t="s">
        <v>1883</v>
      </c>
      <c r="H109" s="19">
        <v>1</v>
      </c>
      <c r="I109" s="19">
        <v>1811.76</v>
      </c>
      <c r="J109" s="19">
        <v>1811.76</v>
      </c>
    </row>
    <row r="110" ht="15.25" spans="1:17">
      <c r="A110" s="18" t="s">
        <v>1969</v>
      </c>
      <c r="B110" s="19" t="s">
        <v>1892</v>
      </c>
      <c r="C110" s="19" t="s">
        <v>1906</v>
      </c>
      <c r="D110" s="19" t="s">
        <v>1862</v>
      </c>
      <c r="E110" s="19" t="s">
        <v>1858</v>
      </c>
      <c r="F110" s="19" t="s">
        <v>1852</v>
      </c>
      <c r="G110" s="19" t="s">
        <v>1910</v>
      </c>
      <c r="H110" s="19">
        <v>4</v>
      </c>
      <c r="I110" s="19">
        <v>4485.82</v>
      </c>
      <c r="J110" s="19">
        <v>17943.28</v>
      </c>
    </row>
    <row r="111" ht="15.25" spans="1:17">
      <c r="A111" s="18">
        <v>44994</v>
      </c>
      <c r="B111" s="19" t="s">
        <v>1892</v>
      </c>
      <c r="C111" s="19" t="s">
        <v>1875</v>
      </c>
      <c r="D111" s="19" t="s">
        <v>1862</v>
      </c>
      <c r="E111" s="19" t="s">
        <v>1858</v>
      </c>
      <c r="F111" s="19" t="s">
        <v>1876</v>
      </c>
      <c r="G111" s="19" t="s">
        <v>1883</v>
      </c>
      <c r="H111" s="19">
        <v>8</v>
      </c>
      <c r="I111" s="19">
        <v>4649.35</v>
      </c>
      <c r="J111" s="19">
        <v>37194.8</v>
      </c>
    </row>
    <row r="112" ht="15.25" spans="1:17">
      <c r="A112" s="18" t="s">
        <v>1970</v>
      </c>
      <c r="B112" s="19" t="s">
        <v>1855</v>
      </c>
      <c r="C112" s="19" t="s">
        <v>1864</v>
      </c>
      <c r="D112" s="19" t="s">
        <v>1857</v>
      </c>
      <c r="E112" s="19" t="s">
        <v>1858</v>
      </c>
      <c r="F112" s="19" t="s">
        <v>1852</v>
      </c>
      <c r="G112" s="19" t="s">
        <v>1950</v>
      </c>
      <c r="H112" s="19">
        <v>3</v>
      </c>
      <c r="I112" s="19">
        <v>4027.17</v>
      </c>
      <c r="J112" s="19">
        <v>12081.51</v>
      </c>
    </row>
    <row r="113" ht="15.25" spans="1:10">
      <c r="A113" s="18" t="s">
        <v>1971</v>
      </c>
      <c r="B113" s="19" t="s">
        <v>1892</v>
      </c>
      <c r="C113" s="19" t="s">
        <v>1589</v>
      </c>
      <c r="D113" s="19" t="s">
        <v>1884</v>
      </c>
      <c r="E113" s="19" t="s">
        <v>1895</v>
      </c>
      <c r="F113" s="19" t="s">
        <v>1876</v>
      </c>
      <c r="G113" s="19" t="s">
        <v>1926</v>
      </c>
      <c r="H113" s="19">
        <v>14</v>
      </c>
      <c r="I113" s="19">
        <v>4406.29</v>
      </c>
      <c r="J113" s="19">
        <v>61688.06</v>
      </c>
    </row>
    <row r="114" ht="15.25" spans="1:10">
      <c r="A114" s="18" t="s">
        <v>1972</v>
      </c>
      <c r="B114" s="19" t="s">
        <v>1855</v>
      </c>
      <c r="C114" s="19" t="s">
        <v>1626</v>
      </c>
      <c r="D114" s="19" t="s">
        <v>1857</v>
      </c>
      <c r="E114" s="19" t="s">
        <v>1858</v>
      </c>
      <c r="F114" s="19" t="s">
        <v>1868</v>
      </c>
      <c r="G114" s="19" t="s">
        <v>1907</v>
      </c>
      <c r="H114" s="19">
        <v>20</v>
      </c>
      <c r="I114" s="19">
        <v>4072.4</v>
      </c>
      <c r="J114" s="19">
        <v>81448</v>
      </c>
    </row>
    <row r="115" ht="15.25" spans="1:10">
      <c r="A115" s="18" t="s">
        <v>1973</v>
      </c>
      <c r="B115" s="19" t="s">
        <v>1871</v>
      </c>
      <c r="C115" s="19" t="s">
        <v>1589</v>
      </c>
      <c r="D115" s="19" t="s">
        <v>1884</v>
      </c>
      <c r="E115" s="19" t="s">
        <v>1895</v>
      </c>
      <c r="F115" s="19" t="s">
        <v>1868</v>
      </c>
      <c r="G115" s="19" t="s">
        <v>1917</v>
      </c>
      <c r="H115" s="19">
        <v>1</v>
      </c>
      <c r="I115" s="19">
        <v>4801.38</v>
      </c>
      <c r="J115" s="19">
        <v>4801.38</v>
      </c>
    </row>
    <row r="116" ht="15.25" spans="1:10">
      <c r="A116" s="18">
        <v>45078</v>
      </c>
      <c r="B116" s="19" t="s">
        <v>1878</v>
      </c>
      <c r="C116" s="19" t="s">
        <v>1602</v>
      </c>
      <c r="D116" s="19" t="s">
        <v>1862</v>
      </c>
      <c r="E116" s="19" t="s">
        <v>1858</v>
      </c>
      <c r="F116" s="19" t="s">
        <v>1865</v>
      </c>
      <c r="G116" s="19" t="s">
        <v>1890</v>
      </c>
      <c r="H116" s="19">
        <v>17</v>
      </c>
      <c r="I116" s="19">
        <v>828.26</v>
      </c>
      <c r="J116" s="19">
        <v>14080.42</v>
      </c>
    </row>
    <row r="117" ht="15.25" spans="1:10">
      <c r="A117" s="18">
        <v>45170</v>
      </c>
      <c r="B117" s="19" t="s">
        <v>1867</v>
      </c>
      <c r="C117" s="19" t="s">
        <v>1898</v>
      </c>
      <c r="D117" s="19" t="s">
        <v>1879</v>
      </c>
      <c r="E117" s="19" t="s">
        <v>1851</v>
      </c>
      <c r="F117" s="19" t="s">
        <v>1868</v>
      </c>
      <c r="G117" s="19" t="s">
        <v>1907</v>
      </c>
      <c r="H117" s="19">
        <v>13</v>
      </c>
      <c r="I117" s="19">
        <v>4331.5</v>
      </c>
      <c r="J117" s="19">
        <v>56309.5</v>
      </c>
    </row>
    <row r="118" ht="15.25" spans="1:10">
      <c r="A118" s="18">
        <v>44994</v>
      </c>
      <c r="B118" s="19" t="s">
        <v>1871</v>
      </c>
      <c r="C118" s="19" t="s">
        <v>1598</v>
      </c>
      <c r="D118" s="19" t="s">
        <v>1850</v>
      </c>
      <c r="E118" s="19" t="s">
        <v>1851</v>
      </c>
      <c r="F118" s="19" t="s">
        <v>1865</v>
      </c>
      <c r="G118" s="19" t="s">
        <v>1890</v>
      </c>
      <c r="H118" s="19">
        <v>14</v>
      </c>
      <c r="I118" s="19">
        <v>3404.4</v>
      </c>
      <c r="J118" s="19">
        <v>47661.6</v>
      </c>
    </row>
    <row r="119" ht="15.25" spans="1:10">
      <c r="A119" s="18" t="s">
        <v>1974</v>
      </c>
      <c r="B119" s="19" t="s">
        <v>1892</v>
      </c>
      <c r="C119" s="19" t="s">
        <v>1849</v>
      </c>
      <c r="D119" s="19" t="s">
        <v>1850</v>
      </c>
      <c r="E119" s="19" t="s">
        <v>1851</v>
      </c>
      <c r="F119" s="19" t="s">
        <v>1852</v>
      </c>
      <c r="G119" s="19" t="s">
        <v>1950</v>
      </c>
      <c r="H119" s="19">
        <v>20</v>
      </c>
      <c r="I119" s="19">
        <v>3734.44</v>
      </c>
      <c r="J119" s="19">
        <v>74688.8</v>
      </c>
    </row>
    <row r="120" ht="15.25" spans="1:10">
      <c r="A120" s="18" t="s">
        <v>1975</v>
      </c>
      <c r="B120" s="19" t="s">
        <v>1902</v>
      </c>
      <c r="C120" s="19" t="s">
        <v>1849</v>
      </c>
      <c r="D120" s="19" t="s">
        <v>1850</v>
      </c>
      <c r="E120" s="19" t="s">
        <v>1851</v>
      </c>
      <c r="F120" s="19" t="s">
        <v>1852</v>
      </c>
      <c r="G120" s="19" t="s">
        <v>1910</v>
      </c>
      <c r="H120" s="19">
        <v>6</v>
      </c>
      <c r="I120" s="19">
        <v>112.76</v>
      </c>
      <c r="J120" s="19">
        <v>676.56</v>
      </c>
    </row>
    <row r="121" ht="15.25" spans="1:10">
      <c r="A121" s="18" t="s">
        <v>1976</v>
      </c>
      <c r="B121" s="19" t="s">
        <v>1902</v>
      </c>
      <c r="C121" s="19" t="s">
        <v>1903</v>
      </c>
      <c r="D121" s="19" t="s">
        <v>1884</v>
      </c>
      <c r="E121" s="19" t="s">
        <v>1895</v>
      </c>
      <c r="F121" s="19" t="s">
        <v>1876</v>
      </c>
      <c r="G121" s="19" t="s">
        <v>1877</v>
      </c>
      <c r="H121" s="19">
        <v>6</v>
      </c>
      <c r="I121" s="19">
        <v>4751.77</v>
      </c>
      <c r="J121" s="19">
        <v>28510.62</v>
      </c>
    </row>
    <row r="122" ht="15.25" spans="1:10">
      <c r="A122" s="18">
        <v>45145</v>
      </c>
      <c r="B122" s="19" t="s">
        <v>1861</v>
      </c>
      <c r="C122" s="19" t="s">
        <v>1898</v>
      </c>
      <c r="D122" s="19" t="s">
        <v>1879</v>
      </c>
      <c r="E122" s="19" t="s">
        <v>1851</v>
      </c>
      <c r="F122" s="19" t="s">
        <v>1868</v>
      </c>
      <c r="G122" s="19" t="s">
        <v>1907</v>
      </c>
      <c r="H122" s="19">
        <v>4</v>
      </c>
      <c r="I122" s="19">
        <v>3214.1</v>
      </c>
      <c r="J122" s="19">
        <v>12856.4</v>
      </c>
    </row>
    <row r="123" ht="15.25" spans="1:10">
      <c r="A123" s="18" t="s">
        <v>1977</v>
      </c>
      <c r="B123" s="19" t="s">
        <v>1848</v>
      </c>
      <c r="C123" s="19" t="s">
        <v>1903</v>
      </c>
      <c r="D123" s="19" t="s">
        <v>1884</v>
      </c>
      <c r="E123" s="19" t="s">
        <v>1895</v>
      </c>
      <c r="F123" s="19" t="s">
        <v>1876</v>
      </c>
      <c r="G123" s="19" t="s">
        <v>1883</v>
      </c>
      <c r="H123" s="19">
        <v>20</v>
      </c>
      <c r="I123" s="19">
        <v>598.97</v>
      </c>
      <c r="J123" s="19">
        <v>11979.4</v>
      </c>
    </row>
    <row r="124" ht="15.25" spans="1:10">
      <c r="A124" s="18" t="s">
        <v>1928</v>
      </c>
      <c r="B124" s="19" t="s">
        <v>1902</v>
      </c>
      <c r="C124" s="19" t="s">
        <v>1849</v>
      </c>
      <c r="D124" s="19" t="s">
        <v>1850</v>
      </c>
      <c r="E124" s="19" t="s">
        <v>1851</v>
      </c>
      <c r="F124" s="19" t="s">
        <v>1852</v>
      </c>
      <c r="G124" s="19" t="s">
        <v>1910</v>
      </c>
      <c r="H124" s="19">
        <v>15</v>
      </c>
      <c r="I124" s="19">
        <v>1513.67</v>
      </c>
      <c r="J124" s="19">
        <v>22705.05</v>
      </c>
    </row>
    <row r="125" ht="15.25" spans="1:10">
      <c r="A125" s="18" t="s">
        <v>1978</v>
      </c>
      <c r="B125" s="19" t="s">
        <v>1878</v>
      </c>
      <c r="C125" s="19" t="s">
        <v>1941</v>
      </c>
      <c r="D125" s="19" t="s">
        <v>1879</v>
      </c>
      <c r="E125" s="19" t="s">
        <v>1851</v>
      </c>
      <c r="F125" s="19" t="s">
        <v>1865</v>
      </c>
      <c r="G125" s="19" t="s">
        <v>1886</v>
      </c>
      <c r="H125" s="19">
        <v>6</v>
      </c>
      <c r="I125" s="19">
        <v>194.62</v>
      </c>
      <c r="J125" s="19">
        <v>1167.72</v>
      </c>
    </row>
    <row r="126" ht="15.25" spans="1:10">
      <c r="A126" s="18">
        <v>44938</v>
      </c>
      <c r="B126" s="19" t="s">
        <v>1889</v>
      </c>
      <c r="C126" s="19" t="s">
        <v>1941</v>
      </c>
      <c r="D126" s="19" t="s">
        <v>1879</v>
      </c>
      <c r="E126" s="19" t="s">
        <v>1851</v>
      </c>
      <c r="F126" s="19" t="s">
        <v>1865</v>
      </c>
      <c r="G126" s="19" t="s">
        <v>1886</v>
      </c>
      <c r="H126" s="19">
        <v>6</v>
      </c>
      <c r="I126" s="19">
        <v>4508.3</v>
      </c>
      <c r="J126" s="19">
        <v>27049.8</v>
      </c>
    </row>
    <row r="127" ht="15.25" spans="1:10">
      <c r="A127" s="18">
        <v>45239</v>
      </c>
      <c r="B127" s="19" t="s">
        <v>1874</v>
      </c>
      <c r="C127" s="19" t="s">
        <v>1610</v>
      </c>
      <c r="D127" s="19" t="s">
        <v>1879</v>
      </c>
      <c r="E127" s="19" t="s">
        <v>1851</v>
      </c>
      <c r="F127" s="19" t="s">
        <v>1852</v>
      </c>
      <c r="G127" s="19" t="s">
        <v>1950</v>
      </c>
      <c r="H127" s="19">
        <v>20</v>
      </c>
      <c r="I127" s="19">
        <v>4055.72</v>
      </c>
      <c r="J127" s="19">
        <v>81114.4</v>
      </c>
    </row>
    <row r="128" ht="15.25" spans="1:10">
      <c r="A128" s="18">
        <v>44995</v>
      </c>
      <c r="B128" s="19" t="s">
        <v>1878</v>
      </c>
      <c r="C128" s="19" t="s">
        <v>1864</v>
      </c>
      <c r="D128" s="19" t="s">
        <v>1857</v>
      </c>
      <c r="E128" s="19" t="s">
        <v>1858</v>
      </c>
      <c r="F128" s="19" t="s">
        <v>1852</v>
      </c>
      <c r="G128" s="19" t="s">
        <v>1950</v>
      </c>
      <c r="H128" s="19">
        <v>8</v>
      </c>
      <c r="I128" s="19">
        <v>2986.89</v>
      </c>
      <c r="J128" s="19">
        <v>23895.12</v>
      </c>
    </row>
    <row r="129" ht="15.25" spans="1:10">
      <c r="A129" s="18" t="s">
        <v>1945</v>
      </c>
      <c r="B129" s="19" t="s">
        <v>1871</v>
      </c>
      <c r="C129" s="19" t="s">
        <v>1894</v>
      </c>
      <c r="D129" s="19" t="s">
        <v>1884</v>
      </c>
      <c r="E129" s="19" t="s">
        <v>1895</v>
      </c>
      <c r="F129" s="19" t="s">
        <v>1876</v>
      </c>
      <c r="G129" s="19" t="s">
        <v>1926</v>
      </c>
      <c r="H129" s="19">
        <v>7</v>
      </c>
      <c r="I129" s="19">
        <v>4933.06</v>
      </c>
      <c r="J129" s="19">
        <v>34531.42</v>
      </c>
    </row>
    <row r="130" ht="15.25" spans="1:10">
      <c r="A130" s="18" t="s">
        <v>1979</v>
      </c>
      <c r="B130" s="19" t="s">
        <v>1892</v>
      </c>
      <c r="C130" s="19" t="s">
        <v>1602</v>
      </c>
      <c r="D130" s="19" t="s">
        <v>1862</v>
      </c>
      <c r="E130" s="19" t="s">
        <v>1858</v>
      </c>
      <c r="F130" s="19" t="s">
        <v>1859</v>
      </c>
      <c r="G130" s="19" t="s">
        <v>1860</v>
      </c>
      <c r="H130" s="19">
        <v>4</v>
      </c>
      <c r="I130" s="19">
        <v>4837.17</v>
      </c>
      <c r="J130" s="19">
        <v>19348.68</v>
      </c>
    </row>
    <row r="131" ht="15.25" spans="1:10">
      <c r="A131" s="18">
        <v>45026</v>
      </c>
      <c r="B131" s="19" t="s">
        <v>1878</v>
      </c>
      <c r="C131" s="19" t="s">
        <v>1903</v>
      </c>
      <c r="D131" s="19" t="s">
        <v>1884</v>
      </c>
      <c r="E131" s="19" t="s">
        <v>1895</v>
      </c>
      <c r="F131" s="19" t="s">
        <v>1859</v>
      </c>
      <c r="G131" s="19" t="s">
        <v>1860</v>
      </c>
      <c r="H131" s="19">
        <v>1</v>
      </c>
      <c r="I131" s="19">
        <v>4813.23</v>
      </c>
      <c r="J131" s="19">
        <v>4813.23</v>
      </c>
    </row>
    <row r="132" ht="15.25" spans="1:10">
      <c r="A132" s="18" t="s">
        <v>1909</v>
      </c>
      <c r="B132" s="19" t="s">
        <v>1878</v>
      </c>
      <c r="C132" s="19" t="s">
        <v>1875</v>
      </c>
      <c r="D132" s="19" t="s">
        <v>1862</v>
      </c>
      <c r="E132" s="19" t="s">
        <v>1858</v>
      </c>
      <c r="F132" s="19" t="s">
        <v>1865</v>
      </c>
      <c r="G132" s="19" t="s">
        <v>1920</v>
      </c>
      <c r="H132" s="19">
        <v>16</v>
      </c>
      <c r="I132" s="19">
        <v>3158.66</v>
      </c>
      <c r="J132" s="19">
        <v>50538.56</v>
      </c>
    </row>
    <row r="133" ht="15.25" spans="1:10">
      <c r="A133" s="18">
        <v>45086</v>
      </c>
      <c r="B133" s="19" t="s">
        <v>1855</v>
      </c>
      <c r="C133" s="19" t="s">
        <v>1849</v>
      </c>
      <c r="D133" s="19" t="s">
        <v>1850</v>
      </c>
      <c r="E133" s="19" t="s">
        <v>1851</v>
      </c>
      <c r="F133" s="19" t="s">
        <v>1876</v>
      </c>
      <c r="G133" s="19" t="s">
        <v>1883</v>
      </c>
      <c r="H133" s="19">
        <v>6</v>
      </c>
      <c r="I133" s="19">
        <v>2920.43</v>
      </c>
      <c r="J133" s="19">
        <v>17522.58</v>
      </c>
    </row>
    <row r="134" ht="15.25" spans="1:10">
      <c r="A134" s="18">
        <v>45119</v>
      </c>
      <c r="B134" s="19" t="s">
        <v>1855</v>
      </c>
      <c r="C134" s="19" t="s">
        <v>1849</v>
      </c>
      <c r="D134" s="19" t="s">
        <v>1850</v>
      </c>
      <c r="E134" s="19" t="s">
        <v>1851</v>
      </c>
      <c r="F134" s="19" t="s">
        <v>1865</v>
      </c>
      <c r="G134" s="19" t="s">
        <v>1886</v>
      </c>
      <c r="H134" s="19">
        <v>12</v>
      </c>
      <c r="I134" s="19">
        <v>2170.02</v>
      </c>
      <c r="J134" s="19">
        <v>26040.24</v>
      </c>
    </row>
    <row r="135" ht="15.25" spans="1:10">
      <c r="A135" s="18" t="s">
        <v>1980</v>
      </c>
      <c r="B135" s="19" t="s">
        <v>1871</v>
      </c>
      <c r="C135" s="19" t="s">
        <v>1849</v>
      </c>
      <c r="D135" s="19" t="s">
        <v>1850</v>
      </c>
      <c r="E135" s="19" t="s">
        <v>1851</v>
      </c>
      <c r="F135" s="19" t="s">
        <v>1876</v>
      </c>
      <c r="G135" s="19" t="s">
        <v>1877</v>
      </c>
      <c r="H135" s="19">
        <v>2</v>
      </c>
      <c r="I135" s="19">
        <v>4542.61</v>
      </c>
      <c r="J135" s="19">
        <v>9085.22</v>
      </c>
    </row>
    <row r="136" ht="15.25" spans="1:10">
      <c r="A136" s="18" t="s">
        <v>1870</v>
      </c>
      <c r="B136" s="19" t="s">
        <v>1861</v>
      </c>
      <c r="C136" s="19" t="s">
        <v>1598</v>
      </c>
      <c r="D136" s="19" t="s">
        <v>1850</v>
      </c>
      <c r="E136" s="19" t="s">
        <v>1851</v>
      </c>
      <c r="F136" s="19" t="s">
        <v>1876</v>
      </c>
      <c r="G136" s="19" t="s">
        <v>1877</v>
      </c>
      <c r="H136" s="19">
        <v>1</v>
      </c>
      <c r="I136" s="19">
        <v>3091.48</v>
      </c>
      <c r="J136" s="19">
        <v>3091.48</v>
      </c>
    </row>
    <row r="137" ht="15.25" spans="1:10">
      <c r="A137" s="18">
        <v>45017</v>
      </c>
      <c r="B137" s="19" t="s">
        <v>1878</v>
      </c>
      <c r="C137" s="19" t="s">
        <v>1898</v>
      </c>
      <c r="D137" s="19" t="s">
        <v>1879</v>
      </c>
      <c r="E137" s="19" t="s">
        <v>1851</v>
      </c>
      <c r="F137" s="19" t="s">
        <v>1852</v>
      </c>
      <c r="G137" s="19" t="s">
        <v>1853</v>
      </c>
      <c r="H137" s="19">
        <v>3</v>
      </c>
      <c r="I137" s="19">
        <v>2205.6</v>
      </c>
      <c r="J137" s="19">
        <v>6616.8</v>
      </c>
    </row>
    <row r="138" ht="15.25" spans="1:10">
      <c r="A138" s="18" t="s">
        <v>1981</v>
      </c>
      <c r="B138" s="19" t="s">
        <v>1861</v>
      </c>
      <c r="C138" s="19" t="s">
        <v>1849</v>
      </c>
      <c r="D138" s="19" t="s">
        <v>1850</v>
      </c>
      <c r="E138" s="19" t="s">
        <v>1851</v>
      </c>
      <c r="F138" s="19" t="s">
        <v>1876</v>
      </c>
      <c r="G138" s="19" t="s">
        <v>1926</v>
      </c>
      <c r="H138" s="19">
        <v>10</v>
      </c>
      <c r="I138" s="19">
        <v>4282.18</v>
      </c>
      <c r="J138" s="19">
        <v>42821.8</v>
      </c>
    </row>
    <row r="139" ht="15.25" spans="1:10">
      <c r="A139" s="18" t="s">
        <v>1982</v>
      </c>
      <c r="B139" s="19" t="s">
        <v>1871</v>
      </c>
      <c r="C139" s="19" t="s">
        <v>1602</v>
      </c>
      <c r="D139" s="19" t="s">
        <v>1862</v>
      </c>
      <c r="E139" s="19" t="s">
        <v>1858</v>
      </c>
      <c r="F139" s="19" t="s">
        <v>1859</v>
      </c>
      <c r="G139" s="19" t="s">
        <v>1860</v>
      </c>
      <c r="H139" s="19">
        <v>5</v>
      </c>
      <c r="I139" s="19">
        <v>4252.84</v>
      </c>
      <c r="J139" s="19">
        <v>21264.2</v>
      </c>
    </row>
    <row r="140" ht="15.25" spans="1:10">
      <c r="A140" s="18">
        <v>45139</v>
      </c>
      <c r="B140" s="19" t="s">
        <v>1855</v>
      </c>
      <c r="C140" s="19" t="s">
        <v>1589</v>
      </c>
      <c r="D140" s="19" t="s">
        <v>1884</v>
      </c>
      <c r="E140" s="19" t="s">
        <v>1895</v>
      </c>
      <c r="F140" s="19" t="s">
        <v>1852</v>
      </c>
      <c r="G140" s="19" t="s">
        <v>1950</v>
      </c>
      <c r="H140" s="19">
        <v>3</v>
      </c>
      <c r="I140" s="19">
        <v>916.33</v>
      </c>
      <c r="J140" s="19">
        <v>2748.99</v>
      </c>
    </row>
    <row r="141" ht="15.25" spans="1:10">
      <c r="A141" s="18" t="s">
        <v>1983</v>
      </c>
      <c r="B141" s="19" t="s">
        <v>1855</v>
      </c>
      <c r="C141" s="19" t="s">
        <v>1610</v>
      </c>
      <c r="D141" s="19" t="s">
        <v>1879</v>
      </c>
      <c r="E141" s="19" t="s">
        <v>1851</v>
      </c>
      <c r="F141" s="19" t="s">
        <v>1852</v>
      </c>
      <c r="G141" s="19" t="s">
        <v>1950</v>
      </c>
      <c r="H141" s="19">
        <v>3</v>
      </c>
      <c r="I141" s="19">
        <v>1270.15</v>
      </c>
      <c r="J141" s="19">
        <v>3810.45</v>
      </c>
    </row>
    <row r="142" ht="15.25" spans="1:10">
      <c r="A142" s="18">
        <v>45232</v>
      </c>
      <c r="B142" s="19" t="s">
        <v>1861</v>
      </c>
      <c r="C142" s="19" t="s">
        <v>1856</v>
      </c>
      <c r="D142" s="19" t="s">
        <v>1857</v>
      </c>
      <c r="E142" s="19" t="s">
        <v>1858</v>
      </c>
      <c r="F142" s="19" t="s">
        <v>1852</v>
      </c>
      <c r="G142" s="19" t="s">
        <v>1910</v>
      </c>
      <c r="H142" s="19">
        <v>6</v>
      </c>
      <c r="I142" s="19">
        <v>1750.35</v>
      </c>
      <c r="J142" s="19">
        <v>10502.1</v>
      </c>
    </row>
    <row r="143" ht="15.25" spans="1:10">
      <c r="A143" s="18" t="s">
        <v>1984</v>
      </c>
      <c r="B143" s="19" t="s">
        <v>1848</v>
      </c>
      <c r="C143" s="19" t="s">
        <v>1856</v>
      </c>
      <c r="D143" s="19" t="s">
        <v>1857</v>
      </c>
      <c r="E143" s="19" t="s">
        <v>1858</v>
      </c>
      <c r="F143" s="19" t="s">
        <v>1868</v>
      </c>
      <c r="G143" s="19" t="s">
        <v>1869</v>
      </c>
      <c r="H143" s="19">
        <v>6</v>
      </c>
      <c r="I143" s="19">
        <v>1105.03</v>
      </c>
      <c r="J143" s="19">
        <v>6630.18</v>
      </c>
    </row>
    <row r="144" ht="15.25" spans="1:10">
      <c r="A144" s="18" t="s">
        <v>1985</v>
      </c>
      <c r="B144" s="19" t="s">
        <v>1878</v>
      </c>
      <c r="C144" s="19" t="s">
        <v>1856</v>
      </c>
      <c r="D144" s="19" t="s">
        <v>1857</v>
      </c>
      <c r="E144" s="19" t="s">
        <v>1858</v>
      </c>
      <c r="F144" s="19" t="s">
        <v>1852</v>
      </c>
      <c r="G144" s="19" t="s">
        <v>1853</v>
      </c>
      <c r="H144" s="19">
        <v>17</v>
      </c>
      <c r="I144" s="19">
        <v>1801.69</v>
      </c>
      <c r="J144" s="19">
        <v>30628.73</v>
      </c>
    </row>
    <row r="145" ht="15.25" spans="1:10">
      <c r="A145" s="18">
        <v>45176</v>
      </c>
      <c r="B145" s="19" t="s">
        <v>1889</v>
      </c>
      <c r="C145" s="19" t="s">
        <v>1906</v>
      </c>
      <c r="D145" s="19" t="s">
        <v>1862</v>
      </c>
      <c r="E145" s="19" t="s">
        <v>1858</v>
      </c>
      <c r="F145" s="19" t="s">
        <v>1876</v>
      </c>
      <c r="G145" s="19" t="s">
        <v>1877</v>
      </c>
      <c r="H145" s="19">
        <v>19</v>
      </c>
      <c r="I145" s="19">
        <v>717.29</v>
      </c>
      <c r="J145" s="19">
        <v>13628.51</v>
      </c>
    </row>
    <row r="146" ht="15.25" spans="1:10">
      <c r="A146" s="18" t="s">
        <v>1962</v>
      </c>
      <c r="B146" s="19" t="s">
        <v>1861</v>
      </c>
      <c r="C146" s="19" t="s">
        <v>1941</v>
      </c>
      <c r="D146" s="19" t="s">
        <v>1879</v>
      </c>
      <c r="E146" s="19" t="s">
        <v>1851</v>
      </c>
      <c r="F146" s="19" t="s">
        <v>1859</v>
      </c>
      <c r="G146" s="19" t="s">
        <v>1922</v>
      </c>
      <c r="H146" s="19">
        <v>2</v>
      </c>
      <c r="I146" s="19">
        <v>4547.16</v>
      </c>
      <c r="J146" s="19">
        <v>9094.32</v>
      </c>
    </row>
    <row r="147" ht="15.25" spans="1:10">
      <c r="A147" s="18">
        <v>45027</v>
      </c>
      <c r="B147" s="19" t="s">
        <v>1878</v>
      </c>
      <c r="C147" s="19" t="s">
        <v>1589</v>
      </c>
      <c r="D147" s="19" t="s">
        <v>1884</v>
      </c>
      <c r="E147" s="19" t="s">
        <v>1895</v>
      </c>
      <c r="F147" s="19" t="s">
        <v>1865</v>
      </c>
      <c r="G147" s="19" t="s">
        <v>1866</v>
      </c>
      <c r="H147" s="19">
        <v>2</v>
      </c>
      <c r="I147" s="19">
        <v>4818.49</v>
      </c>
      <c r="J147" s="19">
        <v>9636.98</v>
      </c>
    </row>
    <row r="148" ht="15.25" spans="1:10">
      <c r="A148" s="18">
        <v>45210</v>
      </c>
      <c r="B148" s="19" t="s">
        <v>1867</v>
      </c>
      <c r="C148" s="19" t="s">
        <v>1626</v>
      </c>
      <c r="D148" s="19" t="s">
        <v>1857</v>
      </c>
      <c r="E148" s="19" t="s">
        <v>1858</v>
      </c>
      <c r="F148" s="19" t="s">
        <v>1859</v>
      </c>
      <c r="G148" s="19" t="s">
        <v>1860</v>
      </c>
      <c r="H148" s="19">
        <v>14</v>
      </c>
      <c r="I148" s="19">
        <v>1410.91</v>
      </c>
      <c r="J148" s="19">
        <v>19752.74</v>
      </c>
    </row>
    <row r="149" ht="15.25" spans="1:10">
      <c r="A149" s="18" t="s">
        <v>1986</v>
      </c>
      <c r="B149" s="19" t="s">
        <v>1902</v>
      </c>
      <c r="C149" s="19" t="s">
        <v>1602</v>
      </c>
      <c r="D149" s="19" t="s">
        <v>1862</v>
      </c>
      <c r="E149" s="19" t="s">
        <v>1858</v>
      </c>
      <c r="F149" s="19" t="s">
        <v>1865</v>
      </c>
      <c r="G149" s="19" t="s">
        <v>1866</v>
      </c>
      <c r="H149" s="19">
        <v>20</v>
      </c>
      <c r="I149" s="19">
        <v>239.35</v>
      </c>
      <c r="J149" s="19">
        <v>4787</v>
      </c>
    </row>
    <row r="150" ht="15.25" spans="1:10">
      <c r="A150" s="18">
        <v>44963</v>
      </c>
      <c r="B150" s="19" t="s">
        <v>1871</v>
      </c>
      <c r="C150" s="19" t="s">
        <v>1941</v>
      </c>
      <c r="D150" s="19" t="s">
        <v>1879</v>
      </c>
      <c r="E150" s="19" t="s">
        <v>1851</v>
      </c>
      <c r="F150" s="19" t="s">
        <v>1859</v>
      </c>
      <c r="G150" s="19" t="s">
        <v>1922</v>
      </c>
      <c r="H150" s="19">
        <v>16</v>
      </c>
      <c r="I150" s="19">
        <v>4096.74</v>
      </c>
      <c r="J150" s="19">
        <v>65547.84</v>
      </c>
    </row>
    <row r="151" ht="15.25" spans="1:10">
      <c r="A151" s="18" t="s">
        <v>1987</v>
      </c>
      <c r="B151" s="19" t="s">
        <v>1871</v>
      </c>
      <c r="C151" s="19" t="s">
        <v>1626</v>
      </c>
      <c r="D151" s="19" t="s">
        <v>1857</v>
      </c>
      <c r="E151" s="19" t="s">
        <v>1858</v>
      </c>
      <c r="F151" s="19" t="s">
        <v>1859</v>
      </c>
      <c r="G151" s="19" t="s">
        <v>1872</v>
      </c>
      <c r="H151" s="19">
        <v>14</v>
      </c>
      <c r="I151" s="19">
        <v>3507.25</v>
      </c>
      <c r="J151" s="19">
        <v>49101.5</v>
      </c>
    </row>
    <row r="152" ht="15.25" spans="1:10">
      <c r="A152" s="18" t="s">
        <v>1988</v>
      </c>
      <c r="B152" s="19" t="s">
        <v>1867</v>
      </c>
      <c r="C152" s="19" t="s">
        <v>1598</v>
      </c>
      <c r="D152" s="19" t="s">
        <v>1850</v>
      </c>
      <c r="E152" s="19" t="s">
        <v>1851</v>
      </c>
      <c r="F152" s="19" t="s">
        <v>1859</v>
      </c>
      <c r="G152" s="19" t="s">
        <v>1922</v>
      </c>
      <c r="H152" s="19">
        <v>16</v>
      </c>
      <c r="I152" s="19">
        <v>4507.37</v>
      </c>
      <c r="J152" s="19">
        <v>72117.92</v>
      </c>
    </row>
    <row r="153" ht="15.25" spans="1:10">
      <c r="A153" s="18" t="s">
        <v>1943</v>
      </c>
      <c r="B153" s="19" t="s">
        <v>1871</v>
      </c>
      <c r="C153" s="19" t="s">
        <v>1589</v>
      </c>
      <c r="D153" s="19" t="s">
        <v>1884</v>
      </c>
      <c r="E153" s="19" t="s">
        <v>1895</v>
      </c>
      <c r="F153" s="19" t="s">
        <v>1852</v>
      </c>
      <c r="G153" s="19" t="s">
        <v>1910</v>
      </c>
      <c r="H153" s="19">
        <v>10</v>
      </c>
      <c r="I153" s="19">
        <v>239.55</v>
      </c>
      <c r="J153" s="19">
        <v>2395.5</v>
      </c>
    </row>
    <row r="154" ht="15.25" spans="1:10">
      <c r="A154" s="18" t="s">
        <v>1949</v>
      </c>
      <c r="B154" s="19" t="s">
        <v>1848</v>
      </c>
      <c r="C154" s="19" t="s">
        <v>1849</v>
      </c>
      <c r="D154" s="19" t="s">
        <v>1850</v>
      </c>
      <c r="E154" s="19" t="s">
        <v>1851</v>
      </c>
      <c r="F154" s="19" t="s">
        <v>1859</v>
      </c>
      <c r="G154" s="19" t="s">
        <v>1872</v>
      </c>
      <c r="H154" s="19">
        <v>17</v>
      </c>
      <c r="I154" s="19">
        <v>679.78</v>
      </c>
      <c r="J154" s="19">
        <v>11556.26</v>
      </c>
    </row>
    <row r="155" ht="15.25" spans="1:10">
      <c r="A155" s="18" t="s">
        <v>1989</v>
      </c>
      <c r="B155" s="19" t="s">
        <v>1871</v>
      </c>
      <c r="C155" s="19" t="s">
        <v>1875</v>
      </c>
      <c r="D155" s="19" t="s">
        <v>1862</v>
      </c>
      <c r="E155" s="19" t="s">
        <v>1858</v>
      </c>
      <c r="F155" s="19" t="s">
        <v>1852</v>
      </c>
      <c r="G155" s="19" t="s">
        <v>1950</v>
      </c>
      <c r="H155" s="19">
        <v>18</v>
      </c>
      <c r="I155" s="19">
        <v>2658.57</v>
      </c>
      <c r="J155" s="19">
        <v>47854.26</v>
      </c>
    </row>
    <row r="156" ht="15.25" spans="1:10">
      <c r="A156" s="18" t="s">
        <v>1967</v>
      </c>
      <c r="B156" s="19" t="s">
        <v>1889</v>
      </c>
      <c r="C156" s="19" t="s">
        <v>1856</v>
      </c>
      <c r="D156" s="19" t="s">
        <v>1857</v>
      </c>
      <c r="E156" s="19" t="s">
        <v>1858</v>
      </c>
      <c r="F156" s="19" t="s">
        <v>1852</v>
      </c>
      <c r="G156" s="19" t="s">
        <v>1853</v>
      </c>
      <c r="H156" s="19">
        <v>18</v>
      </c>
      <c r="I156" s="19">
        <v>4937.99</v>
      </c>
      <c r="J156" s="19">
        <v>88883.82</v>
      </c>
    </row>
    <row r="157" ht="15.25" spans="1:10">
      <c r="A157" s="18" t="s">
        <v>1971</v>
      </c>
      <c r="B157" s="19" t="s">
        <v>1889</v>
      </c>
      <c r="C157" s="19" t="s">
        <v>1898</v>
      </c>
      <c r="D157" s="19" t="s">
        <v>1879</v>
      </c>
      <c r="E157" s="19" t="s">
        <v>1851</v>
      </c>
      <c r="F157" s="19" t="s">
        <v>1852</v>
      </c>
      <c r="G157" s="19" t="s">
        <v>1934</v>
      </c>
      <c r="H157" s="19">
        <v>17</v>
      </c>
      <c r="I157" s="19">
        <v>3421.31</v>
      </c>
      <c r="J157" s="19">
        <v>58162.27</v>
      </c>
    </row>
    <row r="158" ht="15.25" spans="1:10">
      <c r="A158" s="18" t="s">
        <v>1982</v>
      </c>
      <c r="B158" s="19" t="s">
        <v>1902</v>
      </c>
      <c r="C158" s="19" t="s">
        <v>1903</v>
      </c>
      <c r="D158" s="19" t="s">
        <v>1884</v>
      </c>
      <c r="E158" s="19" t="s">
        <v>1895</v>
      </c>
      <c r="F158" s="19" t="s">
        <v>1876</v>
      </c>
      <c r="G158" s="19" t="s">
        <v>1877</v>
      </c>
      <c r="H158" s="19">
        <v>4</v>
      </c>
      <c r="I158" s="19">
        <v>1555.9</v>
      </c>
      <c r="J158" s="19">
        <v>6223.6</v>
      </c>
    </row>
    <row r="159" ht="15.25" spans="1:10">
      <c r="A159" s="18" t="s">
        <v>1990</v>
      </c>
      <c r="B159" s="19" t="s">
        <v>1874</v>
      </c>
      <c r="C159" s="19" t="s">
        <v>1598</v>
      </c>
      <c r="D159" s="19" t="s">
        <v>1850</v>
      </c>
      <c r="E159" s="19" t="s">
        <v>1851</v>
      </c>
      <c r="F159" s="19" t="s">
        <v>1876</v>
      </c>
      <c r="G159" s="19" t="s">
        <v>1877</v>
      </c>
      <c r="H159" s="19">
        <v>12</v>
      </c>
      <c r="I159" s="19">
        <v>932.42</v>
      </c>
      <c r="J159" s="19">
        <v>11189.04</v>
      </c>
    </row>
    <row r="160" ht="15.25" spans="1:10">
      <c r="A160" s="18" t="s">
        <v>1973</v>
      </c>
      <c r="B160" s="19" t="s">
        <v>1871</v>
      </c>
      <c r="C160" s="19" t="s">
        <v>1875</v>
      </c>
      <c r="D160" s="19" t="s">
        <v>1862</v>
      </c>
      <c r="E160" s="19" t="s">
        <v>1858</v>
      </c>
      <c r="F160" s="19" t="s">
        <v>1852</v>
      </c>
      <c r="G160" s="19" t="s">
        <v>1950</v>
      </c>
      <c r="H160" s="19">
        <v>20</v>
      </c>
      <c r="I160" s="19">
        <v>459.48</v>
      </c>
      <c r="J160" s="19">
        <v>9189.6</v>
      </c>
    </row>
    <row r="161" ht="15.25" spans="1:10">
      <c r="A161" s="18" t="s">
        <v>1963</v>
      </c>
      <c r="B161" s="19" t="s">
        <v>1855</v>
      </c>
      <c r="C161" s="19" t="s">
        <v>1602</v>
      </c>
      <c r="D161" s="19" t="s">
        <v>1862</v>
      </c>
      <c r="E161" s="19" t="s">
        <v>1858</v>
      </c>
      <c r="F161" s="19" t="s">
        <v>1876</v>
      </c>
      <c r="G161" s="19" t="s">
        <v>1926</v>
      </c>
      <c r="H161" s="19">
        <v>5</v>
      </c>
      <c r="I161" s="19">
        <v>568.87</v>
      </c>
      <c r="J161" s="19">
        <v>2844.35</v>
      </c>
    </row>
    <row r="162" ht="15.25" spans="1:10">
      <c r="A162" s="18" t="s">
        <v>1958</v>
      </c>
      <c r="B162" s="19" t="s">
        <v>1861</v>
      </c>
      <c r="C162" s="19" t="s">
        <v>1906</v>
      </c>
      <c r="D162" s="19" t="s">
        <v>1862</v>
      </c>
      <c r="E162" s="19" t="s">
        <v>1858</v>
      </c>
      <c r="F162" s="19" t="s">
        <v>1865</v>
      </c>
      <c r="G162" s="19" t="s">
        <v>1920</v>
      </c>
      <c r="H162" s="19">
        <v>10</v>
      </c>
      <c r="I162" s="19">
        <v>1468.96</v>
      </c>
      <c r="J162" s="19">
        <v>14689.6</v>
      </c>
    </row>
    <row r="163" ht="15.25" spans="1:10">
      <c r="A163" s="18" t="s">
        <v>1981</v>
      </c>
      <c r="B163" s="19" t="s">
        <v>1902</v>
      </c>
      <c r="C163" s="19" t="s">
        <v>1903</v>
      </c>
      <c r="D163" s="19" t="s">
        <v>1884</v>
      </c>
      <c r="E163" s="19" t="s">
        <v>1895</v>
      </c>
      <c r="F163" s="19" t="s">
        <v>1852</v>
      </c>
      <c r="G163" s="19" t="s">
        <v>1950</v>
      </c>
      <c r="H163" s="19">
        <v>6</v>
      </c>
      <c r="I163" s="19">
        <v>3080.25</v>
      </c>
      <c r="J163" s="19">
        <v>18481.5</v>
      </c>
    </row>
    <row r="164" ht="15.25" spans="1:10">
      <c r="A164" s="18" t="s">
        <v>1991</v>
      </c>
      <c r="B164" s="19" t="s">
        <v>1902</v>
      </c>
      <c r="C164" s="19" t="s">
        <v>1602</v>
      </c>
      <c r="D164" s="19" t="s">
        <v>1862</v>
      </c>
      <c r="E164" s="19" t="s">
        <v>1858</v>
      </c>
      <c r="F164" s="19" t="s">
        <v>1865</v>
      </c>
      <c r="G164" s="19" t="s">
        <v>1886</v>
      </c>
      <c r="H164" s="19">
        <v>11</v>
      </c>
      <c r="I164" s="19">
        <v>1817.43</v>
      </c>
      <c r="J164" s="19">
        <v>19991.73</v>
      </c>
    </row>
    <row r="165" ht="15.25" spans="1:10">
      <c r="A165" s="18" t="s">
        <v>1992</v>
      </c>
      <c r="B165" s="19" t="s">
        <v>1848</v>
      </c>
      <c r="C165" s="19" t="s">
        <v>1589</v>
      </c>
      <c r="D165" s="19" t="s">
        <v>1884</v>
      </c>
      <c r="E165" s="19" t="s">
        <v>1895</v>
      </c>
      <c r="F165" s="19" t="s">
        <v>1859</v>
      </c>
      <c r="G165" s="19" t="s">
        <v>1922</v>
      </c>
      <c r="H165" s="19">
        <v>19</v>
      </c>
      <c r="I165" s="19">
        <v>3800.55</v>
      </c>
      <c r="J165" s="19">
        <v>72210.45</v>
      </c>
    </row>
    <row r="166" ht="15.25" spans="1:10">
      <c r="A166" s="18" t="s">
        <v>1993</v>
      </c>
      <c r="B166" s="19" t="s">
        <v>1874</v>
      </c>
      <c r="C166" s="19" t="s">
        <v>1941</v>
      </c>
      <c r="D166" s="19" t="s">
        <v>1879</v>
      </c>
      <c r="E166" s="19" t="s">
        <v>1851</v>
      </c>
      <c r="F166" s="19" t="s">
        <v>1876</v>
      </c>
      <c r="G166" s="19" t="s">
        <v>1877</v>
      </c>
      <c r="H166" s="19">
        <v>17</v>
      </c>
      <c r="I166" s="19">
        <v>2809.13</v>
      </c>
      <c r="J166" s="19">
        <v>47755.21</v>
      </c>
    </row>
    <row r="167" ht="15.25" spans="1:10">
      <c r="A167" s="18">
        <v>45083</v>
      </c>
      <c r="B167" s="19" t="s">
        <v>1861</v>
      </c>
      <c r="C167" s="19" t="s">
        <v>1875</v>
      </c>
      <c r="D167" s="19" t="s">
        <v>1862</v>
      </c>
      <c r="E167" s="19" t="s">
        <v>1858</v>
      </c>
      <c r="F167" s="19" t="s">
        <v>1859</v>
      </c>
      <c r="G167" s="19" t="s">
        <v>1860</v>
      </c>
      <c r="H167" s="19">
        <v>9</v>
      </c>
      <c r="I167" s="19">
        <v>4712.98</v>
      </c>
      <c r="J167" s="19">
        <v>42416.82</v>
      </c>
    </row>
    <row r="168" ht="15.25" spans="1:10">
      <c r="A168" s="18">
        <v>44969</v>
      </c>
      <c r="B168" s="19" t="s">
        <v>1861</v>
      </c>
      <c r="C168" s="19" t="s">
        <v>1941</v>
      </c>
      <c r="D168" s="19" t="s">
        <v>1879</v>
      </c>
      <c r="E168" s="19" t="s">
        <v>1851</v>
      </c>
      <c r="F168" s="19" t="s">
        <v>1876</v>
      </c>
      <c r="G168" s="19" t="s">
        <v>1930</v>
      </c>
      <c r="H168" s="19">
        <v>1</v>
      </c>
      <c r="I168" s="19">
        <v>4541.77</v>
      </c>
      <c r="J168" s="19">
        <v>4541.77</v>
      </c>
    </row>
    <row r="169" ht="15.25" spans="1:10">
      <c r="A169" s="18">
        <v>44988</v>
      </c>
      <c r="B169" s="19" t="s">
        <v>1878</v>
      </c>
      <c r="C169" s="19" t="s">
        <v>1894</v>
      </c>
      <c r="D169" s="19" t="s">
        <v>1884</v>
      </c>
      <c r="E169" s="19" t="s">
        <v>1895</v>
      </c>
      <c r="F169" s="19" t="s">
        <v>1876</v>
      </c>
      <c r="G169" s="19" t="s">
        <v>1883</v>
      </c>
      <c r="H169" s="19">
        <v>9</v>
      </c>
      <c r="I169" s="19">
        <v>3122.72</v>
      </c>
      <c r="J169" s="19">
        <v>28104.48</v>
      </c>
    </row>
    <row r="170" ht="15.25" spans="1:10">
      <c r="A170" s="18" t="s">
        <v>1986</v>
      </c>
      <c r="B170" s="19" t="s">
        <v>1874</v>
      </c>
      <c r="C170" s="19" t="s">
        <v>1593</v>
      </c>
      <c r="D170" s="19" t="s">
        <v>1850</v>
      </c>
      <c r="E170" s="19" t="s">
        <v>1851</v>
      </c>
      <c r="F170" s="19" t="s">
        <v>1859</v>
      </c>
      <c r="G170" s="19" t="s">
        <v>1922</v>
      </c>
      <c r="H170" s="19">
        <v>9</v>
      </c>
      <c r="I170" s="19">
        <v>4198.92</v>
      </c>
      <c r="J170" s="19">
        <v>37790.28</v>
      </c>
    </row>
    <row r="171" ht="15.25" spans="1:10">
      <c r="A171" s="18">
        <v>45019</v>
      </c>
      <c r="B171" s="19" t="s">
        <v>1871</v>
      </c>
      <c r="C171" s="19" t="s">
        <v>1856</v>
      </c>
      <c r="D171" s="19" t="s">
        <v>1857</v>
      </c>
      <c r="E171" s="19" t="s">
        <v>1858</v>
      </c>
      <c r="F171" s="19" t="s">
        <v>1852</v>
      </c>
      <c r="G171" s="19" t="s">
        <v>1934</v>
      </c>
      <c r="H171" s="19">
        <v>17</v>
      </c>
      <c r="I171" s="19">
        <v>4415.85</v>
      </c>
      <c r="J171" s="19">
        <v>75069.45</v>
      </c>
    </row>
    <row r="172" ht="15.25" spans="1:10">
      <c r="A172" s="18" t="s">
        <v>1994</v>
      </c>
      <c r="B172" s="19" t="s">
        <v>1892</v>
      </c>
      <c r="C172" s="19" t="s">
        <v>1602</v>
      </c>
      <c r="D172" s="19" t="s">
        <v>1862</v>
      </c>
      <c r="E172" s="19" t="s">
        <v>1858</v>
      </c>
      <c r="F172" s="19" t="s">
        <v>1868</v>
      </c>
      <c r="G172" s="19" t="s">
        <v>1907</v>
      </c>
      <c r="H172" s="19">
        <v>16</v>
      </c>
      <c r="I172" s="19">
        <v>4684.86</v>
      </c>
      <c r="J172" s="19">
        <v>74957.76</v>
      </c>
    </row>
    <row r="173" ht="15.25" spans="1:10">
      <c r="A173" s="18" t="s">
        <v>1870</v>
      </c>
      <c r="B173" s="19" t="s">
        <v>1861</v>
      </c>
      <c r="C173" s="19" t="s">
        <v>1602</v>
      </c>
      <c r="D173" s="19" t="s">
        <v>1862</v>
      </c>
      <c r="E173" s="19" t="s">
        <v>1858</v>
      </c>
      <c r="F173" s="19" t="s">
        <v>1852</v>
      </c>
      <c r="G173" s="19" t="s">
        <v>1910</v>
      </c>
      <c r="H173" s="19">
        <v>17</v>
      </c>
      <c r="I173" s="19">
        <v>4156.25</v>
      </c>
      <c r="J173" s="19">
        <v>70656.25</v>
      </c>
    </row>
    <row r="174" ht="15.25" spans="1:10">
      <c r="A174" s="18">
        <v>45051</v>
      </c>
      <c r="B174" s="19" t="s">
        <v>1861</v>
      </c>
      <c r="C174" s="19" t="s">
        <v>1856</v>
      </c>
      <c r="D174" s="19" t="s">
        <v>1857</v>
      </c>
      <c r="E174" s="19" t="s">
        <v>1858</v>
      </c>
      <c r="F174" s="19" t="s">
        <v>1859</v>
      </c>
      <c r="G174" s="19" t="s">
        <v>1922</v>
      </c>
      <c r="H174" s="19">
        <v>10</v>
      </c>
      <c r="I174" s="19">
        <v>3776.8</v>
      </c>
      <c r="J174" s="19">
        <v>37768</v>
      </c>
    </row>
    <row r="175" ht="15.25" spans="1:10">
      <c r="A175" s="18" t="s">
        <v>1921</v>
      </c>
      <c r="B175" s="19" t="s">
        <v>1889</v>
      </c>
      <c r="C175" s="19" t="s">
        <v>1898</v>
      </c>
      <c r="D175" s="19" t="s">
        <v>1879</v>
      </c>
      <c r="E175" s="19" t="s">
        <v>1851</v>
      </c>
      <c r="F175" s="19" t="s">
        <v>1876</v>
      </c>
      <c r="G175" s="19" t="s">
        <v>1877</v>
      </c>
      <c r="H175" s="19">
        <v>8</v>
      </c>
      <c r="I175" s="19">
        <v>310.33</v>
      </c>
      <c r="J175" s="19">
        <v>2482.64</v>
      </c>
    </row>
    <row r="176" ht="15.25" spans="1:10">
      <c r="A176" s="18">
        <v>45051</v>
      </c>
      <c r="B176" s="19" t="s">
        <v>1871</v>
      </c>
      <c r="C176" s="19" t="s">
        <v>1941</v>
      </c>
      <c r="D176" s="19" t="s">
        <v>1879</v>
      </c>
      <c r="E176" s="19" t="s">
        <v>1851</v>
      </c>
      <c r="F176" s="19" t="s">
        <v>1868</v>
      </c>
      <c r="G176" s="19" t="s">
        <v>1899</v>
      </c>
      <c r="H176" s="19">
        <v>5</v>
      </c>
      <c r="I176" s="19">
        <v>1313.4</v>
      </c>
      <c r="J176" s="19">
        <v>6567</v>
      </c>
    </row>
    <row r="177" ht="15.25" spans="1:10">
      <c r="A177" s="18" t="s">
        <v>1995</v>
      </c>
      <c r="B177" s="19" t="s">
        <v>1902</v>
      </c>
      <c r="C177" s="19" t="s">
        <v>1849</v>
      </c>
      <c r="D177" s="19" t="s">
        <v>1850</v>
      </c>
      <c r="E177" s="19" t="s">
        <v>1851</v>
      </c>
      <c r="F177" s="19" t="s">
        <v>1868</v>
      </c>
      <c r="G177" s="19" t="s">
        <v>1907</v>
      </c>
      <c r="H177" s="19">
        <v>6</v>
      </c>
      <c r="I177" s="19">
        <v>2332.11</v>
      </c>
      <c r="J177" s="19">
        <v>13992.66</v>
      </c>
    </row>
    <row r="178" ht="15.25" spans="1:10">
      <c r="A178" s="18" t="s">
        <v>1996</v>
      </c>
      <c r="B178" s="19" t="s">
        <v>1855</v>
      </c>
      <c r="C178" s="19" t="s">
        <v>1589</v>
      </c>
      <c r="D178" s="19" t="s">
        <v>1884</v>
      </c>
      <c r="E178" s="19" t="s">
        <v>1895</v>
      </c>
      <c r="F178" s="19" t="s">
        <v>1859</v>
      </c>
      <c r="G178" s="19" t="s">
        <v>1947</v>
      </c>
      <c r="H178" s="19">
        <v>3</v>
      </c>
      <c r="I178" s="19">
        <v>4955.22</v>
      </c>
      <c r="J178" s="19">
        <v>14865.66</v>
      </c>
    </row>
    <row r="179" ht="15.25" spans="1:10">
      <c r="A179" s="18" t="s">
        <v>1997</v>
      </c>
      <c r="B179" s="19" t="s">
        <v>1855</v>
      </c>
      <c r="C179" s="19" t="s">
        <v>1849</v>
      </c>
      <c r="D179" s="19" t="s">
        <v>1850</v>
      </c>
      <c r="E179" s="19" t="s">
        <v>1851</v>
      </c>
      <c r="F179" s="19" t="s">
        <v>1852</v>
      </c>
      <c r="G179" s="19" t="s">
        <v>1853</v>
      </c>
      <c r="H179" s="19">
        <v>17</v>
      </c>
      <c r="I179" s="19">
        <v>3827.64</v>
      </c>
      <c r="J179" s="19">
        <v>65069.88</v>
      </c>
    </row>
    <row r="180" ht="15.25" spans="1:10">
      <c r="A180" s="18">
        <v>45025</v>
      </c>
      <c r="B180" s="19" t="s">
        <v>1848</v>
      </c>
      <c r="C180" s="19" t="s">
        <v>1898</v>
      </c>
      <c r="D180" s="19" t="s">
        <v>1879</v>
      </c>
      <c r="E180" s="19" t="s">
        <v>1851</v>
      </c>
      <c r="F180" s="19" t="s">
        <v>1865</v>
      </c>
      <c r="G180" s="19" t="s">
        <v>1866</v>
      </c>
      <c r="H180" s="19">
        <v>17</v>
      </c>
      <c r="I180" s="19">
        <v>3857.33</v>
      </c>
      <c r="J180" s="19">
        <v>65574.61</v>
      </c>
    </row>
    <row r="181" ht="15.25" spans="1:10">
      <c r="A181" s="18" t="s">
        <v>1998</v>
      </c>
      <c r="B181" s="19" t="s">
        <v>1861</v>
      </c>
      <c r="C181" s="19" t="s">
        <v>1864</v>
      </c>
      <c r="D181" s="19" t="s">
        <v>1857</v>
      </c>
      <c r="E181" s="19" t="s">
        <v>1858</v>
      </c>
      <c r="F181" s="19" t="s">
        <v>1865</v>
      </c>
      <c r="G181" s="19" t="s">
        <v>1890</v>
      </c>
      <c r="H181" s="19">
        <v>8</v>
      </c>
      <c r="I181" s="19">
        <v>1421.21</v>
      </c>
      <c r="J181" s="19">
        <v>11369.68</v>
      </c>
    </row>
    <row r="182" ht="15.25" spans="1:10">
      <c r="A182" s="18" t="s">
        <v>1999</v>
      </c>
      <c r="B182" s="19" t="s">
        <v>1855</v>
      </c>
      <c r="C182" s="19" t="s">
        <v>1593</v>
      </c>
      <c r="D182" s="19" t="s">
        <v>1850</v>
      </c>
      <c r="E182" s="19" t="s">
        <v>1851</v>
      </c>
      <c r="F182" s="19" t="s">
        <v>1868</v>
      </c>
      <c r="G182" s="19" t="s">
        <v>1917</v>
      </c>
      <c r="H182" s="19">
        <v>1</v>
      </c>
      <c r="I182" s="19">
        <v>1544.87</v>
      </c>
      <c r="J182" s="19">
        <v>1544.87</v>
      </c>
    </row>
    <row r="183" ht="15.25" spans="1:10">
      <c r="A183" s="18" t="s">
        <v>2000</v>
      </c>
      <c r="B183" s="19" t="s">
        <v>1861</v>
      </c>
      <c r="C183" s="19" t="s">
        <v>1898</v>
      </c>
      <c r="D183" s="19" t="s">
        <v>1879</v>
      </c>
      <c r="E183" s="19" t="s">
        <v>1851</v>
      </c>
      <c r="F183" s="19" t="s">
        <v>1868</v>
      </c>
      <c r="G183" s="19" t="s">
        <v>1907</v>
      </c>
      <c r="H183" s="19">
        <v>14</v>
      </c>
      <c r="I183" s="19">
        <v>2764.71</v>
      </c>
      <c r="J183" s="19">
        <v>38705.94</v>
      </c>
    </row>
    <row r="184" ht="15.25" spans="1:10">
      <c r="A184" s="18">
        <v>45023</v>
      </c>
      <c r="B184" s="19" t="s">
        <v>1874</v>
      </c>
      <c r="C184" s="19" t="s">
        <v>1875</v>
      </c>
      <c r="D184" s="19" t="s">
        <v>1862</v>
      </c>
      <c r="E184" s="19" t="s">
        <v>1858</v>
      </c>
      <c r="F184" s="19" t="s">
        <v>1865</v>
      </c>
      <c r="G184" s="19" t="s">
        <v>1866</v>
      </c>
      <c r="H184" s="19">
        <v>9</v>
      </c>
      <c r="I184" s="19">
        <v>2210.8</v>
      </c>
      <c r="J184" s="19">
        <v>19897.2</v>
      </c>
    </row>
    <row r="185" ht="15.25" spans="1:10">
      <c r="A185" s="18">
        <v>44958</v>
      </c>
      <c r="B185" s="19" t="s">
        <v>1861</v>
      </c>
      <c r="C185" s="19" t="s">
        <v>1626</v>
      </c>
      <c r="D185" s="19" t="s">
        <v>1857</v>
      </c>
      <c r="E185" s="19" t="s">
        <v>1858</v>
      </c>
      <c r="F185" s="19" t="s">
        <v>1852</v>
      </c>
      <c r="G185" s="19" t="s">
        <v>1950</v>
      </c>
      <c r="H185" s="19">
        <v>3</v>
      </c>
      <c r="I185" s="19">
        <v>4359.9</v>
      </c>
      <c r="J185" s="19">
        <v>13079.7</v>
      </c>
    </row>
    <row r="186" ht="15.25" spans="1:10">
      <c r="A186" s="18" t="s">
        <v>1909</v>
      </c>
      <c r="B186" s="19" t="s">
        <v>1889</v>
      </c>
      <c r="C186" s="19" t="s">
        <v>1602</v>
      </c>
      <c r="D186" s="19" t="s">
        <v>1862</v>
      </c>
      <c r="E186" s="19" t="s">
        <v>1858</v>
      </c>
      <c r="F186" s="19" t="s">
        <v>1852</v>
      </c>
      <c r="G186" s="19" t="s">
        <v>1853</v>
      </c>
      <c r="H186" s="19">
        <v>7</v>
      </c>
      <c r="I186" s="19">
        <v>3836.77</v>
      </c>
      <c r="J186" s="19">
        <v>26857.39</v>
      </c>
    </row>
    <row r="187" ht="15.25" spans="1:10">
      <c r="A187" s="18" t="s">
        <v>2001</v>
      </c>
      <c r="B187" s="19" t="s">
        <v>1878</v>
      </c>
      <c r="C187" s="19" t="s">
        <v>1898</v>
      </c>
      <c r="D187" s="19" t="s">
        <v>1879</v>
      </c>
      <c r="E187" s="19" t="s">
        <v>1851</v>
      </c>
      <c r="F187" s="19" t="s">
        <v>1859</v>
      </c>
      <c r="G187" s="19" t="s">
        <v>1922</v>
      </c>
      <c r="H187" s="19">
        <v>7</v>
      </c>
      <c r="I187" s="19">
        <v>560.58</v>
      </c>
      <c r="J187" s="19">
        <v>3924.06</v>
      </c>
    </row>
    <row r="188" ht="15.25" spans="1:10">
      <c r="A188" s="18">
        <v>45266</v>
      </c>
      <c r="B188" s="19" t="s">
        <v>1871</v>
      </c>
      <c r="C188" s="19" t="s">
        <v>1894</v>
      </c>
      <c r="D188" s="19" t="s">
        <v>1884</v>
      </c>
      <c r="E188" s="19" t="s">
        <v>1895</v>
      </c>
      <c r="F188" s="19" t="s">
        <v>1876</v>
      </c>
      <c r="G188" s="19" t="s">
        <v>1877</v>
      </c>
      <c r="H188" s="19">
        <v>17</v>
      </c>
      <c r="I188" s="19">
        <v>1574.45</v>
      </c>
      <c r="J188" s="19">
        <v>26765.65</v>
      </c>
    </row>
    <row r="189" ht="15.25" spans="1:10">
      <c r="A189" s="18">
        <v>44960</v>
      </c>
      <c r="B189" s="19" t="s">
        <v>1867</v>
      </c>
      <c r="C189" s="19" t="s">
        <v>1894</v>
      </c>
      <c r="D189" s="19" t="s">
        <v>1884</v>
      </c>
      <c r="E189" s="19" t="s">
        <v>1895</v>
      </c>
      <c r="F189" s="19" t="s">
        <v>1852</v>
      </c>
      <c r="G189" s="19" t="s">
        <v>1853</v>
      </c>
      <c r="H189" s="19">
        <v>17</v>
      </c>
      <c r="I189" s="19">
        <v>578.67</v>
      </c>
      <c r="J189" s="19">
        <v>9837.39</v>
      </c>
    </row>
    <row r="190" ht="15.25" spans="1:10">
      <c r="A190" s="18" t="s">
        <v>1944</v>
      </c>
      <c r="B190" s="19" t="s">
        <v>1878</v>
      </c>
      <c r="C190" s="19" t="s">
        <v>1856</v>
      </c>
      <c r="D190" s="19" t="s">
        <v>1857</v>
      </c>
      <c r="E190" s="19" t="s">
        <v>1858</v>
      </c>
      <c r="F190" s="19" t="s">
        <v>1868</v>
      </c>
      <c r="G190" s="19" t="s">
        <v>1869</v>
      </c>
      <c r="H190" s="19">
        <v>19</v>
      </c>
      <c r="I190" s="19">
        <v>1441.02</v>
      </c>
      <c r="J190" s="19">
        <v>27379.38</v>
      </c>
    </row>
    <row r="191" ht="15.25" spans="1:10">
      <c r="A191" s="18" t="s">
        <v>2002</v>
      </c>
      <c r="B191" s="19" t="s">
        <v>1848</v>
      </c>
      <c r="C191" s="19" t="s">
        <v>1626</v>
      </c>
      <c r="D191" s="19" t="s">
        <v>1857</v>
      </c>
      <c r="E191" s="19" t="s">
        <v>1858</v>
      </c>
      <c r="F191" s="19" t="s">
        <v>1852</v>
      </c>
      <c r="G191" s="19" t="s">
        <v>1934</v>
      </c>
      <c r="H191" s="19">
        <v>19</v>
      </c>
      <c r="I191" s="19">
        <v>618.02</v>
      </c>
      <c r="J191" s="19">
        <v>11742.38</v>
      </c>
    </row>
    <row r="192" ht="15.25" spans="1:10">
      <c r="A192" s="18" t="s">
        <v>1988</v>
      </c>
      <c r="B192" s="19" t="s">
        <v>1889</v>
      </c>
      <c r="C192" s="19" t="s">
        <v>1941</v>
      </c>
      <c r="D192" s="19" t="s">
        <v>1879</v>
      </c>
      <c r="E192" s="19" t="s">
        <v>1851</v>
      </c>
      <c r="F192" s="19" t="s">
        <v>1859</v>
      </c>
      <c r="G192" s="19" t="s">
        <v>1872</v>
      </c>
      <c r="H192" s="19">
        <v>15</v>
      </c>
      <c r="I192" s="19">
        <v>4093.93</v>
      </c>
      <c r="J192" s="19">
        <v>61408.95</v>
      </c>
    </row>
    <row r="193" ht="15.25" spans="1:10">
      <c r="A193" s="18" t="s">
        <v>1974</v>
      </c>
      <c r="B193" s="19" t="s">
        <v>1855</v>
      </c>
      <c r="C193" s="19" t="s">
        <v>1610</v>
      </c>
      <c r="D193" s="19" t="s">
        <v>1879</v>
      </c>
      <c r="E193" s="19" t="s">
        <v>1851</v>
      </c>
      <c r="F193" s="19" t="s">
        <v>1852</v>
      </c>
      <c r="G193" s="19" t="s">
        <v>1910</v>
      </c>
      <c r="H193" s="19">
        <v>16</v>
      </c>
      <c r="I193" s="19">
        <v>2714.37</v>
      </c>
      <c r="J193" s="19">
        <v>43429.92</v>
      </c>
    </row>
    <row r="194" ht="15.25" spans="1:10">
      <c r="A194" s="18" t="s">
        <v>1973</v>
      </c>
      <c r="B194" s="19" t="s">
        <v>1874</v>
      </c>
      <c r="C194" s="19" t="s">
        <v>1941</v>
      </c>
      <c r="D194" s="19" t="s">
        <v>1879</v>
      </c>
      <c r="E194" s="19" t="s">
        <v>1851</v>
      </c>
      <c r="F194" s="19" t="s">
        <v>1865</v>
      </c>
      <c r="G194" s="19" t="s">
        <v>1866</v>
      </c>
      <c r="H194" s="19">
        <v>8</v>
      </c>
      <c r="I194" s="19">
        <v>4658.57</v>
      </c>
      <c r="J194" s="19">
        <v>37268.56</v>
      </c>
    </row>
    <row r="195" ht="15.25" spans="1:10">
      <c r="A195" s="18">
        <v>45268</v>
      </c>
      <c r="B195" s="19" t="s">
        <v>1878</v>
      </c>
      <c r="C195" s="19" t="s">
        <v>1849</v>
      </c>
      <c r="D195" s="19" t="s">
        <v>1850</v>
      </c>
      <c r="E195" s="19" t="s">
        <v>1851</v>
      </c>
      <c r="F195" s="19" t="s">
        <v>1859</v>
      </c>
      <c r="G195" s="19" t="s">
        <v>1947</v>
      </c>
      <c r="H195" s="19">
        <v>20</v>
      </c>
      <c r="I195" s="19">
        <v>3203.76</v>
      </c>
      <c r="J195" s="19">
        <v>64075.2</v>
      </c>
    </row>
    <row r="196" ht="15.25" spans="1:10">
      <c r="A196" s="18" t="s">
        <v>1893</v>
      </c>
      <c r="B196" s="19" t="s">
        <v>1878</v>
      </c>
      <c r="C196" s="19" t="s">
        <v>1903</v>
      </c>
      <c r="D196" s="19" t="s">
        <v>1884</v>
      </c>
      <c r="E196" s="19" t="s">
        <v>1895</v>
      </c>
      <c r="F196" s="19" t="s">
        <v>1876</v>
      </c>
      <c r="G196" s="19" t="s">
        <v>1926</v>
      </c>
      <c r="H196" s="19">
        <v>5</v>
      </c>
      <c r="I196" s="19">
        <v>3572.02</v>
      </c>
      <c r="J196" s="19">
        <v>17860.1</v>
      </c>
    </row>
    <row r="197" ht="15.25" spans="1:10">
      <c r="A197" s="18" t="s">
        <v>2003</v>
      </c>
      <c r="B197" s="19" t="s">
        <v>1848</v>
      </c>
      <c r="C197" s="19" t="s">
        <v>1898</v>
      </c>
      <c r="D197" s="19" t="s">
        <v>1879</v>
      </c>
      <c r="E197" s="19" t="s">
        <v>1851</v>
      </c>
      <c r="F197" s="19" t="s">
        <v>1868</v>
      </c>
      <c r="G197" s="19" t="s">
        <v>1917</v>
      </c>
      <c r="H197" s="19">
        <v>4</v>
      </c>
      <c r="I197" s="19">
        <v>328.82</v>
      </c>
      <c r="J197" s="19">
        <v>1315.28</v>
      </c>
    </row>
    <row r="198" ht="15.25" spans="1:10">
      <c r="A198" s="18">
        <v>45083</v>
      </c>
      <c r="B198" s="19" t="s">
        <v>1848</v>
      </c>
      <c r="C198" s="19" t="s">
        <v>1589</v>
      </c>
      <c r="D198" s="19" t="s">
        <v>1884</v>
      </c>
      <c r="E198" s="19" t="s">
        <v>1895</v>
      </c>
      <c r="F198" s="19" t="s">
        <v>1859</v>
      </c>
      <c r="G198" s="19" t="s">
        <v>1872</v>
      </c>
      <c r="H198" s="19">
        <v>10</v>
      </c>
      <c r="I198" s="19">
        <v>4210.63</v>
      </c>
      <c r="J198" s="19">
        <v>42106.3</v>
      </c>
    </row>
    <row r="199" ht="15.25" spans="1:10">
      <c r="A199" s="18" t="s">
        <v>2004</v>
      </c>
      <c r="B199" s="19" t="s">
        <v>1867</v>
      </c>
      <c r="C199" s="19" t="s">
        <v>1602</v>
      </c>
      <c r="D199" s="19" t="s">
        <v>1862</v>
      </c>
      <c r="E199" s="19" t="s">
        <v>1858</v>
      </c>
      <c r="F199" s="19" t="s">
        <v>1865</v>
      </c>
      <c r="G199" s="19" t="s">
        <v>1866</v>
      </c>
      <c r="H199" s="19">
        <v>15</v>
      </c>
      <c r="I199" s="19">
        <v>211.9</v>
      </c>
      <c r="J199" s="19">
        <v>3178.5</v>
      </c>
    </row>
    <row r="200" ht="15.25" spans="1:10">
      <c r="A200" s="18" t="s">
        <v>2005</v>
      </c>
      <c r="B200" s="19" t="s">
        <v>1902</v>
      </c>
      <c r="C200" s="19" t="s">
        <v>1903</v>
      </c>
      <c r="D200" s="19" t="s">
        <v>1884</v>
      </c>
      <c r="E200" s="19" t="s">
        <v>1895</v>
      </c>
      <c r="F200" s="19" t="s">
        <v>1852</v>
      </c>
      <c r="G200" s="19" t="s">
        <v>1853</v>
      </c>
      <c r="H200" s="19">
        <v>6</v>
      </c>
      <c r="I200" s="19">
        <v>1847.42</v>
      </c>
      <c r="J200" s="19">
        <v>11084.52</v>
      </c>
    </row>
    <row r="201" ht="15.25" spans="1:10">
      <c r="A201" s="18" t="s">
        <v>2006</v>
      </c>
      <c r="B201" s="19" t="s">
        <v>1855</v>
      </c>
      <c r="C201" s="19" t="s">
        <v>1903</v>
      </c>
      <c r="D201" s="19" t="s">
        <v>1884</v>
      </c>
      <c r="E201" s="19" t="s">
        <v>1895</v>
      </c>
      <c r="F201" s="19" t="s">
        <v>1868</v>
      </c>
      <c r="G201" s="19" t="s">
        <v>1899</v>
      </c>
      <c r="H201" s="19">
        <v>15</v>
      </c>
      <c r="I201" s="19">
        <v>3875.6</v>
      </c>
      <c r="J201" s="19">
        <v>58134</v>
      </c>
    </row>
    <row r="202" ht="15.25" spans="1:10">
      <c r="A202" s="18" t="s">
        <v>2007</v>
      </c>
      <c r="B202" s="19" t="s">
        <v>1874</v>
      </c>
      <c r="C202" s="19" t="s">
        <v>1903</v>
      </c>
      <c r="D202" s="19" t="s">
        <v>1884</v>
      </c>
      <c r="E202" s="19" t="s">
        <v>1895</v>
      </c>
      <c r="F202" s="19" t="s">
        <v>1859</v>
      </c>
      <c r="G202" s="19" t="s">
        <v>1872</v>
      </c>
      <c r="H202" s="19">
        <v>1</v>
      </c>
      <c r="I202" s="19">
        <v>1323.63</v>
      </c>
      <c r="J202" s="19">
        <v>1323.63</v>
      </c>
    </row>
    <row r="203" ht="15.25" spans="1:10">
      <c r="A203" s="18">
        <v>44988</v>
      </c>
      <c r="B203" s="19" t="s">
        <v>1892</v>
      </c>
      <c r="C203" s="19" t="s">
        <v>1898</v>
      </c>
      <c r="D203" s="19" t="s">
        <v>1879</v>
      </c>
      <c r="E203" s="19" t="s">
        <v>1851</v>
      </c>
      <c r="F203" s="19" t="s">
        <v>1876</v>
      </c>
      <c r="G203" s="19" t="s">
        <v>1926</v>
      </c>
      <c r="H203" s="19">
        <v>18</v>
      </c>
      <c r="I203" s="19">
        <v>3916.11</v>
      </c>
      <c r="J203" s="19">
        <v>70489.98</v>
      </c>
    </row>
    <row r="204" ht="15.25" spans="1:10">
      <c r="A204" s="18" t="s">
        <v>2008</v>
      </c>
      <c r="B204" s="19" t="s">
        <v>1861</v>
      </c>
      <c r="C204" s="19" t="s">
        <v>1610</v>
      </c>
      <c r="D204" s="19" t="s">
        <v>1879</v>
      </c>
      <c r="E204" s="19" t="s">
        <v>1851</v>
      </c>
      <c r="F204" s="19" t="s">
        <v>1852</v>
      </c>
      <c r="G204" s="19" t="s">
        <v>1934</v>
      </c>
      <c r="H204" s="19">
        <v>16</v>
      </c>
      <c r="I204" s="19">
        <v>4624.91</v>
      </c>
      <c r="J204" s="19">
        <v>73998.56</v>
      </c>
    </row>
    <row r="205" ht="15.25" spans="1:10">
      <c r="A205" s="18" t="s">
        <v>1885</v>
      </c>
      <c r="B205" s="19" t="s">
        <v>1861</v>
      </c>
      <c r="C205" s="19" t="s">
        <v>1849</v>
      </c>
      <c r="D205" s="19" t="s">
        <v>1850</v>
      </c>
      <c r="E205" s="19" t="s">
        <v>1851</v>
      </c>
      <c r="F205" s="19" t="s">
        <v>1859</v>
      </c>
      <c r="G205" s="19" t="s">
        <v>1947</v>
      </c>
      <c r="H205" s="19">
        <v>8</v>
      </c>
      <c r="I205" s="19">
        <v>4091.1</v>
      </c>
      <c r="J205" s="19">
        <v>32728.8</v>
      </c>
    </row>
    <row r="206" ht="15.25" spans="1:10">
      <c r="A206" s="18" t="s">
        <v>2009</v>
      </c>
      <c r="B206" s="19" t="s">
        <v>1848</v>
      </c>
      <c r="C206" s="19" t="s">
        <v>1849</v>
      </c>
      <c r="D206" s="19" t="s">
        <v>1850</v>
      </c>
      <c r="E206" s="19" t="s">
        <v>1851</v>
      </c>
      <c r="F206" s="19" t="s">
        <v>1852</v>
      </c>
      <c r="G206" s="19" t="s">
        <v>1934</v>
      </c>
      <c r="H206" s="19">
        <v>16</v>
      </c>
      <c r="I206" s="19">
        <v>3369.55</v>
      </c>
      <c r="J206" s="19">
        <v>53912.8</v>
      </c>
    </row>
    <row r="207" ht="15.25" spans="1:10">
      <c r="A207" s="18">
        <v>45209</v>
      </c>
      <c r="B207" s="19" t="s">
        <v>1871</v>
      </c>
      <c r="C207" s="19" t="s">
        <v>1906</v>
      </c>
      <c r="D207" s="19" t="s">
        <v>1862</v>
      </c>
      <c r="E207" s="19" t="s">
        <v>1858</v>
      </c>
      <c r="F207" s="19" t="s">
        <v>1852</v>
      </c>
      <c r="G207" s="19" t="s">
        <v>1910</v>
      </c>
      <c r="H207" s="19">
        <v>3</v>
      </c>
      <c r="I207" s="19">
        <v>3591.92</v>
      </c>
      <c r="J207" s="19">
        <v>10775.76</v>
      </c>
    </row>
    <row r="208" ht="15.25" spans="1:10">
      <c r="A208" s="18" t="s">
        <v>2010</v>
      </c>
      <c r="B208" s="19" t="s">
        <v>1889</v>
      </c>
      <c r="C208" s="19" t="s">
        <v>1593</v>
      </c>
      <c r="D208" s="19" t="s">
        <v>1850</v>
      </c>
      <c r="E208" s="19" t="s">
        <v>1851</v>
      </c>
      <c r="F208" s="19" t="s">
        <v>1865</v>
      </c>
      <c r="G208" s="19" t="s">
        <v>1866</v>
      </c>
      <c r="H208" s="19">
        <v>4</v>
      </c>
      <c r="I208" s="19">
        <v>4298.35</v>
      </c>
      <c r="J208" s="19">
        <v>17193.4</v>
      </c>
    </row>
    <row r="209" ht="15.25" spans="1:10">
      <c r="A209" s="18">
        <v>45115</v>
      </c>
      <c r="B209" s="19" t="s">
        <v>1848</v>
      </c>
      <c r="C209" s="19" t="s">
        <v>1898</v>
      </c>
      <c r="D209" s="19" t="s">
        <v>1879</v>
      </c>
      <c r="E209" s="19" t="s">
        <v>1851</v>
      </c>
      <c r="F209" s="19" t="s">
        <v>1859</v>
      </c>
      <c r="G209" s="19" t="s">
        <v>1922</v>
      </c>
      <c r="H209" s="19">
        <v>11</v>
      </c>
      <c r="I209" s="19">
        <v>3687.73</v>
      </c>
      <c r="J209" s="19">
        <v>40565.03</v>
      </c>
    </row>
    <row r="210" ht="15.25" spans="1:10">
      <c r="A210" s="18" t="s">
        <v>1995</v>
      </c>
      <c r="B210" s="19" t="s">
        <v>1855</v>
      </c>
      <c r="C210" s="19" t="s">
        <v>1610</v>
      </c>
      <c r="D210" s="19" t="s">
        <v>1879</v>
      </c>
      <c r="E210" s="19" t="s">
        <v>1851</v>
      </c>
      <c r="F210" s="19" t="s">
        <v>1868</v>
      </c>
      <c r="G210" s="19" t="s">
        <v>1917</v>
      </c>
      <c r="H210" s="19">
        <v>12</v>
      </c>
      <c r="I210" s="19">
        <v>548.36</v>
      </c>
      <c r="J210" s="19">
        <v>6580.32</v>
      </c>
    </row>
    <row r="211" ht="15.25" spans="1:10">
      <c r="A211" s="18">
        <v>45175</v>
      </c>
      <c r="B211" s="19" t="s">
        <v>1878</v>
      </c>
      <c r="C211" s="19" t="s">
        <v>1602</v>
      </c>
      <c r="D211" s="19" t="s">
        <v>1862</v>
      </c>
      <c r="E211" s="19" t="s">
        <v>1858</v>
      </c>
      <c r="F211" s="19" t="s">
        <v>1865</v>
      </c>
      <c r="G211" s="19" t="s">
        <v>1866</v>
      </c>
      <c r="H211" s="19">
        <v>6</v>
      </c>
      <c r="I211" s="19">
        <v>3931.61</v>
      </c>
      <c r="J211" s="19">
        <v>23589.66</v>
      </c>
    </row>
    <row r="212" ht="15.25" spans="1:10">
      <c r="A212" s="18">
        <v>45237</v>
      </c>
      <c r="B212" s="19" t="s">
        <v>1848</v>
      </c>
      <c r="C212" s="19" t="s">
        <v>1849</v>
      </c>
      <c r="D212" s="19" t="s">
        <v>1850</v>
      </c>
      <c r="E212" s="19" t="s">
        <v>1851</v>
      </c>
      <c r="F212" s="19" t="s">
        <v>1865</v>
      </c>
      <c r="G212" s="19" t="s">
        <v>1886</v>
      </c>
      <c r="H212" s="19">
        <v>18</v>
      </c>
      <c r="I212" s="19">
        <v>1120.1</v>
      </c>
      <c r="J212" s="19">
        <v>20161.8</v>
      </c>
    </row>
    <row r="213" ht="15.25" spans="1:10">
      <c r="A213" s="18" t="s">
        <v>2011</v>
      </c>
      <c r="B213" s="19" t="s">
        <v>1892</v>
      </c>
      <c r="C213" s="19" t="s">
        <v>1875</v>
      </c>
      <c r="D213" s="19" t="s">
        <v>1862</v>
      </c>
      <c r="E213" s="19" t="s">
        <v>1858</v>
      </c>
      <c r="F213" s="19" t="s">
        <v>1859</v>
      </c>
      <c r="G213" s="19" t="s">
        <v>1947</v>
      </c>
      <c r="H213" s="19">
        <v>11</v>
      </c>
      <c r="I213" s="19">
        <v>1473.35</v>
      </c>
      <c r="J213" s="19">
        <v>16206.85</v>
      </c>
    </row>
    <row r="214" ht="15.25" spans="1:10">
      <c r="A214" s="18" t="s">
        <v>2012</v>
      </c>
      <c r="B214" s="19" t="s">
        <v>1867</v>
      </c>
      <c r="C214" s="19" t="s">
        <v>1898</v>
      </c>
      <c r="D214" s="19" t="s">
        <v>1879</v>
      </c>
      <c r="E214" s="19" t="s">
        <v>1851</v>
      </c>
      <c r="F214" s="19" t="s">
        <v>1876</v>
      </c>
      <c r="G214" s="19" t="s">
        <v>1883</v>
      </c>
      <c r="H214" s="19">
        <v>6</v>
      </c>
      <c r="I214" s="19">
        <v>297.27</v>
      </c>
      <c r="J214" s="19">
        <v>1783.62</v>
      </c>
    </row>
    <row r="215" ht="15.25" spans="1:10">
      <c r="A215" s="18" t="s">
        <v>2013</v>
      </c>
      <c r="B215" s="19" t="s">
        <v>1848</v>
      </c>
      <c r="C215" s="19" t="s">
        <v>1593</v>
      </c>
      <c r="D215" s="19" t="s">
        <v>1850</v>
      </c>
      <c r="E215" s="19" t="s">
        <v>1851</v>
      </c>
      <c r="F215" s="19" t="s">
        <v>1868</v>
      </c>
      <c r="G215" s="19" t="s">
        <v>1899</v>
      </c>
      <c r="H215" s="19">
        <v>5</v>
      </c>
      <c r="I215" s="19">
        <v>4872.89</v>
      </c>
      <c r="J215" s="19">
        <v>24364.45</v>
      </c>
    </row>
    <row r="216" ht="15.25" spans="1:10">
      <c r="A216" s="18" t="s">
        <v>1964</v>
      </c>
      <c r="B216" s="19" t="s">
        <v>1874</v>
      </c>
      <c r="C216" s="19" t="s">
        <v>1894</v>
      </c>
      <c r="D216" s="19" t="s">
        <v>1884</v>
      </c>
      <c r="E216" s="19" t="s">
        <v>1895</v>
      </c>
      <c r="F216" s="19" t="s">
        <v>1868</v>
      </c>
      <c r="G216" s="19" t="s">
        <v>1907</v>
      </c>
      <c r="H216" s="19">
        <v>20</v>
      </c>
      <c r="I216" s="19">
        <v>4711.51</v>
      </c>
      <c r="J216" s="19">
        <v>94230.2</v>
      </c>
    </row>
    <row r="217" ht="15.25" spans="1:10">
      <c r="A217" s="18" t="s">
        <v>1971</v>
      </c>
      <c r="B217" s="19" t="s">
        <v>1902</v>
      </c>
      <c r="C217" s="19" t="s">
        <v>1898</v>
      </c>
      <c r="D217" s="19" t="s">
        <v>1879</v>
      </c>
      <c r="E217" s="19" t="s">
        <v>1851</v>
      </c>
      <c r="F217" s="19" t="s">
        <v>1876</v>
      </c>
      <c r="G217" s="19" t="s">
        <v>1883</v>
      </c>
      <c r="H217" s="19">
        <v>5</v>
      </c>
      <c r="I217" s="19">
        <v>4096.54</v>
      </c>
      <c r="J217" s="19">
        <v>20482.7</v>
      </c>
    </row>
    <row r="218" ht="15.25" spans="1:10">
      <c r="A218" s="18" t="s">
        <v>1863</v>
      </c>
      <c r="B218" s="19" t="s">
        <v>1878</v>
      </c>
      <c r="C218" s="19" t="s">
        <v>1894</v>
      </c>
      <c r="D218" s="19" t="s">
        <v>1884</v>
      </c>
      <c r="E218" s="19" t="s">
        <v>1895</v>
      </c>
      <c r="F218" s="19" t="s">
        <v>1868</v>
      </c>
      <c r="G218" s="19" t="s">
        <v>1907</v>
      </c>
      <c r="H218" s="19">
        <v>6</v>
      </c>
      <c r="I218" s="19">
        <v>830.82</v>
      </c>
      <c r="J218" s="19">
        <v>4984.92</v>
      </c>
    </row>
    <row r="219" ht="15.25" spans="1:10">
      <c r="A219" s="18">
        <v>44992</v>
      </c>
      <c r="B219" s="19" t="s">
        <v>1889</v>
      </c>
      <c r="C219" s="19" t="s">
        <v>1903</v>
      </c>
      <c r="D219" s="19" t="s">
        <v>1884</v>
      </c>
      <c r="E219" s="19" t="s">
        <v>1895</v>
      </c>
      <c r="F219" s="19" t="s">
        <v>1868</v>
      </c>
      <c r="G219" s="19" t="s">
        <v>1869</v>
      </c>
      <c r="H219" s="19">
        <v>3</v>
      </c>
      <c r="I219" s="19">
        <v>4637.38</v>
      </c>
      <c r="J219" s="19">
        <v>13912.14</v>
      </c>
    </row>
    <row r="220" ht="15.25" spans="1:10">
      <c r="A220" s="18">
        <v>44959</v>
      </c>
      <c r="B220" s="19" t="s">
        <v>1892</v>
      </c>
      <c r="C220" s="19" t="s">
        <v>1602</v>
      </c>
      <c r="D220" s="19" t="s">
        <v>1862</v>
      </c>
      <c r="E220" s="19" t="s">
        <v>1858</v>
      </c>
      <c r="F220" s="19" t="s">
        <v>1859</v>
      </c>
      <c r="G220" s="19" t="s">
        <v>1860</v>
      </c>
      <c r="H220" s="19">
        <v>5</v>
      </c>
      <c r="I220" s="19">
        <v>3770.1</v>
      </c>
      <c r="J220" s="19">
        <v>18850.5</v>
      </c>
    </row>
    <row r="221" ht="15.25" spans="1:10">
      <c r="A221" s="18" t="s">
        <v>1919</v>
      </c>
      <c r="B221" s="19" t="s">
        <v>1871</v>
      </c>
      <c r="C221" s="19" t="s">
        <v>1906</v>
      </c>
      <c r="D221" s="19" t="s">
        <v>1862</v>
      </c>
      <c r="E221" s="19" t="s">
        <v>1858</v>
      </c>
      <c r="F221" s="19" t="s">
        <v>1868</v>
      </c>
      <c r="G221" s="19" t="s">
        <v>1899</v>
      </c>
      <c r="H221" s="19">
        <v>20</v>
      </c>
      <c r="I221" s="19">
        <v>285.96</v>
      </c>
      <c r="J221" s="19">
        <v>5719.2</v>
      </c>
    </row>
    <row r="222" ht="15.25" spans="1:10">
      <c r="A222" s="18">
        <v>45142</v>
      </c>
      <c r="B222" s="19" t="s">
        <v>1874</v>
      </c>
      <c r="C222" s="19" t="s">
        <v>1903</v>
      </c>
      <c r="D222" s="19" t="s">
        <v>1884</v>
      </c>
      <c r="E222" s="19" t="s">
        <v>1895</v>
      </c>
      <c r="F222" s="19" t="s">
        <v>1852</v>
      </c>
      <c r="G222" s="19" t="s">
        <v>1950</v>
      </c>
      <c r="H222" s="19">
        <v>6</v>
      </c>
      <c r="I222" s="19">
        <v>1912.36</v>
      </c>
      <c r="J222" s="19">
        <v>11474.16</v>
      </c>
    </row>
    <row r="223" ht="15.25" spans="1:10">
      <c r="A223" s="18" t="s">
        <v>2014</v>
      </c>
      <c r="B223" s="19" t="s">
        <v>1855</v>
      </c>
      <c r="C223" s="19" t="s">
        <v>1941</v>
      </c>
      <c r="D223" s="19" t="s">
        <v>1879</v>
      </c>
      <c r="E223" s="19" t="s">
        <v>1851</v>
      </c>
      <c r="F223" s="19" t="s">
        <v>1865</v>
      </c>
      <c r="G223" s="19" t="s">
        <v>1866</v>
      </c>
      <c r="H223" s="19">
        <v>19</v>
      </c>
      <c r="I223" s="19">
        <v>3648.27</v>
      </c>
      <c r="J223" s="19">
        <v>69317.13</v>
      </c>
    </row>
    <row r="224" ht="15.25" spans="1:10">
      <c r="A224" s="18">
        <v>45022</v>
      </c>
      <c r="B224" s="19" t="s">
        <v>1861</v>
      </c>
      <c r="C224" s="19" t="s">
        <v>1602</v>
      </c>
      <c r="D224" s="19" t="s">
        <v>1862</v>
      </c>
      <c r="E224" s="19" t="s">
        <v>1858</v>
      </c>
      <c r="F224" s="19" t="s">
        <v>1852</v>
      </c>
      <c r="G224" s="19" t="s">
        <v>1934</v>
      </c>
      <c r="H224" s="19">
        <v>20</v>
      </c>
      <c r="I224" s="19">
        <v>473.23</v>
      </c>
      <c r="J224" s="19">
        <v>9464.6</v>
      </c>
    </row>
    <row r="225" ht="15.25" spans="1:10">
      <c r="A225" s="18" t="s">
        <v>1939</v>
      </c>
      <c r="B225" s="19" t="s">
        <v>1848</v>
      </c>
      <c r="C225" s="19" t="s">
        <v>1864</v>
      </c>
      <c r="D225" s="19" t="s">
        <v>1857</v>
      </c>
      <c r="E225" s="19" t="s">
        <v>1858</v>
      </c>
      <c r="F225" s="19" t="s">
        <v>1876</v>
      </c>
      <c r="G225" s="19" t="s">
        <v>1877</v>
      </c>
      <c r="H225" s="19">
        <v>16</v>
      </c>
      <c r="I225" s="19">
        <v>1870.47</v>
      </c>
      <c r="J225" s="19">
        <v>29927.52</v>
      </c>
    </row>
    <row r="226" ht="15.25" spans="1:10">
      <c r="A226" s="18" t="s">
        <v>2015</v>
      </c>
      <c r="B226" s="19" t="s">
        <v>1878</v>
      </c>
      <c r="C226" s="19" t="s">
        <v>1589</v>
      </c>
      <c r="D226" s="19" t="s">
        <v>1884</v>
      </c>
      <c r="E226" s="19" t="s">
        <v>1895</v>
      </c>
      <c r="F226" s="19" t="s">
        <v>1868</v>
      </c>
      <c r="G226" s="19" t="s">
        <v>1907</v>
      </c>
      <c r="H226" s="19">
        <v>18</v>
      </c>
      <c r="I226" s="19">
        <v>835.8</v>
      </c>
      <c r="J226" s="19">
        <v>15044.4</v>
      </c>
    </row>
    <row r="227" ht="15.25" spans="1:10">
      <c r="A227" s="18">
        <v>44992</v>
      </c>
      <c r="B227" s="19" t="s">
        <v>1902</v>
      </c>
      <c r="C227" s="19" t="s">
        <v>1849</v>
      </c>
      <c r="D227" s="19" t="s">
        <v>1850</v>
      </c>
      <c r="E227" s="19" t="s">
        <v>1851</v>
      </c>
      <c r="F227" s="19" t="s">
        <v>1859</v>
      </c>
      <c r="G227" s="19" t="s">
        <v>1922</v>
      </c>
      <c r="H227" s="19">
        <v>18</v>
      </c>
      <c r="I227" s="19">
        <v>4850.91</v>
      </c>
      <c r="J227" s="19">
        <v>87316.38</v>
      </c>
    </row>
    <row r="228" ht="15.25" spans="1:10">
      <c r="A228" s="18" t="s">
        <v>1885</v>
      </c>
      <c r="B228" s="19" t="s">
        <v>1861</v>
      </c>
      <c r="C228" s="19" t="s">
        <v>1598</v>
      </c>
      <c r="D228" s="19" t="s">
        <v>1850</v>
      </c>
      <c r="E228" s="19" t="s">
        <v>1851</v>
      </c>
      <c r="F228" s="19" t="s">
        <v>1852</v>
      </c>
      <c r="G228" s="19" t="s">
        <v>1853</v>
      </c>
      <c r="H228" s="19">
        <v>10</v>
      </c>
      <c r="I228" s="19">
        <v>2200.91</v>
      </c>
      <c r="J228" s="19">
        <v>22009.1</v>
      </c>
    </row>
    <row r="229" ht="15.25" spans="1:10">
      <c r="A229" s="18">
        <v>45211</v>
      </c>
      <c r="B229" s="19" t="s">
        <v>1892</v>
      </c>
      <c r="C229" s="19" t="s">
        <v>1875</v>
      </c>
      <c r="D229" s="19" t="s">
        <v>1862</v>
      </c>
      <c r="E229" s="19" t="s">
        <v>1858</v>
      </c>
      <c r="F229" s="19" t="s">
        <v>1876</v>
      </c>
      <c r="G229" s="19" t="s">
        <v>1877</v>
      </c>
      <c r="H229" s="19">
        <v>9</v>
      </c>
      <c r="I229" s="19">
        <v>1694.83</v>
      </c>
      <c r="J229" s="19">
        <v>15253.47</v>
      </c>
    </row>
    <row r="230" ht="15.25" spans="1:10">
      <c r="A230" s="18">
        <v>45079</v>
      </c>
      <c r="B230" s="19" t="s">
        <v>1902</v>
      </c>
      <c r="C230" s="19" t="s">
        <v>1856</v>
      </c>
      <c r="D230" s="19" t="s">
        <v>1857</v>
      </c>
      <c r="E230" s="19" t="s">
        <v>1858</v>
      </c>
      <c r="F230" s="19" t="s">
        <v>1852</v>
      </c>
      <c r="G230" s="19" t="s">
        <v>1934</v>
      </c>
      <c r="H230" s="19">
        <v>10</v>
      </c>
      <c r="I230" s="19">
        <v>1229.56</v>
      </c>
      <c r="J230" s="19">
        <v>12295.6</v>
      </c>
    </row>
    <row r="231" ht="15.25" spans="1:10">
      <c r="A231" s="18" t="s">
        <v>1888</v>
      </c>
      <c r="B231" s="19" t="s">
        <v>1902</v>
      </c>
      <c r="C231" s="19" t="s">
        <v>1898</v>
      </c>
      <c r="D231" s="19" t="s">
        <v>1879</v>
      </c>
      <c r="E231" s="19" t="s">
        <v>1851</v>
      </c>
      <c r="F231" s="19" t="s">
        <v>1868</v>
      </c>
      <c r="G231" s="19" t="s">
        <v>1869</v>
      </c>
      <c r="H231" s="19">
        <v>14</v>
      </c>
      <c r="I231" s="19">
        <v>705.15</v>
      </c>
      <c r="J231" s="19">
        <v>9872.1</v>
      </c>
    </row>
    <row r="232" ht="15.25" spans="1:10">
      <c r="A232" s="18" t="s">
        <v>2016</v>
      </c>
      <c r="B232" s="19" t="s">
        <v>1889</v>
      </c>
      <c r="C232" s="19" t="s">
        <v>1903</v>
      </c>
      <c r="D232" s="19" t="s">
        <v>1884</v>
      </c>
      <c r="E232" s="19" t="s">
        <v>1895</v>
      </c>
      <c r="F232" s="19" t="s">
        <v>1865</v>
      </c>
      <c r="G232" s="19" t="s">
        <v>1886</v>
      </c>
      <c r="H232" s="19">
        <v>19</v>
      </c>
      <c r="I232" s="19">
        <v>3485.85</v>
      </c>
      <c r="J232" s="19">
        <v>66231.15</v>
      </c>
    </row>
    <row r="233" ht="15.25" spans="1:10">
      <c r="A233" s="18" t="s">
        <v>2017</v>
      </c>
      <c r="B233" s="19" t="s">
        <v>1855</v>
      </c>
      <c r="C233" s="19" t="s">
        <v>1894</v>
      </c>
      <c r="D233" s="19" t="s">
        <v>1884</v>
      </c>
      <c r="E233" s="19" t="s">
        <v>1895</v>
      </c>
      <c r="F233" s="19" t="s">
        <v>1876</v>
      </c>
      <c r="G233" s="19" t="s">
        <v>1877</v>
      </c>
      <c r="H233" s="19">
        <v>10</v>
      </c>
      <c r="I233" s="19">
        <v>3633.26</v>
      </c>
      <c r="J233" s="19">
        <v>36332.6</v>
      </c>
    </row>
    <row r="234" ht="15.25" spans="1:10">
      <c r="A234" s="18">
        <v>45208</v>
      </c>
      <c r="B234" s="19" t="s">
        <v>1889</v>
      </c>
      <c r="C234" s="19" t="s">
        <v>1849</v>
      </c>
      <c r="D234" s="19" t="s">
        <v>1850</v>
      </c>
      <c r="E234" s="19" t="s">
        <v>1851</v>
      </c>
      <c r="F234" s="19" t="s">
        <v>1868</v>
      </c>
      <c r="G234" s="19" t="s">
        <v>1917</v>
      </c>
      <c r="H234" s="19">
        <v>14</v>
      </c>
      <c r="I234" s="19">
        <v>1245.9</v>
      </c>
      <c r="J234" s="19">
        <v>17442.6</v>
      </c>
    </row>
    <row r="235" ht="15.25" spans="1:10">
      <c r="A235" s="18" t="s">
        <v>2018</v>
      </c>
      <c r="B235" s="19" t="s">
        <v>1867</v>
      </c>
      <c r="C235" s="19" t="s">
        <v>1894</v>
      </c>
      <c r="D235" s="19" t="s">
        <v>1884</v>
      </c>
      <c r="E235" s="19" t="s">
        <v>1895</v>
      </c>
      <c r="F235" s="19" t="s">
        <v>1852</v>
      </c>
      <c r="G235" s="19" t="s">
        <v>1853</v>
      </c>
      <c r="H235" s="19">
        <v>4</v>
      </c>
      <c r="I235" s="19">
        <v>4553.52</v>
      </c>
      <c r="J235" s="19">
        <v>18214.08</v>
      </c>
    </row>
    <row r="236" ht="15.25" spans="1:10">
      <c r="A236" s="18">
        <v>45146</v>
      </c>
      <c r="B236" s="19" t="s">
        <v>1855</v>
      </c>
      <c r="C236" s="19" t="s">
        <v>1598</v>
      </c>
      <c r="D236" s="19" t="s">
        <v>1850</v>
      </c>
      <c r="E236" s="19" t="s">
        <v>1851</v>
      </c>
      <c r="F236" s="19" t="s">
        <v>1852</v>
      </c>
      <c r="G236" s="19" t="s">
        <v>1910</v>
      </c>
      <c r="H236" s="19">
        <v>3</v>
      </c>
      <c r="I236" s="19">
        <v>1417.18</v>
      </c>
      <c r="J236" s="19">
        <v>4251.54</v>
      </c>
    </row>
    <row r="237" ht="15.25" spans="1:10">
      <c r="A237" s="18" t="s">
        <v>2019</v>
      </c>
      <c r="B237" s="19" t="s">
        <v>1874</v>
      </c>
      <c r="C237" s="19" t="s">
        <v>1849</v>
      </c>
      <c r="D237" s="19" t="s">
        <v>1850</v>
      </c>
      <c r="E237" s="19" t="s">
        <v>1851</v>
      </c>
      <c r="F237" s="19" t="s">
        <v>1876</v>
      </c>
      <c r="G237" s="19" t="s">
        <v>1930</v>
      </c>
      <c r="H237" s="19">
        <v>7</v>
      </c>
      <c r="I237" s="19">
        <v>1249.36</v>
      </c>
      <c r="J237" s="19">
        <v>8745.52</v>
      </c>
    </row>
    <row r="238" ht="15.25" spans="1:10">
      <c r="A238" s="18" t="s">
        <v>1973</v>
      </c>
      <c r="B238" s="19" t="s">
        <v>1871</v>
      </c>
      <c r="C238" s="19" t="s">
        <v>1856</v>
      </c>
      <c r="D238" s="19" t="s">
        <v>1857</v>
      </c>
      <c r="E238" s="19" t="s">
        <v>1858</v>
      </c>
      <c r="F238" s="19" t="s">
        <v>1865</v>
      </c>
      <c r="G238" s="19" t="s">
        <v>1920</v>
      </c>
      <c r="H238" s="19">
        <v>7</v>
      </c>
      <c r="I238" s="19">
        <v>3911.96</v>
      </c>
      <c r="J238" s="19">
        <v>27383.72</v>
      </c>
    </row>
    <row r="239" ht="15.25" spans="1:10">
      <c r="A239" s="18" t="s">
        <v>1946</v>
      </c>
      <c r="B239" s="19" t="s">
        <v>1867</v>
      </c>
      <c r="C239" s="19" t="s">
        <v>1875</v>
      </c>
      <c r="D239" s="19" t="s">
        <v>1862</v>
      </c>
      <c r="E239" s="19" t="s">
        <v>1858</v>
      </c>
      <c r="F239" s="19" t="s">
        <v>1865</v>
      </c>
      <c r="G239" s="19" t="s">
        <v>1886</v>
      </c>
      <c r="H239" s="19">
        <v>4</v>
      </c>
      <c r="I239" s="19">
        <v>3087.87</v>
      </c>
      <c r="J239" s="19">
        <v>12351.48</v>
      </c>
    </row>
    <row r="240" ht="15.25" spans="1:10">
      <c r="A240" s="18">
        <v>45241</v>
      </c>
      <c r="B240" s="19" t="s">
        <v>1867</v>
      </c>
      <c r="C240" s="19" t="s">
        <v>1849</v>
      </c>
      <c r="D240" s="19" t="s">
        <v>1850</v>
      </c>
      <c r="E240" s="19" t="s">
        <v>1851</v>
      </c>
      <c r="F240" s="19" t="s">
        <v>1876</v>
      </c>
      <c r="G240" s="19" t="s">
        <v>1930</v>
      </c>
      <c r="H240" s="19">
        <v>16</v>
      </c>
      <c r="I240" s="19">
        <v>628.15</v>
      </c>
      <c r="J240" s="19">
        <v>10050.4</v>
      </c>
    </row>
    <row r="241" ht="15.25" spans="1:10">
      <c r="A241" s="18" t="s">
        <v>2020</v>
      </c>
      <c r="B241" s="19" t="s">
        <v>1874</v>
      </c>
      <c r="C241" s="19" t="s">
        <v>1602</v>
      </c>
      <c r="D241" s="19" t="s">
        <v>1862</v>
      </c>
      <c r="E241" s="19" t="s">
        <v>1858</v>
      </c>
      <c r="F241" s="19" t="s">
        <v>1868</v>
      </c>
      <c r="G241" s="19" t="s">
        <v>1917</v>
      </c>
      <c r="H241" s="19">
        <v>15</v>
      </c>
      <c r="I241" s="19">
        <v>3100.61</v>
      </c>
      <c r="J241" s="19">
        <v>46509.15</v>
      </c>
    </row>
    <row r="242" ht="15.25" spans="1:10">
      <c r="A242" s="18" t="s">
        <v>2021</v>
      </c>
      <c r="B242" s="19" t="s">
        <v>1855</v>
      </c>
      <c r="C242" s="19" t="s">
        <v>1875</v>
      </c>
      <c r="D242" s="19" t="s">
        <v>1862</v>
      </c>
      <c r="E242" s="19" t="s">
        <v>1858</v>
      </c>
      <c r="F242" s="19" t="s">
        <v>1865</v>
      </c>
      <c r="G242" s="19" t="s">
        <v>1886</v>
      </c>
      <c r="H242" s="19">
        <v>10</v>
      </c>
      <c r="I242" s="19">
        <v>4017.66</v>
      </c>
      <c r="J242" s="19">
        <v>40176.6</v>
      </c>
    </row>
    <row r="243" ht="15.25" spans="1:10">
      <c r="A243" s="18" t="s">
        <v>2022</v>
      </c>
      <c r="B243" s="19" t="s">
        <v>1855</v>
      </c>
      <c r="C243" s="19" t="s">
        <v>1906</v>
      </c>
      <c r="D243" s="19" t="s">
        <v>1862</v>
      </c>
      <c r="E243" s="19" t="s">
        <v>1858</v>
      </c>
      <c r="F243" s="19" t="s">
        <v>1852</v>
      </c>
      <c r="G243" s="19" t="s">
        <v>1910</v>
      </c>
      <c r="H243" s="19">
        <v>3</v>
      </c>
      <c r="I243" s="19">
        <v>3389.2</v>
      </c>
      <c r="J243" s="19">
        <v>10167.6</v>
      </c>
    </row>
    <row r="244" ht="15.25" spans="1:10">
      <c r="A244" s="18" t="s">
        <v>1943</v>
      </c>
      <c r="B244" s="19" t="s">
        <v>1861</v>
      </c>
      <c r="C244" s="19" t="s">
        <v>1849</v>
      </c>
      <c r="D244" s="19" t="s">
        <v>1850</v>
      </c>
      <c r="E244" s="19" t="s">
        <v>1851</v>
      </c>
      <c r="F244" s="19" t="s">
        <v>1868</v>
      </c>
      <c r="G244" s="19" t="s">
        <v>1869</v>
      </c>
      <c r="H244" s="19">
        <v>20</v>
      </c>
      <c r="I244" s="19">
        <v>2441.83</v>
      </c>
      <c r="J244" s="19">
        <v>48836.6</v>
      </c>
    </row>
    <row r="245" ht="15.25" spans="1:10">
      <c r="A245" s="18">
        <v>45181</v>
      </c>
      <c r="B245" s="19" t="s">
        <v>1855</v>
      </c>
      <c r="C245" s="19" t="s">
        <v>1589</v>
      </c>
      <c r="D245" s="19" t="s">
        <v>1884</v>
      </c>
      <c r="E245" s="19" t="s">
        <v>1895</v>
      </c>
      <c r="F245" s="19" t="s">
        <v>1852</v>
      </c>
      <c r="G245" s="19" t="s">
        <v>1934</v>
      </c>
      <c r="H245" s="19">
        <v>17</v>
      </c>
      <c r="I245" s="19">
        <v>2655.98</v>
      </c>
      <c r="J245" s="19">
        <v>45151.66</v>
      </c>
    </row>
    <row r="246" ht="15.25" spans="1:10">
      <c r="A246" s="18">
        <v>44986</v>
      </c>
      <c r="B246" s="19" t="s">
        <v>1855</v>
      </c>
      <c r="C246" s="19" t="s">
        <v>1875</v>
      </c>
      <c r="D246" s="19" t="s">
        <v>1862</v>
      </c>
      <c r="E246" s="19" t="s">
        <v>1858</v>
      </c>
      <c r="F246" s="19" t="s">
        <v>1876</v>
      </c>
      <c r="G246" s="19" t="s">
        <v>1930</v>
      </c>
      <c r="H246" s="19">
        <v>3</v>
      </c>
      <c r="I246" s="19">
        <v>4908.74</v>
      </c>
      <c r="J246" s="19">
        <v>14726.22</v>
      </c>
    </row>
    <row r="247" ht="15.25" spans="1:10">
      <c r="A247" s="18" t="s">
        <v>1977</v>
      </c>
      <c r="B247" s="19" t="s">
        <v>1889</v>
      </c>
      <c r="C247" s="19" t="s">
        <v>1903</v>
      </c>
      <c r="D247" s="19" t="s">
        <v>1884</v>
      </c>
      <c r="E247" s="19" t="s">
        <v>1895</v>
      </c>
      <c r="F247" s="19" t="s">
        <v>1876</v>
      </c>
      <c r="G247" s="19" t="s">
        <v>1930</v>
      </c>
      <c r="H247" s="19">
        <v>13</v>
      </c>
      <c r="I247" s="19">
        <v>4121.8</v>
      </c>
      <c r="J247" s="19">
        <v>53583.4</v>
      </c>
    </row>
    <row r="248" ht="15.25" spans="1:10">
      <c r="A248" s="18">
        <v>45080</v>
      </c>
      <c r="B248" s="19" t="s">
        <v>1902</v>
      </c>
      <c r="C248" s="19" t="s">
        <v>1849</v>
      </c>
      <c r="D248" s="19" t="s">
        <v>1850</v>
      </c>
      <c r="E248" s="19" t="s">
        <v>1851</v>
      </c>
      <c r="F248" s="19" t="s">
        <v>1876</v>
      </c>
      <c r="G248" s="19" t="s">
        <v>1930</v>
      </c>
      <c r="H248" s="19">
        <v>7</v>
      </c>
      <c r="I248" s="19">
        <v>2083.78</v>
      </c>
      <c r="J248" s="19">
        <v>14586.46</v>
      </c>
    </row>
    <row r="249" ht="15.25" spans="1:10">
      <c r="A249" s="18">
        <v>45201</v>
      </c>
      <c r="B249" s="19" t="s">
        <v>1874</v>
      </c>
      <c r="C249" s="19" t="s">
        <v>1598</v>
      </c>
      <c r="D249" s="19" t="s">
        <v>1850</v>
      </c>
      <c r="E249" s="19" t="s">
        <v>1851</v>
      </c>
      <c r="F249" s="19" t="s">
        <v>1865</v>
      </c>
      <c r="G249" s="19" t="s">
        <v>1920</v>
      </c>
      <c r="H249" s="19">
        <v>4</v>
      </c>
      <c r="I249" s="19">
        <v>697.88</v>
      </c>
      <c r="J249" s="19">
        <v>2791.52</v>
      </c>
    </row>
    <row r="250" ht="15.25" spans="1:10">
      <c r="A250" s="18">
        <v>44930</v>
      </c>
      <c r="B250" s="19" t="s">
        <v>1902</v>
      </c>
      <c r="C250" s="19" t="s">
        <v>1894</v>
      </c>
      <c r="D250" s="19" t="s">
        <v>1884</v>
      </c>
      <c r="E250" s="19" t="s">
        <v>1895</v>
      </c>
      <c r="F250" s="19" t="s">
        <v>1876</v>
      </c>
      <c r="G250" s="19" t="s">
        <v>1926</v>
      </c>
      <c r="H250" s="19">
        <v>3</v>
      </c>
      <c r="I250" s="19">
        <v>3754.7</v>
      </c>
      <c r="J250" s="19">
        <v>11264.1</v>
      </c>
    </row>
    <row r="251" ht="15.25" spans="1:10">
      <c r="A251" s="18" t="s">
        <v>2023</v>
      </c>
      <c r="B251" s="19" t="s">
        <v>1861</v>
      </c>
      <c r="C251" s="19" t="s">
        <v>1856</v>
      </c>
      <c r="D251" s="19" t="s">
        <v>1857</v>
      </c>
      <c r="E251" s="19" t="s">
        <v>1858</v>
      </c>
      <c r="F251" s="19" t="s">
        <v>1852</v>
      </c>
      <c r="G251" s="19" t="s">
        <v>1950</v>
      </c>
      <c r="H251" s="19">
        <v>20</v>
      </c>
      <c r="I251" s="19">
        <v>2449.44</v>
      </c>
      <c r="J251" s="19">
        <v>48988.8</v>
      </c>
    </row>
    <row r="252" ht="15.25" spans="1:10">
      <c r="A252" s="18">
        <v>44964</v>
      </c>
      <c r="B252" s="19" t="s">
        <v>1867</v>
      </c>
      <c r="C252" s="19" t="s">
        <v>1626</v>
      </c>
      <c r="D252" s="19" t="s">
        <v>1857</v>
      </c>
      <c r="E252" s="19" t="s">
        <v>1858</v>
      </c>
      <c r="F252" s="19" t="s">
        <v>1876</v>
      </c>
      <c r="G252" s="19" t="s">
        <v>1883</v>
      </c>
      <c r="H252" s="19">
        <v>6</v>
      </c>
      <c r="I252" s="19">
        <v>2862.86</v>
      </c>
      <c r="J252" s="19">
        <v>17177.16</v>
      </c>
    </row>
    <row r="253" ht="15.25" spans="1:10">
      <c r="A253" s="18" t="s">
        <v>2024</v>
      </c>
      <c r="B253" s="19" t="s">
        <v>1878</v>
      </c>
      <c r="C253" s="19" t="s">
        <v>1626</v>
      </c>
      <c r="D253" s="19" t="s">
        <v>1857</v>
      </c>
      <c r="E253" s="19" t="s">
        <v>1858</v>
      </c>
      <c r="F253" s="19" t="s">
        <v>1859</v>
      </c>
      <c r="G253" s="19" t="s">
        <v>1860</v>
      </c>
      <c r="H253" s="19">
        <v>4</v>
      </c>
      <c r="I253" s="19">
        <v>4795.4</v>
      </c>
      <c r="J253" s="19">
        <v>19181.6</v>
      </c>
    </row>
    <row r="254" ht="15.25" spans="1:10">
      <c r="A254" s="18">
        <v>45271</v>
      </c>
      <c r="B254" s="19" t="s">
        <v>1878</v>
      </c>
      <c r="C254" s="19" t="s">
        <v>1894</v>
      </c>
      <c r="D254" s="19" t="s">
        <v>1884</v>
      </c>
      <c r="E254" s="19" t="s">
        <v>1895</v>
      </c>
      <c r="F254" s="19" t="s">
        <v>1852</v>
      </c>
      <c r="G254" s="19" t="s">
        <v>1934</v>
      </c>
      <c r="H254" s="19">
        <v>3</v>
      </c>
      <c r="I254" s="19">
        <v>672.84</v>
      </c>
      <c r="J254" s="19">
        <v>2018.52</v>
      </c>
    </row>
    <row r="255" ht="15.25" spans="1:10">
      <c r="A255" s="18">
        <v>45086</v>
      </c>
      <c r="B255" s="19" t="s">
        <v>1902</v>
      </c>
      <c r="C255" s="19" t="s">
        <v>1906</v>
      </c>
      <c r="D255" s="19" t="s">
        <v>1862</v>
      </c>
      <c r="E255" s="19" t="s">
        <v>1858</v>
      </c>
      <c r="F255" s="19" t="s">
        <v>1852</v>
      </c>
      <c r="G255" s="19" t="s">
        <v>1950</v>
      </c>
      <c r="H255" s="19">
        <v>5</v>
      </c>
      <c r="I255" s="19">
        <v>4423.53</v>
      </c>
      <c r="J255" s="19">
        <v>22117.65</v>
      </c>
    </row>
    <row r="256" ht="15.25" spans="1:10">
      <c r="A256" s="18">
        <v>44990</v>
      </c>
      <c r="B256" s="19" t="s">
        <v>1878</v>
      </c>
      <c r="C256" s="19" t="s">
        <v>1626</v>
      </c>
      <c r="D256" s="19" t="s">
        <v>1857</v>
      </c>
      <c r="E256" s="19" t="s">
        <v>1858</v>
      </c>
      <c r="F256" s="19" t="s">
        <v>1852</v>
      </c>
      <c r="G256" s="19" t="s">
        <v>1950</v>
      </c>
      <c r="H256" s="19">
        <v>13</v>
      </c>
      <c r="I256" s="19">
        <v>1330.85</v>
      </c>
      <c r="J256" s="19">
        <v>17301.05</v>
      </c>
    </row>
    <row r="257" ht="15.25" spans="1:10">
      <c r="A257" s="18" t="s">
        <v>2025</v>
      </c>
      <c r="B257" s="19" t="s">
        <v>1902</v>
      </c>
      <c r="C257" s="19" t="s">
        <v>1849</v>
      </c>
      <c r="D257" s="19" t="s">
        <v>1850</v>
      </c>
      <c r="E257" s="19" t="s">
        <v>1851</v>
      </c>
      <c r="F257" s="19" t="s">
        <v>1859</v>
      </c>
      <c r="G257" s="19" t="s">
        <v>1922</v>
      </c>
      <c r="H257" s="19">
        <v>2</v>
      </c>
      <c r="I257" s="19">
        <v>1785.76</v>
      </c>
      <c r="J257" s="19">
        <v>3571.52</v>
      </c>
    </row>
    <row r="258" ht="15.25" spans="1:10">
      <c r="A258" s="18" t="s">
        <v>2026</v>
      </c>
      <c r="B258" s="19" t="s">
        <v>1861</v>
      </c>
      <c r="C258" s="19" t="s">
        <v>1894</v>
      </c>
      <c r="D258" s="19" t="s">
        <v>1884</v>
      </c>
      <c r="E258" s="19" t="s">
        <v>1895</v>
      </c>
      <c r="F258" s="19" t="s">
        <v>1852</v>
      </c>
      <c r="G258" s="19" t="s">
        <v>1934</v>
      </c>
      <c r="H258" s="19">
        <v>10</v>
      </c>
      <c r="I258" s="19">
        <v>505.39</v>
      </c>
      <c r="J258" s="19">
        <v>5053.9</v>
      </c>
    </row>
    <row r="259" ht="15.25" spans="1:10">
      <c r="A259" s="18" t="s">
        <v>1989</v>
      </c>
      <c r="B259" s="19" t="s">
        <v>1871</v>
      </c>
      <c r="C259" s="19" t="s">
        <v>1602</v>
      </c>
      <c r="D259" s="19" t="s">
        <v>1862</v>
      </c>
      <c r="E259" s="19" t="s">
        <v>1858</v>
      </c>
      <c r="F259" s="19" t="s">
        <v>1876</v>
      </c>
      <c r="G259" s="19" t="s">
        <v>1926</v>
      </c>
      <c r="H259" s="19">
        <v>1</v>
      </c>
      <c r="I259" s="19">
        <v>4966.86</v>
      </c>
      <c r="J259" s="19">
        <v>4966.86</v>
      </c>
    </row>
    <row r="260" ht="15.25" spans="1:10">
      <c r="A260" s="18" t="s">
        <v>2027</v>
      </c>
      <c r="B260" s="19" t="s">
        <v>1861</v>
      </c>
      <c r="C260" s="19" t="s">
        <v>1941</v>
      </c>
      <c r="D260" s="19" t="s">
        <v>1879</v>
      </c>
      <c r="E260" s="19" t="s">
        <v>1851</v>
      </c>
      <c r="F260" s="19" t="s">
        <v>1852</v>
      </c>
      <c r="G260" s="19" t="s">
        <v>1910</v>
      </c>
      <c r="H260" s="19">
        <v>5</v>
      </c>
      <c r="I260" s="19">
        <v>4988.76</v>
      </c>
      <c r="J260" s="19">
        <v>24943.8</v>
      </c>
    </row>
    <row r="261" ht="15.25" spans="1:10">
      <c r="A261" s="18" t="s">
        <v>2028</v>
      </c>
      <c r="B261" s="19" t="s">
        <v>1874</v>
      </c>
      <c r="C261" s="19" t="s">
        <v>1875</v>
      </c>
      <c r="D261" s="19" t="s">
        <v>1862</v>
      </c>
      <c r="E261" s="19" t="s">
        <v>1858</v>
      </c>
      <c r="F261" s="19" t="s">
        <v>1876</v>
      </c>
      <c r="G261" s="19" t="s">
        <v>1926</v>
      </c>
      <c r="H261" s="19">
        <v>18</v>
      </c>
      <c r="I261" s="19">
        <v>1745.63</v>
      </c>
      <c r="J261" s="19">
        <v>31421.34</v>
      </c>
    </row>
    <row r="262" ht="15.25" spans="1:10">
      <c r="A262" s="18" t="s">
        <v>2029</v>
      </c>
      <c r="B262" s="19" t="s">
        <v>1861</v>
      </c>
      <c r="C262" s="19" t="s">
        <v>1593</v>
      </c>
      <c r="D262" s="19" t="s">
        <v>1850</v>
      </c>
      <c r="E262" s="19" t="s">
        <v>1851</v>
      </c>
      <c r="F262" s="19" t="s">
        <v>1865</v>
      </c>
      <c r="G262" s="19" t="s">
        <v>1920</v>
      </c>
      <c r="H262" s="19">
        <v>2</v>
      </c>
      <c r="I262" s="19">
        <v>3024.56</v>
      </c>
      <c r="J262" s="19">
        <v>6049.12</v>
      </c>
    </row>
    <row r="263" ht="15.25" spans="1:10">
      <c r="A263" s="18">
        <v>45083</v>
      </c>
      <c r="B263" s="19" t="s">
        <v>1889</v>
      </c>
      <c r="C263" s="19" t="s">
        <v>1856</v>
      </c>
      <c r="D263" s="19" t="s">
        <v>1857</v>
      </c>
      <c r="E263" s="19" t="s">
        <v>1858</v>
      </c>
      <c r="F263" s="19" t="s">
        <v>1859</v>
      </c>
      <c r="G263" s="19" t="s">
        <v>1872</v>
      </c>
      <c r="H263" s="19">
        <v>15</v>
      </c>
      <c r="I263" s="19">
        <v>4599.74</v>
      </c>
      <c r="J263" s="19">
        <v>68996.1</v>
      </c>
    </row>
    <row r="264" ht="15.25" spans="1:10">
      <c r="A264" s="18" t="s">
        <v>1944</v>
      </c>
      <c r="B264" s="19" t="s">
        <v>1861</v>
      </c>
      <c r="C264" s="19" t="s">
        <v>1894</v>
      </c>
      <c r="D264" s="19" t="s">
        <v>1884</v>
      </c>
      <c r="E264" s="19" t="s">
        <v>1895</v>
      </c>
      <c r="F264" s="19" t="s">
        <v>1868</v>
      </c>
      <c r="G264" s="19" t="s">
        <v>1917</v>
      </c>
      <c r="H264" s="19">
        <v>18</v>
      </c>
      <c r="I264" s="19">
        <v>330.49</v>
      </c>
      <c r="J264" s="19">
        <v>5948.82</v>
      </c>
    </row>
    <row r="265" ht="15.25" spans="1:10">
      <c r="A265" s="18" t="s">
        <v>2030</v>
      </c>
      <c r="B265" s="19" t="s">
        <v>1867</v>
      </c>
      <c r="C265" s="19" t="s">
        <v>1906</v>
      </c>
      <c r="D265" s="19" t="s">
        <v>1862</v>
      </c>
      <c r="E265" s="19" t="s">
        <v>1858</v>
      </c>
      <c r="F265" s="19" t="s">
        <v>1865</v>
      </c>
      <c r="G265" s="19" t="s">
        <v>1866</v>
      </c>
      <c r="H265" s="19">
        <v>8</v>
      </c>
      <c r="I265" s="19">
        <v>4775.74</v>
      </c>
      <c r="J265" s="19">
        <v>38205.92</v>
      </c>
    </row>
    <row r="266" ht="15.25" spans="1:10">
      <c r="A266" s="18" t="s">
        <v>2031</v>
      </c>
      <c r="B266" s="19" t="s">
        <v>1902</v>
      </c>
      <c r="C266" s="19" t="s">
        <v>1941</v>
      </c>
      <c r="D266" s="19" t="s">
        <v>1879</v>
      </c>
      <c r="E266" s="19" t="s">
        <v>1851</v>
      </c>
      <c r="F266" s="19" t="s">
        <v>1859</v>
      </c>
      <c r="G266" s="19" t="s">
        <v>1872</v>
      </c>
      <c r="H266" s="19">
        <v>16</v>
      </c>
      <c r="I266" s="19">
        <v>2329.86</v>
      </c>
      <c r="J266" s="19">
        <v>37277.76</v>
      </c>
    </row>
    <row r="267" ht="15.25" spans="1:10">
      <c r="A267" s="18" t="s">
        <v>1973</v>
      </c>
      <c r="B267" s="19" t="s">
        <v>1855</v>
      </c>
      <c r="C267" s="19" t="s">
        <v>1610</v>
      </c>
      <c r="D267" s="19" t="s">
        <v>1879</v>
      </c>
      <c r="E267" s="19" t="s">
        <v>1851</v>
      </c>
      <c r="F267" s="19" t="s">
        <v>1876</v>
      </c>
      <c r="G267" s="19" t="s">
        <v>1877</v>
      </c>
      <c r="H267" s="19">
        <v>16</v>
      </c>
      <c r="I267" s="19">
        <v>1426.64</v>
      </c>
      <c r="J267" s="19">
        <v>22826.24</v>
      </c>
    </row>
    <row r="268" ht="15.25" spans="1:10">
      <c r="A268" s="18" t="s">
        <v>2032</v>
      </c>
      <c r="B268" s="19" t="s">
        <v>1871</v>
      </c>
      <c r="C268" s="19" t="s">
        <v>1941</v>
      </c>
      <c r="D268" s="19" t="s">
        <v>1879</v>
      </c>
      <c r="E268" s="19" t="s">
        <v>1851</v>
      </c>
      <c r="F268" s="19" t="s">
        <v>1865</v>
      </c>
      <c r="G268" s="19" t="s">
        <v>1890</v>
      </c>
      <c r="H268" s="19">
        <v>8</v>
      </c>
      <c r="I268" s="19">
        <v>2663.16</v>
      </c>
      <c r="J268" s="19">
        <v>21305.28</v>
      </c>
    </row>
    <row r="269" ht="15.25" spans="1:10">
      <c r="A269" s="18">
        <v>45233</v>
      </c>
      <c r="B269" s="19" t="s">
        <v>1892</v>
      </c>
      <c r="C269" s="19" t="s">
        <v>1610</v>
      </c>
      <c r="D269" s="19" t="s">
        <v>1879</v>
      </c>
      <c r="E269" s="19" t="s">
        <v>1851</v>
      </c>
      <c r="F269" s="19" t="s">
        <v>1865</v>
      </c>
      <c r="G269" s="19" t="s">
        <v>1866</v>
      </c>
      <c r="H269" s="19">
        <v>20</v>
      </c>
      <c r="I269" s="19">
        <v>1690.56</v>
      </c>
      <c r="J269" s="19">
        <v>33811.2</v>
      </c>
    </row>
    <row r="270" ht="15.25" spans="1:10">
      <c r="A270" s="18" t="s">
        <v>2033</v>
      </c>
      <c r="B270" s="19" t="s">
        <v>1892</v>
      </c>
      <c r="C270" s="19" t="s">
        <v>1598</v>
      </c>
      <c r="D270" s="19" t="s">
        <v>1850</v>
      </c>
      <c r="E270" s="19" t="s">
        <v>1851</v>
      </c>
      <c r="F270" s="19" t="s">
        <v>1865</v>
      </c>
      <c r="G270" s="19" t="s">
        <v>1866</v>
      </c>
      <c r="H270" s="19">
        <v>1</v>
      </c>
      <c r="I270" s="19">
        <v>776.08</v>
      </c>
      <c r="J270" s="19">
        <v>776.08</v>
      </c>
    </row>
    <row r="271" ht="15.25" spans="1:10">
      <c r="A271" s="18">
        <v>44961</v>
      </c>
      <c r="B271" s="19" t="s">
        <v>1855</v>
      </c>
      <c r="C271" s="19" t="s">
        <v>1602</v>
      </c>
      <c r="D271" s="19" t="s">
        <v>1862</v>
      </c>
      <c r="E271" s="19" t="s">
        <v>1858</v>
      </c>
      <c r="F271" s="19" t="s">
        <v>1868</v>
      </c>
      <c r="G271" s="19" t="s">
        <v>1907</v>
      </c>
      <c r="H271" s="19">
        <v>3</v>
      </c>
      <c r="I271" s="19">
        <v>1435.01</v>
      </c>
      <c r="J271" s="19">
        <v>4305.03</v>
      </c>
    </row>
    <row r="272" ht="15.25" spans="1:10">
      <c r="A272" s="18">
        <v>45116</v>
      </c>
      <c r="B272" s="19" t="s">
        <v>1867</v>
      </c>
      <c r="C272" s="19" t="s">
        <v>1898</v>
      </c>
      <c r="D272" s="19" t="s">
        <v>1879</v>
      </c>
      <c r="E272" s="19" t="s">
        <v>1851</v>
      </c>
      <c r="F272" s="19" t="s">
        <v>1859</v>
      </c>
      <c r="G272" s="19" t="s">
        <v>1922</v>
      </c>
      <c r="H272" s="19">
        <v>16</v>
      </c>
      <c r="I272" s="19">
        <v>1473.98</v>
      </c>
      <c r="J272" s="19">
        <v>23583.68</v>
      </c>
    </row>
    <row r="273" ht="15.25" spans="1:10">
      <c r="A273" s="18">
        <v>45057</v>
      </c>
      <c r="B273" s="19" t="s">
        <v>1892</v>
      </c>
      <c r="C273" s="19" t="s">
        <v>1589</v>
      </c>
      <c r="D273" s="19" t="s">
        <v>1884</v>
      </c>
      <c r="E273" s="19" t="s">
        <v>1895</v>
      </c>
      <c r="F273" s="19" t="s">
        <v>1852</v>
      </c>
      <c r="G273" s="19" t="s">
        <v>1910</v>
      </c>
      <c r="H273" s="19">
        <v>6</v>
      </c>
      <c r="I273" s="19">
        <v>1822.86</v>
      </c>
      <c r="J273" s="19">
        <v>10937.16</v>
      </c>
    </row>
    <row r="274" ht="15.25" spans="1:10">
      <c r="A274" s="18">
        <v>45079</v>
      </c>
      <c r="B274" s="19" t="s">
        <v>1892</v>
      </c>
      <c r="C274" s="19" t="s">
        <v>1864</v>
      </c>
      <c r="D274" s="19" t="s">
        <v>1857</v>
      </c>
      <c r="E274" s="19" t="s">
        <v>1858</v>
      </c>
      <c r="F274" s="19" t="s">
        <v>1865</v>
      </c>
      <c r="G274" s="19" t="s">
        <v>1886</v>
      </c>
      <c r="H274" s="19">
        <v>13</v>
      </c>
      <c r="I274" s="19">
        <v>739.6</v>
      </c>
      <c r="J274" s="19">
        <v>9614.8</v>
      </c>
    </row>
    <row r="275" ht="15.25" spans="1:10">
      <c r="A275" s="18">
        <v>45172</v>
      </c>
      <c r="B275" s="19" t="s">
        <v>1874</v>
      </c>
      <c r="C275" s="19" t="s">
        <v>1610</v>
      </c>
      <c r="D275" s="19" t="s">
        <v>1879</v>
      </c>
      <c r="E275" s="19" t="s">
        <v>1851</v>
      </c>
      <c r="F275" s="19" t="s">
        <v>1868</v>
      </c>
      <c r="G275" s="19" t="s">
        <v>1917</v>
      </c>
      <c r="H275" s="19">
        <v>11</v>
      </c>
      <c r="I275" s="19">
        <v>4209.66</v>
      </c>
      <c r="J275" s="19">
        <v>46306.26</v>
      </c>
    </row>
    <row r="276" ht="15.25" spans="1:10">
      <c r="A276" s="18">
        <v>44929</v>
      </c>
      <c r="B276" s="19" t="s">
        <v>1855</v>
      </c>
      <c r="C276" s="19" t="s">
        <v>1906</v>
      </c>
      <c r="D276" s="19" t="s">
        <v>1862</v>
      </c>
      <c r="E276" s="19" t="s">
        <v>1858</v>
      </c>
      <c r="F276" s="19" t="s">
        <v>1876</v>
      </c>
      <c r="G276" s="19" t="s">
        <v>1883</v>
      </c>
      <c r="H276" s="19">
        <v>8</v>
      </c>
      <c r="I276" s="19">
        <v>4105.17</v>
      </c>
      <c r="J276" s="19">
        <v>32841.36</v>
      </c>
    </row>
    <row r="277" ht="15.25" spans="1:10">
      <c r="A277" s="18" t="s">
        <v>1943</v>
      </c>
      <c r="B277" s="19" t="s">
        <v>1874</v>
      </c>
      <c r="C277" s="19" t="s">
        <v>1894</v>
      </c>
      <c r="D277" s="19" t="s">
        <v>1884</v>
      </c>
      <c r="E277" s="19" t="s">
        <v>1895</v>
      </c>
      <c r="F277" s="19" t="s">
        <v>1852</v>
      </c>
      <c r="G277" s="19" t="s">
        <v>1853</v>
      </c>
      <c r="H277" s="19">
        <v>2</v>
      </c>
      <c r="I277" s="19">
        <v>4100.4</v>
      </c>
      <c r="J277" s="19">
        <v>8200.8</v>
      </c>
    </row>
    <row r="278" ht="15.25" spans="1:10">
      <c r="A278" s="18" t="s">
        <v>1962</v>
      </c>
      <c r="B278" s="19" t="s">
        <v>1855</v>
      </c>
      <c r="C278" s="19" t="s">
        <v>1856</v>
      </c>
      <c r="D278" s="19" t="s">
        <v>1857</v>
      </c>
      <c r="E278" s="19" t="s">
        <v>1858</v>
      </c>
      <c r="F278" s="19" t="s">
        <v>1868</v>
      </c>
      <c r="G278" s="19" t="s">
        <v>1869</v>
      </c>
      <c r="H278" s="19">
        <v>20</v>
      </c>
      <c r="I278" s="19">
        <v>2295.08</v>
      </c>
      <c r="J278" s="19">
        <v>45901.6</v>
      </c>
    </row>
    <row r="279" ht="15.25" spans="1:10">
      <c r="A279" s="18">
        <v>45241</v>
      </c>
      <c r="B279" s="19" t="s">
        <v>1892</v>
      </c>
      <c r="C279" s="19" t="s">
        <v>1593</v>
      </c>
      <c r="D279" s="19" t="s">
        <v>1850</v>
      </c>
      <c r="E279" s="19" t="s">
        <v>1851</v>
      </c>
      <c r="F279" s="19" t="s">
        <v>1868</v>
      </c>
      <c r="G279" s="19" t="s">
        <v>1899</v>
      </c>
      <c r="H279" s="19">
        <v>20</v>
      </c>
      <c r="I279" s="19">
        <v>4970.33</v>
      </c>
      <c r="J279" s="19">
        <v>99406.6</v>
      </c>
    </row>
    <row r="280" ht="15.25" spans="1:10">
      <c r="A280" s="18">
        <v>45272</v>
      </c>
      <c r="B280" s="19" t="s">
        <v>1874</v>
      </c>
      <c r="C280" s="19" t="s">
        <v>1941</v>
      </c>
      <c r="D280" s="19" t="s">
        <v>1879</v>
      </c>
      <c r="E280" s="19" t="s">
        <v>1851</v>
      </c>
      <c r="F280" s="19" t="s">
        <v>1852</v>
      </c>
      <c r="G280" s="19" t="s">
        <v>1910</v>
      </c>
      <c r="H280" s="19">
        <v>12</v>
      </c>
      <c r="I280" s="19">
        <v>3939.5</v>
      </c>
      <c r="J280" s="19">
        <v>47274</v>
      </c>
    </row>
    <row r="281" ht="15.25" spans="1:10">
      <c r="A281" s="18" t="s">
        <v>1994</v>
      </c>
      <c r="B281" s="19" t="s">
        <v>1878</v>
      </c>
      <c r="C281" s="19" t="s">
        <v>1875</v>
      </c>
      <c r="D281" s="19" t="s">
        <v>1862</v>
      </c>
      <c r="E281" s="19" t="s">
        <v>1858</v>
      </c>
      <c r="F281" s="19" t="s">
        <v>1876</v>
      </c>
      <c r="G281" s="19" t="s">
        <v>1926</v>
      </c>
      <c r="H281" s="19">
        <v>15</v>
      </c>
      <c r="I281" s="19">
        <v>1450.75</v>
      </c>
      <c r="J281" s="19">
        <v>21761.25</v>
      </c>
    </row>
    <row r="282" ht="15.25" spans="1:10">
      <c r="A282" s="18">
        <v>45057</v>
      </c>
      <c r="B282" s="19" t="s">
        <v>1878</v>
      </c>
      <c r="C282" s="19" t="s">
        <v>1864</v>
      </c>
      <c r="D282" s="19" t="s">
        <v>1857</v>
      </c>
      <c r="E282" s="19" t="s">
        <v>1858</v>
      </c>
      <c r="F282" s="19" t="s">
        <v>1852</v>
      </c>
      <c r="G282" s="19" t="s">
        <v>1853</v>
      </c>
      <c r="H282" s="19">
        <v>8</v>
      </c>
      <c r="I282" s="19">
        <v>3279.33</v>
      </c>
      <c r="J282" s="19">
        <v>26234.64</v>
      </c>
    </row>
    <row r="283" ht="15.25" spans="1:10">
      <c r="A283" s="18" t="s">
        <v>2034</v>
      </c>
      <c r="B283" s="19" t="s">
        <v>1892</v>
      </c>
      <c r="C283" s="19" t="s">
        <v>1598</v>
      </c>
      <c r="D283" s="19" t="s">
        <v>1850</v>
      </c>
      <c r="E283" s="19" t="s">
        <v>1851</v>
      </c>
      <c r="F283" s="19" t="s">
        <v>1865</v>
      </c>
      <c r="G283" s="19" t="s">
        <v>1890</v>
      </c>
      <c r="H283" s="19">
        <v>7</v>
      </c>
      <c r="I283" s="19">
        <v>579.92</v>
      </c>
      <c r="J283" s="19">
        <v>4059.44</v>
      </c>
    </row>
    <row r="284" ht="15.25" spans="1:10">
      <c r="A284" s="18">
        <v>45048</v>
      </c>
      <c r="B284" s="19" t="s">
        <v>1878</v>
      </c>
      <c r="C284" s="19" t="s">
        <v>1864</v>
      </c>
      <c r="D284" s="19" t="s">
        <v>1857</v>
      </c>
      <c r="E284" s="19" t="s">
        <v>1858</v>
      </c>
      <c r="F284" s="19" t="s">
        <v>1876</v>
      </c>
      <c r="G284" s="19" t="s">
        <v>1877</v>
      </c>
      <c r="H284" s="19">
        <v>10</v>
      </c>
      <c r="I284" s="19">
        <v>2515.54</v>
      </c>
      <c r="J284" s="19">
        <v>25155.4</v>
      </c>
    </row>
    <row r="285" ht="15.25" spans="1:10">
      <c r="A285" s="18" t="s">
        <v>1986</v>
      </c>
      <c r="B285" s="19" t="s">
        <v>1867</v>
      </c>
      <c r="C285" s="19" t="s">
        <v>1598</v>
      </c>
      <c r="D285" s="19" t="s">
        <v>1850</v>
      </c>
      <c r="E285" s="19" t="s">
        <v>1851</v>
      </c>
      <c r="F285" s="19" t="s">
        <v>1868</v>
      </c>
      <c r="G285" s="19" t="s">
        <v>1899</v>
      </c>
      <c r="H285" s="19">
        <v>10</v>
      </c>
      <c r="I285" s="19">
        <v>2976.69</v>
      </c>
      <c r="J285" s="19">
        <v>29766.9</v>
      </c>
    </row>
    <row r="286" ht="15.25" spans="1:10">
      <c r="A286" s="18" t="s">
        <v>1904</v>
      </c>
      <c r="B286" s="19" t="s">
        <v>1867</v>
      </c>
      <c r="C286" s="19" t="s">
        <v>1856</v>
      </c>
      <c r="D286" s="19" t="s">
        <v>1857</v>
      </c>
      <c r="E286" s="19" t="s">
        <v>1858</v>
      </c>
      <c r="F286" s="19" t="s">
        <v>1868</v>
      </c>
      <c r="G286" s="19" t="s">
        <v>1917</v>
      </c>
      <c r="H286" s="19">
        <v>16</v>
      </c>
      <c r="I286" s="19">
        <v>4047.21</v>
      </c>
      <c r="J286" s="19">
        <v>64755.36</v>
      </c>
    </row>
    <row r="287" ht="15.25" spans="1:10">
      <c r="A287" s="18">
        <v>45203</v>
      </c>
      <c r="B287" s="19" t="s">
        <v>1871</v>
      </c>
      <c r="C287" s="19" t="s">
        <v>1898</v>
      </c>
      <c r="D287" s="19" t="s">
        <v>1879</v>
      </c>
      <c r="E287" s="19" t="s">
        <v>1851</v>
      </c>
      <c r="F287" s="19" t="s">
        <v>1868</v>
      </c>
      <c r="G287" s="19" t="s">
        <v>1907</v>
      </c>
      <c r="H287" s="19">
        <v>18</v>
      </c>
      <c r="I287" s="19">
        <v>2825.07</v>
      </c>
      <c r="J287" s="19">
        <v>50851.26</v>
      </c>
    </row>
    <row r="288" ht="15.25" spans="1:10">
      <c r="A288" s="18" t="s">
        <v>2028</v>
      </c>
      <c r="B288" s="19" t="s">
        <v>1874</v>
      </c>
      <c r="C288" s="19" t="s">
        <v>1626</v>
      </c>
      <c r="D288" s="19" t="s">
        <v>1857</v>
      </c>
      <c r="E288" s="19" t="s">
        <v>1858</v>
      </c>
      <c r="F288" s="19" t="s">
        <v>1865</v>
      </c>
      <c r="G288" s="19" t="s">
        <v>1920</v>
      </c>
      <c r="H288" s="19">
        <v>13</v>
      </c>
      <c r="I288" s="19">
        <v>1406.82</v>
      </c>
      <c r="J288" s="19">
        <v>18288.66</v>
      </c>
    </row>
    <row r="289" ht="15.25" spans="1:10">
      <c r="A289" s="18" t="s">
        <v>2035</v>
      </c>
      <c r="B289" s="19" t="s">
        <v>1902</v>
      </c>
      <c r="C289" s="19" t="s">
        <v>1849</v>
      </c>
      <c r="D289" s="19" t="s">
        <v>1850</v>
      </c>
      <c r="E289" s="19" t="s">
        <v>1851</v>
      </c>
      <c r="F289" s="19" t="s">
        <v>1859</v>
      </c>
      <c r="G289" s="19" t="s">
        <v>1947</v>
      </c>
      <c r="H289" s="19">
        <v>16</v>
      </c>
      <c r="I289" s="19">
        <v>1090.18</v>
      </c>
      <c r="J289" s="19">
        <v>17442.88</v>
      </c>
    </row>
    <row r="290" ht="15.25" spans="1:10">
      <c r="A290" s="18">
        <v>44987</v>
      </c>
      <c r="B290" s="19" t="s">
        <v>1889</v>
      </c>
      <c r="C290" s="19" t="s">
        <v>1589</v>
      </c>
      <c r="D290" s="19" t="s">
        <v>1884</v>
      </c>
      <c r="E290" s="19" t="s">
        <v>1895</v>
      </c>
      <c r="F290" s="19" t="s">
        <v>1876</v>
      </c>
      <c r="G290" s="19" t="s">
        <v>1926</v>
      </c>
      <c r="H290" s="19">
        <v>12</v>
      </c>
      <c r="I290" s="19">
        <v>3696.43</v>
      </c>
      <c r="J290" s="19">
        <v>44357.16</v>
      </c>
    </row>
    <row r="291" ht="15.25" spans="1:10">
      <c r="A291" s="18">
        <v>45180</v>
      </c>
      <c r="B291" s="19" t="s">
        <v>1867</v>
      </c>
      <c r="C291" s="19" t="s">
        <v>1906</v>
      </c>
      <c r="D291" s="19" t="s">
        <v>1862</v>
      </c>
      <c r="E291" s="19" t="s">
        <v>1858</v>
      </c>
      <c r="F291" s="19" t="s">
        <v>1876</v>
      </c>
      <c r="G291" s="19" t="s">
        <v>1926</v>
      </c>
      <c r="H291" s="19">
        <v>7</v>
      </c>
      <c r="I291" s="19">
        <v>4535.14</v>
      </c>
      <c r="J291" s="19">
        <v>31745.98</v>
      </c>
    </row>
    <row r="292" ht="15.25" spans="1:10">
      <c r="A292" s="18">
        <v>44968</v>
      </c>
      <c r="B292" s="19" t="s">
        <v>1871</v>
      </c>
      <c r="C292" s="19" t="s">
        <v>1856</v>
      </c>
      <c r="D292" s="19" t="s">
        <v>1857</v>
      </c>
      <c r="E292" s="19" t="s">
        <v>1858</v>
      </c>
      <c r="F292" s="19" t="s">
        <v>1868</v>
      </c>
      <c r="G292" s="19" t="s">
        <v>1917</v>
      </c>
      <c r="H292" s="19">
        <v>3</v>
      </c>
      <c r="I292" s="19">
        <v>4931.69</v>
      </c>
      <c r="J292" s="19">
        <v>14795.07</v>
      </c>
    </row>
    <row r="293" ht="15.25" spans="1:10">
      <c r="A293" s="18" t="s">
        <v>1885</v>
      </c>
      <c r="B293" s="19" t="s">
        <v>1902</v>
      </c>
      <c r="C293" s="19" t="s">
        <v>1903</v>
      </c>
      <c r="D293" s="19" t="s">
        <v>1884</v>
      </c>
      <c r="E293" s="19" t="s">
        <v>1895</v>
      </c>
      <c r="F293" s="19" t="s">
        <v>1868</v>
      </c>
      <c r="G293" s="19" t="s">
        <v>1869</v>
      </c>
      <c r="H293" s="19">
        <v>16</v>
      </c>
      <c r="I293" s="19">
        <v>3263.65</v>
      </c>
      <c r="J293" s="19">
        <v>52218.4</v>
      </c>
    </row>
    <row r="294" ht="15.25" spans="1:10">
      <c r="A294" s="18" t="s">
        <v>2036</v>
      </c>
      <c r="B294" s="19" t="s">
        <v>1861</v>
      </c>
      <c r="C294" s="19" t="s">
        <v>1593</v>
      </c>
      <c r="D294" s="19" t="s">
        <v>1850</v>
      </c>
      <c r="E294" s="19" t="s">
        <v>1851</v>
      </c>
      <c r="F294" s="19" t="s">
        <v>1859</v>
      </c>
      <c r="G294" s="19" t="s">
        <v>1922</v>
      </c>
      <c r="H294" s="19">
        <v>17</v>
      </c>
      <c r="I294" s="19">
        <v>4083.07</v>
      </c>
      <c r="J294" s="19">
        <v>69412.19</v>
      </c>
    </row>
    <row r="295" ht="15.25" spans="1:10">
      <c r="A295" s="18" t="s">
        <v>1925</v>
      </c>
      <c r="B295" s="19" t="s">
        <v>1878</v>
      </c>
      <c r="C295" s="19" t="s">
        <v>1598</v>
      </c>
      <c r="D295" s="19" t="s">
        <v>1850</v>
      </c>
      <c r="E295" s="19" t="s">
        <v>1851</v>
      </c>
      <c r="F295" s="19" t="s">
        <v>1859</v>
      </c>
      <c r="G295" s="19" t="s">
        <v>1860</v>
      </c>
      <c r="H295" s="19">
        <v>12</v>
      </c>
      <c r="I295" s="19">
        <v>528.69</v>
      </c>
      <c r="J295" s="19">
        <v>6344.28</v>
      </c>
    </row>
    <row r="296" ht="15.25" spans="1:10">
      <c r="A296" s="18">
        <v>45024</v>
      </c>
      <c r="B296" s="19" t="s">
        <v>1892</v>
      </c>
      <c r="C296" s="19" t="s">
        <v>1864</v>
      </c>
      <c r="D296" s="19" t="s">
        <v>1857</v>
      </c>
      <c r="E296" s="19" t="s">
        <v>1858</v>
      </c>
      <c r="F296" s="19" t="s">
        <v>1876</v>
      </c>
      <c r="G296" s="19" t="s">
        <v>1930</v>
      </c>
      <c r="H296" s="19">
        <v>8</v>
      </c>
      <c r="I296" s="19">
        <v>528.93</v>
      </c>
      <c r="J296" s="19">
        <v>4231.44</v>
      </c>
    </row>
    <row r="297" ht="15.25" spans="1:10">
      <c r="A297" s="18">
        <v>45268</v>
      </c>
      <c r="B297" s="19" t="s">
        <v>1848</v>
      </c>
      <c r="C297" s="19" t="s">
        <v>1593</v>
      </c>
      <c r="D297" s="19" t="s">
        <v>1850</v>
      </c>
      <c r="E297" s="19" t="s">
        <v>1851</v>
      </c>
      <c r="F297" s="19" t="s">
        <v>1868</v>
      </c>
      <c r="G297" s="19" t="s">
        <v>1869</v>
      </c>
      <c r="H297" s="19">
        <v>11</v>
      </c>
      <c r="I297" s="19">
        <v>1749.31</v>
      </c>
      <c r="J297" s="19">
        <v>19242.41</v>
      </c>
    </row>
    <row r="298" ht="15.25" spans="1:10">
      <c r="A298" s="18">
        <v>44969</v>
      </c>
      <c r="B298" s="19" t="s">
        <v>1848</v>
      </c>
      <c r="C298" s="19" t="s">
        <v>1849</v>
      </c>
      <c r="D298" s="19" t="s">
        <v>1850</v>
      </c>
      <c r="E298" s="19" t="s">
        <v>1851</v>
      </c>
      <c r="F298" s="19" t="s">
        <v>1859</v>
      </c>
      <c r="G298" s="19" t="s">
        <v>1860</v>
      </c>
      <c r="H298" s="19">
        <v>11</v>
      </c>
      <c r="I298" s="19">
        <v>2635.95</v>
      </c>
      <c r="J298" s="19">
        <v>28995.45</v>
      </c>
    </row>
    <row r="299" ht="15.25" spans="1:10">
      <c r="A299" s="18" t="s">
        <v>1976</v>
      </c>
      <c r="B299" s="19" t="s">
        <v>1874</v>
      </c>
      <c r="C299" s="19" t="s">
        <v>1849</v>
      </c>
      <c r="D299" s="19" t="s">
        <v>1850</v>
      </c>
      <c r="E299" s="19" t="s">
        <v>1851</v>
      </c>
      <c r="F299" s="19" t="s">
        <v>1868</v>
      </c>
      <c r="G299" s="19" t="s">
        <v>1869</v>
      </c>
      <c r="H299" s="19">
        <v>6</v>
      </c>
      <c r="I299" s="19">
        <v>2850.31</v>
      </c>
      <c r="J299" s="19">
        <v>17101.86</v>
      </c>
    </row>
    <row r="300" ht="15.25" spans="1:10">
      <c r="A300" s="18" t="s">
        <v>1983</v>
      </c>
      <c r="B300" s="19" t="s">
        <v>1902</v>
      </c>
      <c r="C300" s="19" t="s">
        <v>1602</v>
      </c>
      <c r="D300" s="19" t="s">
        <v>1862</v>
      </c>
      <c r="E300" s="19" t="s">
        <v>1858</v>
      </c>
      <c r="F300" s="19" t="s">
        <v>1876</v>
      </c>
      <c r="G300" s="19" t="s">
        <v>1883</v>
      </c>
      <c r="H300" s="19">
        <v>5</v>
      </c>
      <c r="I300" s="19">
        <v>1413.03</v>
      </c>
      <c r="J300" s="19">
        <v>7065.15</v>
      </c>
    </row>
    <row r="301" ht="15.25" spans="1:10">
      <c r="A301" s="18" t="s">
        <v>2037</v>
      </c>
      <c r="B301" s="19" t="s">
        <v>1871</v>
      </c>
      <c r="C301" s="19" t="s">
        <v>1598</v>
      </c>
      <c r="D301" s="19" t="s">
        <v>1850</v>
      </c>
      <c r="E301" s="19" t="s">
        <v>1851</v>
      </c>
      <c r="F301" s="19" t="s">
        <v>1876</v>
      </c>
      <c r="G301" s="19" t="s">
        <v>1926</v>
      </c>
      <c r="H301" s="19">
        <v>14</v>
      </c>
      <c r="I301" s="19">
        <v>4541.87</v>
      </c>
      <c r="J301" s="19">
        <v>63586.18</v>
      </c>
    </row>
    <row r="302" ht="15.25" spans="1:10">
      <c r="A302" s="18" t="s">
        <v>1990</v>
      </c>
      <c r="B302" s="19" t="s">
        <v>1871</v>
      </c>
      <c r="C302" s="19" t="s">
        <v>1894</v>
      </c>
      <c r="D302" s="19" t="s">
        <v>1884</v>
      </c>
      <c r="E302" s="19" t="s">
        <v>1895</v>
      </c>
      <c r="F302" s="19" t="s">
        <v>1865</v>
      </c>
      <c r="G302" s="19" t="s">
        <v>1890</v>
      </c>
      <c r="H302" s="19">
        <v>5</v>
      </c>
      <c r="I302" s="19">
        <v>3395.71</v>
      </c>
      <c r="J302" s="19">
        <v>16978.55</v>
      </c>
    </row>
    <row r="303" ht="15.25" spans="1:10">
      <c r="A303" s="18">
        <v>45118</v>
      </c>
      <c r="B303" s="19" t="s">
        <v>1867</v>
      </c>
      <c r="C303" s="19" t="s">
        <v>1610</v>
      </c>
      <c r="D303" s="19" t="s">
        <v>1879</v>
      </c>
      <c r="E303" s="19" t="s">
        <v>1851</v>
      </c>
      <c r="F303" s="19" t="s">
        <v>1859</v>
      </c>
      <c r="G303" s="19" t="s">
        <v>1922</v>
      </c>
      <c r="H303" s="19">
        <v>2</v>
      </c>
      <c r="I303" s="19">
        <v>4050.46</v>
      </c>
      <c r="J303" s="19">
        <v>8100.92</v>
      </c>
    </row>
    <row r="304" ht="15.25" spans="1:10">
      <c r="A304" s="18">
        <v>44993</v>
      </c>
      <c r="B304" s="19" t="s">
        <v>1889</v>
      </c>
      <c r="C304" s="19" t="s">
        <v>1941</v>
      </c>
      <c r="D304" s="19" t="s">
        <v>1879</v>
      </c>
      <c r="E304" s="19" t="s">
        <v>1851</v>
      </c>
      <c r="F304" s="19" t="s">
        <v>1865</v>
      </c>
      <c r="G304" s="19" t="s">
        <v>1866</v>
      </c>
      <c r="H304" s="19">
        <v>6</v>
      </c>
      <c r="I304" s="19">
        <v>3617.81</v>
      </c>
      <c r="J304" s="19">
        <v>21706.86</v>
      </c>
    </row>
    <row r="305" ht="15.25" spans="1:10">
      <c r="A305" s="18" t="s">
        <v>2038</v>
      </c>
      <c r="B305" s="19" t="s">
        <v>1867</v>
      </c>
      <c r="C305" s="19" t="s">
        <v>1856</v>
      </c>
      <c r="D305" s="19" t="s">
        <v>1857</v>
      </c>
      <c r="E305" s="19" t="s">
        <v>1858</v>
      </c>
      <c r="F305" s="19" t="s">
        <v>1868</v>
      </c>
      <c r="G305" s="19" t="s">
        <v>1899</v>
      </c>
      <c r="H305" s="19">
        <v>11</v>
      </c>
      <c r="I305" s="19">
        <v>1527.71</v>
      </c>
      <c r="J305" s="19">
        <v>16804.81</v>
      </c>
    </row>
    <row r="306" ht="15.25" spans="1:10">
      <c r="A306" s="18">
        <v>45079</v>
      </c>
      <c r="B306" s="19" t="s">
        <v>1889</v>
      </c>
      <c r="C306" s="19" t="s">
        <v>1589</v>
      </c>
      <c r="D306" s="19" t="s">
        <v>1884</v>
      </c>
      <c r="E306" s="19" t="s">
        <v>1895</v>
      </c>
      <c r="F306" s="19" t="s">
        <v>1876</v>
      </c>
      <c r="G306" s="19" t="s">
        <v>1930</v>
      </c>
      <c r="H306" s="19">
        <v>7</v>
      </c>
      <c r="I306" s="19">
        <v>1420.32</v>
      </c>
      <c r="J306" s="19">
        <v>9942.24</v>
      </c>
    </row>
    <row r="307" ht="15.25" spans="1:10">
      <c r="A307" s="18" t="s">
        <v>1888</v>
      </c>
      <c r="B307" s="19" t="s">
        <v>1871</v>
      </c>
      <c r="C307" s="19" t="s">
        <v>1864</v>
      </c>
      <c r="D307" s="19" t="s">
        <v>1857</v>
      </c>
      <c r="E307" s="19" t="s">
        <v>1858</v>
      </c>
      <c r="F307" s="19" t="s">
        <v>1876</v>
      </c>
      <c r="G307" s="19" t="s">
        <v>1877</v>
      </c>
      <c r="H307" s="19">
        <v>17</v>
      </c>
      <c r="I307" s="19">
        <v>1336.86</v>
      </c>
      <c r="J307" s="19">
        <v>22726.62</v>
      </c>
    </row>
    <row r="308" ht="15.25" spans="1:10">
      <c r="A308" s="18">
        <v>45200</v>
      </c>
      <c r="B308" s="19" t="s">
        <v>1848</v>
      </c>
      <c r="C308" s="19" t="s">
        <v>1941</v>
      </c>
      <c r="D308" s="19" t="s">
        <v>1879</v>
      </c>
      <c r="E308" s="19" t="s">
        <v>1851</v>
      </c>
      <c r="F308" s="19" t="s">
        <v>1865</v>
      </c>
      <c r="G308" s="19" t="s">
        <v>1866</v>
      </c>
      <c r="H308" s="19">
        <v>15</v>
      </c>
      <c r="I308" s="19">
        <v>359.4</v>
      </c>
      <c r="J308" s="19">
        <v>5391</v>
      </c>
    </row>
    <row r="309" ht="15.25" spans="1:10">
      <c r="A309" s="18" t="s">
        <v>1977</v>
      </c>
      <c r="B309" s="19" t="s">
        <v>1892</v>
      </c>
      <c r="C309" s="19" t="s">
        <v>1589</v>
      </c>
      <c r="D309" s="19" t="s">
        <v>1884</v>
      </c>
      <c r="E309" s="19" t="s">
        <v>1895</v>
      </c>
      <c r="F309" s="19" t="s">
        <v>1852</v>
      </c>
      <c r="G309" s="19" t="s">
        <v>1950</v>
      </c>
      <c r="H309" s="19">
        <v>6</v>
      </c>
      <c r="I309" s="19">
        <v>4109.02</v>
      </c>
      <c r="J309" s="19">
        <v>24654.12</v>
      </c>
    </row>
    <row r="310" ht="15.25" spans="1:10">
      <c r="A310" s="18">
        <v>45140</v>
      </c>
      <c r="B310" s="19" t="s">
        <v>1861</v>
      </c>
      <c r="C310" s="19" t="s">
        <v>1602</v>
      </c>
      <c r="D310" s="19" t="s">
        <v>1862</v>
      </c>
      <c r="E310" s="19" t="s">
        <v>1858</v>
      </c>
      <c r="F310" s="19" t="s">
        <v>1852</v>
      </c>
      <c r="G310" s="19" t="s">
        <v>1853</v>
      </c>
      <c r="H310" s="19">
        <v>12</v>
      </c>
      <c r="I310" s="19">
        <v>3700.23</v>
      </c>
      <c r="J310" s="19">
        <v>44402.76</v>
      </c>
    </row>
    <row r="311" ht="15.25" spans="1:10">
      <c r="A311" s="18" t="s">
        <v>2015</v>
      </c>
      <c r="B311" s="19" t="s">
        <v>1867</v>
      </c>
      <c r="C311" s="19" t="s">
        <v>1864</v>
      </c>
      <c r="D311" s="19" t="s">
        <v>1857</v>
      </c>
      <c r="E311" s="19" t="s">
        <v>1858</v>
      </c>
      <c r="F311" s="19" t="s">
        <v>1852</v>
      </c>
      <c r="G311" s="19" t="s">
        <v>1950</v>
      </c>
      <c r="H311" s="19">
        <v>5</v>
      </c>
      <c r="I311" s="19">
        <v>221.41</v>
      </c>
      <c r="J311" s="19">
        <v>1107.05</v>
      </c>
    </row>
    <row r="312" ht="15.25" spans="1:10">
      <c r="A312" s="18" t="s">
        <v>1969</v>
      </c>
      <c r="B312" s="19" t="s">
        <v>1892</v>
      </c>
      <c r="C312" s="19" t="s">
        <v>1906</v>
      </c>
      <c r="D312" s="19" t="s">
        <v>1862</v>
      </c>
      <c r="E312" s="19" t="s">
        <v>1858</v>
      </c>
      <c r="F312" s="19" t="s">
        <v>1865</v>
      </c>
      <c r="G312" s="19" t="s">
        <v>1866</v>
      </c>
      <c r="H312" s="19">
        <v>12</v>
      </c>
      <c r="I312" s="19">
        <v>4446.15</v>
      </c>
      <c r="J312" s="19">
        <v>53353.8</v>
      </c>
    </row>
    <row r="313" ht="15.25" spans="1:10">
      <c r="A313" s="18">
        <v>45145</v>
      </c>
      <c r="B313" s="19" t="s">
        <v>1871</v>
      </c>
      <c r="C313" s="19" t="s">
        <v>1906</v>
      </c>
      <c r="D313" s="19" t="s">
        <v>1862</v>
      </c>
      <c r="E313" s="19" t="s">
        <v>1858</v>
      </c>
      <c r="F313" s="19" t="s">
        <v>1868</v>
      </c>
      <c r="G313" s="19" t="s">
        <v>1869</v>
      </c>
      <c r="H313" s="19">
        <v>12</v>
      </c>
      <c r="I313" s="19">
        <v>2393.97</v>
      </c>
      <c r="J313" s="19">
        <v>28727.64</v>
      </c>
    </row>
    <row r="314" ht="15.25" spans="1:10">
      <c r="A314" s="18">
        <v>45266</v>
      </c>
      <c r="B314" s="19" t="s">
        <v>1874</v>
      </c>
      <c r="C314" s="19" t="s">
        <v>1894</v>
      </c>
      <c r="D314" s="19" t="s">
        <v>1884</v>
      </c>
      <c r="E314" s="19" t="s">
        <v>1895</v>
      </c>
      <c r="F314" s="19" t="s">
        <v>1868</v>
      </c>
      <c r="G314" s="19" t="s">
        <v>1907</v>
      </c>
      <c r="H314" s="19">
        <v>7</v>
      </c>
      <c r="I314" s="19">
        <v>256.57</v>
      </c>
      <c r="J314" s="19">
        <v>1795.99</v>
      </c>
    </row>
    <row r="315" ht="15.25" spans="1:10">
      <c r="A315" s="18" t="s">
        <v>2039</v>
      </c>
      <c r="B315" s="19" t="s">
        <v>1892</v>
      </c>
      <c r="C315" s="19" t="s">
        <v>1626</v>
      </c>
      <c r="D315" s="19" t="s">
        <v>1857</v>
      </c>
      <c r="E315" s="19" t="s">
        <v>1858</v>
      </c>
      <c r="F315" s="19" t="s">
        <v>1865</v>
      </c>
      <c r="G315" s="19" t="s">
        <v>1920</v>
      </c>
      <c r="H315" s="19">
        <v>9</v>
      </c>
      <c r="I315" s="19">
        <v>4218.36</v>
      </c>
      <c r="J315" s="19">
        <v>37965.24</v>
      </c>
    </row>
    <row r="316" ht="15.25" spans="1:10">
      <c r="A316" s="18" t="s">
        <v>1993</v>
      </c>
      <c r="B316" s="19" t="s">
        <v>1871</v>
      </c>
      <c r="C316" s="19" t="s">
        <v>1894</v>
      </c>
      <c r="D316" s="19" t="s">
        <v>1884</v>
      </c>
      <c r="E316" s="19" t="s">
        <v>1895</v>
      </c>
      <c r="F316" s="19" t="s">
        <v>1865</v>
      </c>
      <c r="G316" s="19" t="s">
        <v>1886</v>
      </c>
      <c r="H316" s="19">
        <v>8</v>
      </c>
      <c r="I316" s="19">
        <v>4930.67</v>
      </c>
      <c r="J316" s="19">
        <v>39445.36</v>
      </c>
    </row>
    <row r="317" ht="15.25" spans="1:10">
      <c r="A317" s="18" t="s">
        <v>2040</v>
      </c>
      <c r="B317" s="19" t="s">
        <v>1855</v>
      </c>
      <c r="C317" s="19" t="s">
        <v>1864</v>
      </c>
      <c r="D317" s="19" t="s">
        <v>1857</v>
      </c>
      <c r="E317" s="19" t="s">
        <v>1858</v>
      </c>
      <c r="F317" s="19" t="s">
        <v>1865</v>
      </c>
      <c r="G317" s="19" t="s">
        <v>1886</v>
      </c>
      <c r="H317" s="19">
        <v>2</v>
      </c>
      <c r="I317" s="19">
        <v>1264.68</v>
      </c>
      <c r="J317" s="19">
        <v>2529.36</v>
      </c>
    </row>
    <row r="318" ht="15.25" spans="1:10">
      <c r="A318" s="18">
        <v>45113</v>
      </c>
      <c r="B318" s="19" t="s">
        <v>1848</v>
      </c>
      <c r="C318" s="19" t="s">
        <v>1598</v>
      </c>
      <c r="D318" s="19" t="s">
        <v>1850</v>
      </c>
      <c r="E318" s="19" t="s">
        <v>1851</v>
      </c>
      <c r="F318" s="19" t="s">
        <v>1859</v>
      </c>
      <c r="G318" s="19" t="s">
        <v>1872</v>
      </c>
      <c r="H318" s="19">
        <v>16</v>
      </c>
      <c r="I318" s="19">
        <v>2192.74</v>
      </c>
      <c r="J318" s="19">
        <v>35083.84</v>
      </c>
    </row>
    <row r="319" ht="15.25" spans="1:10">
      <c r="A319" s="18" t="s">
        <v>1893</v>
      </c>
      <c r="B319" s="19" t="s">
        <v>1855</v>
      </c>
      <c r="C319" s="19" t="s">
        <v>1598</v>
      </c>
      <c r="D319" s="19" t="s">
        <v>1850</v>
      </c>
      <c r="E319" s="19" t="s">
        <v>1851</v>
      </c>
      <c r="F319" s="19" t="s">
        <v>1868</v>
      </c>
      <c r="G319" s="19" t="s">
        <v>1899</v>
      </c>
      <c r="H319" s="19">
        <v>14</v>
      </c>
      <c r="I319" s="19">
        <v>3943.42</v>
      </c>
      <c r="J319" s="19">
        <v>55207.88</v>
      </c>
    </row>
    <row r="320" ht="15.25" spans="1:10">
      <c r="A320" s="18">
        <v>44994</v>
      </c>
      <c r="B320" s="19" t="s">
        <v>1889</v>
      </c>
      <c r="C320" s="19" t="s">
        <v>1898</v>
      </c>
      <c r="D320" s="19" t="s">
        <v>1879</v>
      </c>
      <c r="E320" s="19" t="s">
        <v>1851</v>
      </c>
      <c r="F320" s="19" t="s">
        <v>1868</v>
      </c>
      <c r="G320" s="19" t="s">
        <v>1917</v>
      </c>
      <c r="H320" s="19">
        <v>11</v>
      </c>
      <c r="I320" s="19">
        <v>2951.18</v>
      </c>
      <c r="J320" s="19">
        <v>32462.98</v>
      </c>
    </row>
    <row r="321" ht="15.25" spans="1:10">
      <c r="A321" s="18" t="s">
        <v>2041</v>
      </c>
      <c r="B321" s="19" t="s">
        <v>1878</v>
      </c>
      <c r="C321" s="19" t="s">
        <v>1864</v>
      </c>
      <c r="D321" s="19" t="s">
        <v>1857</v>
      </c>
      <c r="E321" s="19" t="s">
        <v>1858</v>
      </c>
      <c r="F321" s="19" t="s">
        <v>1868</v>
      </c>
      <c r="G321" s="19" t="s">
        <v>1907</v>
      </c>
      <c r="H321" s="19">
        <v>11</v>
      </c>
      <c r="I321" s="19">
        <v>4325.83</v>
      </c>
      <c r="J321" s="19">
        <v>47584.13</v>
      </c>
    </row>
    <row r="322" ht="15.25" spans="1:10">
      <c r="A322" s="18" t="s">
        <v>2042</v>
      </c>
      <c r="B322" s="19" t="s">
        <v>1878</v>
      </c>
      <c r="C322" s="19" t="s">
        <v>1898</v>
      </c>
      <c r="D322" s="19" t="s">
        <v>1879</v>
      </c>
      <c r="E322" s="19" t="s">
        <v>1851</v>
      </c>
      <c r="F322" s="19" t="s">
        <v>1876</v>
      </c>
      <c r="G322" s="19" t="s">
        <v>1930</v>
      </c>
      <c r="H322" s="19">
        <v>2</v>
      </c>
      <c r="I322" s="19">
        <v>1417.87</v>
      </c>
      <c r="J322" s="19">
        <v>2835.74</v>
      </c>
    </row>
    <row r="323" ht="15.25" spans="1:10">
      <c r="A323" s="18" t="s">
        <v>2043</v>
      </c>
      <c r="B323" s="19" t="s">
        <v>1878</v>
      </c>
      <c r="C323" s="19" t="s">
        <v>1593</v>
      </c>
      <c r="D323" s="19" t="s">
        <v>1850</v>
      </c>
      <c r="E323" s="19" t="s">
        <v>1851</v>
      </c>
      <c r="F323" s="19" t="s">
        <v>1859</v>
      </c>
      <c r="G323" s="19" t="s">
        <v>1860</v>
      </c>
      <c r="H323" s="19">
        <v>13</v>
      </c>
      <c r="I323" s="19">
        <v>2511.64</v>
      </c>
      <c r="J323" s="19">
        <v>32651.32</v>
      </c>
    </row>
    <row r="324" ht="15.25" spans="1:10">
      <c r="A324" s="18">
        <v>44931</v>
      </c>
      <c r="B324" s="19" t="s">
        <v>1889</v>
      </c>
      <c r="C324" s="19" t="s">
        <v>1593</v>
      </c>
      <c r="D324" s="19" t="s">
        <v>1850</v>
      </c>
      <c r="E324" s="19" t="s">
        <v>1851</v>
      </c>
      <c r="F324" s="19" t="s">
        <v>1852</v>
      </c>
      <c r="G324" s="19" t="s">
        <v>1853</v>
      </c>
      <c r="H324" s="19">
        <v>7</v>
      </c>
      <c r="I324" s="19">
        <v>862.76</v>
      </c>
      <c r="J324" s="19">
        <v>6039.32</v>
      </c>
    </row>
    <row r="325" ht="15.25" spans="1:10">
      <c r="A325" s="18">
        <v>44936</v>
      </c>
      <c r="B325" s="19" t="s">
        <v>1855</v>
      </c>
      <c r="C325" s="19" t="s">
        <v>1875</v>
      </c>
      <c r="D325" s="19" t="s">
        <v>1862</v>
      </c>
      <c r="E325" s="19" t="s">
        <v>1858</v>
      </c>
      <c r="F325" s="19" t="s">
        <v>1865</v>
      </c>
      <c r="G325" s="19" t="s">
        <v>1920</v>
      </c>
      <c r="H325" s="19">
        <v>18</v>
      </c>
      <c r="I325" s="19">
        <v>1412.15</v>
      </c>
      <c r="J325" s="19">
        <v>25418.7</v>
      </c>
    </row>
    <row r="326" ht="15.25" spans="1:10">
      <c r="A326" s="18">
        <v>45261</v>
      </c>
      <c r="B326" s="19" t="s">
        <v>1889</v>
      </c>
      <c r="C326" s="19" t="s">
        <v>1941</v>
      </c>
      <c r="D326" s="19" t="s">
        <v>1879</v>
      </c>
      <c r="E326" s="19" t="s">
        <v>1851</v>
      </c>
      <c r="F326" s="19" t="s">
        <v>1859</v>
      </c>
      <c r="G326" s="19" t="s">
        <v>1860</v>
      </c>
      <c r="H326" s="19">
        <v>6</v>
      </c>
      <c r="I326" s="19">
        <v>3295.29</v>
      </c>
      <c r="J326" s="19">
        <v>19771.74</v>
      </c>
    </row>
    <row r="327" ht="15.25" spans="1:10">
      <c r="A327" s="18" t="s">
        <v>2044</v>
      </c>
      <c r="B327" s="19" t="s">
        <v>1902</v>
      </c>
      <c r="C327" s="19" t="s">
        <v>1856</v>
      </c>
      <c r="D327" s="19" t="s">
        <v>1857</v>
      </c>
      <c r="E327" s="19" t="s">
        <v>1858</v>
      </c>
      <c r="F327" s="19" t="s">
        <v>1859</v>
      </c>
      <c r="G327" s="19" t="s">
        <v>1922</v>
      </c>
      <c r="H327" s="19">
        <v>18</v>
      </c>
      <c r="I327" s="19">
        <v>4132.69</v>
      </c>
      <c r="J327" s="19">
        <v>74388.42</v>
      </c>
    </row>
    <row r="328" ht="15.25" spans="1:10">
      <c r="A328" s="18">
        <v>45179</v>
      </c>
      <c r="B328" s="19" t="s">
        <v>1861</v>
      </c>
      <c r="C328" s="19" t="s">
        <v>1864</v>
      </c>
      <c r="D328" s="19" t="s">
        <v>1857</v>
      </c>
      <c r="E328" s="19" t="s">
        <v>1858</v>
      </c>
      <c r="F328" s="19" t="s">
        <v>1876</v>
      </c>
      <c r="G328" s="19" t="s">
        <v>1926</v>
      </c>
      <c r="H328" s="19">
        <v>7</v>
      </c>
      <c r="I328" s="19">
        <v>1557.83</v>
      </c>
      <c r="J328" s="19">
        <v>10904.81</v>
      </c>
    </row>
    <row r="329" ht="15.25" spans="1:10">
      <c r="A329" s="18" t="s">
        <v>2045</v>
      </c>
      <c r="B329" s="19" t="s">
        <v>1892</v>
      </c>
      <c r="C329" s="19" t="s">
        <v>1894</v>
      </c>
      <c r="D329" s="19" t="s">
        <v>1884</v>
      </c>
      <c r="E329" s="19" t="s">
        <v>1895</v>
      </c>
      <c r="F329" s="19" t="s">
        <v>1859</v>
      </c>
      <c r="G329" s="19" t="s">
        <v>1872</v>
      </c>
      <c r="H329" s="19">
        <v>7</v>
      </c>
      <c r="I329" s="19">
        <v>4673.31</v>
      </c>
      <c r="J329" s="19">
        <v>32713.17</v>
      </c>
    </row>
    <row r="330" ht="15.25" spans="1:10">
      <c r="A330" s="18" t="s">
        <v>2008</v>
      </c>
      <c r="B330" s="19" t="s">
        <v>1861</v>
      </c>
      <c r="C330" s="19" t="s">
        <v>1593</v>
      </c>
      <c r="D330" s="19" t="s">
        <v>1850</v>
      </c>
      <c r="E330" s="19" t="s">
        <v>1851</v>
      </c>
      <c r="F330" s="19" t="s">
        <v>1868</v>
      </c>
      <c r="G330" s="19" t="s">
        <v>1917</v>
      </c>
      <c r="H330" s="19">
        <v>5</v>
      </c>
      <c r="I330" s="19">
        <v>3775.72</v>
      </c>
      <c r="J330" s="19">
        <v>18878.6</v>
      </c>
    </row>
    <row r="331" ht="15.25" spans="1:10">
      <c r="A331" s="18" t="s">
        <v>1942</v>
      </c>
      <c r="B331" s="19" t="s">
        <v>1889</v>
      </c>
      <c r="C331" s="19" t="s">
        <v>1593</v>
      </c>
      <c r="D331" s="19" t="s">
        <v>1850</v>
      </c>
      <c r="E331" s="19" t="s">
        <v>1851</v>
      </c>
      <c r="F331" s="19" t="s">
        <v>1852</v>
      </c>
      <c r="G331" s="19" t="s">
        <v>1910</v>
      </c>
      <c r="H331" s="19">
        <v>6</v>
      </c>
      <c r="I331" s="19">
        <v>3524.48</v>
      </c>
      <c r="J331" s="19">
        <v>21146.88</v>
      </c>
    </row>
    <row r="332" ht="15.25" spans="1:10">
      <c r="A332" s="18" t="s">
        <v>1997</v>
      </c>
      <c r="B332" s="19" t="s">
        <v>1867</v>
      </c>
      <c r="C332" s="19" t="s">
        <v>1898</v>
      </c>
      <c r="D332" s="19" t="s">
        <v>1879</v>
      </c>
      <c r="E332" s="19" t="s">
        <v>1851</v>
      </c>
      <c r="F332" s="19" t="s">
        <v>1876</v>
      </c>
      <c r="G332" s="19" t="s">
        <v>1883</v>
      </c>
      <c r="H332" s="19">
        <v>1</v>
      </c>
      <c r="I332" s="19">
        <v>2961.1</v>
      </c>
      <c r="J332" s="19">
        <v>2961.1</v>
      </c>
    </row>
    <row r="333" ht="15.25" spans="1:10">
      <c r="A333" s="18">
        <v>44930</v>
      </c>
      <c r="B333" s="19" t="s">
        <v>1861</v>
      </c>
      <c r="C333" s="19" t="s">
        <v>1602</v>
      </c>
      <c r="D333" s="19" t="s">
        <v>1862</v>
      </c>
      <c r="E333" s="19" t="s">
        <v>1858</v>
      </c>
      <c r="F333" s="19" t="s">
        <v>1859</v>
      </c>
      <c r="G333" s="19" t="s">
        <v>1947</v>
      </c>
      <c r="H333" s="19">
        <v>13</v>
      </c>
      <c r="I333" s="19">
        <v>513.06</v>
      </c>
      <c r="J333" s="19">
        <v>6669.78</v>
      </c>
    </row>
    <row r="334" ht="15.25" spans="1:10">
      <c r="A334" s="18" t="s">
        <v>2021</v>
      </c>
      <c r="B334" s="19" t="s">
        <v>1861</v>
      </c>
      <c r="C334" s="19" t="s">
        <v>1602</v>
      </c>
      <c r="D334" s="19" t="s">
        <v>1862</v>
      </c>
      <c r="E334" s="19" t="s">
        <v>1858</v>
      </c>
      <c r="F334" s="19" t="s">
        <v>1852</v>
      </c>
      <c r="G334" s="19" t="s">
        <v>1934</v>
      </c>
      <c r="H334" s="19">
        <v>3</v>
      </c>
      <c r="I334" s="19">
        <v>953.26</v>
      </c>
      <c r="J334" s="19">
        <v>2859.78</v>
      </c>
    </row>
    <row r="335" ht="15.25" spans="1:10">
      <c r="A335" s="18" t="s">
        <v>1988</v>
      </c>
      <c r="B335" s="19" t="s">
        <v>1848</v>
      </c>
      <c r="C335" s="19" t="s">
        <v>1903</v>
      </c>
      <c r="D335" s="19" t="s">
        <v>1884</v>
      </c>
      <c r="E335" s="19" t="s">
        <v>1895</v>
      </c>
      <c r="F335" s="19" t="s">
        <v>1859</v>
      </c>
      <c r="G335" s="19" t="s">
        <v>1872</v>
      </c>
      <c r="H335" s="19">
        <v>2</v>
      </c>
      <c r="I335" s="19">
        <v>1189.65</v>
      </c>
      <c r="J335" s="19">
        <v>2379.3</v>
      </c>
    </row>
    <row r="336" ht="15.25" spans="1:10">
      <c r="A336" s="18">
        <v>44933</v>
      </c>
      <c r="B336" s="19" t="s">
        <v>1892</v>
      </c>
      <c r="C336" s="19" t="s">
        <v>1602</v>
      </c>
      <c r="D336" s="19" t="s">
        <v>1862</v>
      </c>
      <c r="E336" s="19" t="s">
        <v>1858</v>
      </c>
      <c r="F336" s="19" t="s">
        <v>1859</v>
      </c>
      <c r="G336" s="19" t="s">
        <v>1872</v>
      </c>
      <c r="H336" s="19">
        <v>1</v>
      </c>
      <c r="I336" s="19">
        <v>1915.3</v>
      </c>
      <c r="J336" s="19">
        <v>1915.3</v>
      </c>
    </row>
    <row r="337" ht="15.25" spans="1:10">
      <c r="A337" s="18">
        <v>45178</v>
      </c>
      <c r="B337" s="19" t="s">
        <v>1889</v>
      </c>
      <c r="C337" s="19" t="s">
        <v>1626</v>
      </c>
      <c r="D337" s="19" t="s">
        <v>1857</v>
      </c>
      <c r="E337" s="19" t="s">
        <v>1858</v>
      </c>
      <c r="F337" s="19" t="s">
        <v>1859</v>
      </c>
      <c r="G337" s="19" t="s">
        <v>1922</v>
      </c>
      <c r="H337" s="19">
        <v>8</v>
      </c>
      <c r="I337" s="19">
        <v>3927.74</v>
      </c>
      <c r="J337" s="19">
        <v>31421.92</v>
      </c>
    </row>
    <row r="338" ht="15.25" spans="1:10">
      <c r="A338" s="18" t="s">
        <v>2036</v>
      </c>
      <c r="B338" s="19" t="s">
        <v>1902</v>
      </c>
      <c r="C338" s="19" t="s">
        <v>1589</v>
      </c>
      <c r="D338" s="19" t="s">
        <v>1884</v>
      </c>
      <c r="E338" s="19" t="s">
        <v>1895</v>
      </c>
      <c r="F338" s="19" t="s">
        <v>1865</v>
      </c>
      <c r="G338" s="19" t="s">
        <v>1920</v>
      </c>
      <c r="H338" s="19">
        <v>10</v>
      </c>
      <c r="I338" s="19">
        <v>2682.33</v>
      </c>
      <c r="J338" s="19">
        <v>26823.3</v>
      </c>
    </row>
    <row r="339" ht="15.25" spans="1:10">
      <c r="A339" s="18">
        <v>44995</v>
      </c>
      <c r="B339" s="19" t="s">
        <v>1892</v>
      </c>
      <c r="C339" s="19" t="s">
        <v>1864</v>
      </c>
      <c r="D339" s="19" t="s">
        <v>1857</v>
      </c>
      <c r="E339" s="19" t="s">
        <v>1858</v>
      </c>
      <c r="F339" s="19" t="s">
        <v>1876</v>
      </c>
      <c r="G339" s="19" t="s">
        <v>1926</v>
      </c>
      <c r="H339" s="19">
        <v>6</v>
      </c>
      <c r="I339" s="19">
        <v>4086.27</v>
      </c>
      <c r="J339" s="19">
        <v>24517.62</v>
      </c>
    </row>
    <row r="340" ht="15.25" spans="1:10">
      <c r="A340" s="18" t="s">
        <v>1951</v>
      </c>
      <c r="B340" s="19" t="s">
        <v>1892</v>
      </c>
      <c r="C340" s="19" t="s">
        <v>1864</v>
      </c>
      <c r="D340" s="19" t="s">
        <v>1857</v>
      </c>
      <c r="E340" s="19" t="s">
        <v>1858</v>
      </c>
      <c r="F340" s="19" t="s">
        <v>1876</v>
      </c>
      <c r="G340" s="19" t="s">
        <v>1877</v>
      </c>
      <c r="H340" s="19">
        <v>8</v>
      </c>
      <c r="I340" s="19">
        <v>827.02</v>
      </c>
      <c r="J340" s="19">
        <v>6616.16</v>
      </c>
    </row>
    <row r="341" ht="15.25" spans="1:10">
      <c r="A341" s="18">
        <v>45051</v>
      </c>
      <c r="B341" s="19" t="s">
        <v>1902</v>
      </c>
      <c r="C341" s="19" t="s">
        <v>1903</v>
      </c>
      <c r="D341" s="19" t="s">
        <v>1884</v>
      </c>
      <c r="E341" s="19" t="s">
        <v>1895</v>
      </c>
      <c r="F341" s="19" t="s">
        <v>1868</v>
      </c>
      <c r="G341" s="19" t="s">
        <v>1899</v>
      </c>
      <c r="H341" s="19">
        <v>14</v>
      </c>
      <c r="I341" s="19">
        <v>4728.44</v>
      </c>
      <c r="J341" s="19">
        <v>66198.16</v>
      </c>
    </row>
    <row r="342" ht="15.25" spans="1:10">
      <c r="A342" s="18" t="s">
        <v>2046</v>
      </c>
      <c r="B342" s="19" t="s">
        <v>1867</v>
      </c>
      <c r="C342" s="19" t="s">
        <v>1610</v>
      </c>
      <c r="D342" s="19" t="s">
        <v>1879</v>
      </c>
      <c r="E342" s="19" t="s">
        <v>1851</v>
      </c>
      <c r="F342" s="19" t="s">
        <v>1852</v>
      </c>
      <c r="G342" s="19" t="s">
        <v>1910</v>
      </c>
      <c r="H342" s="19">
        <v>11</v>
      </c>
      <c r="I342" s="19">
        <v>575.73</v>
      </c>
      <c r="J342" s="19">
        <v>6333.03</v>
      </c>
    </row>
    <row r="343" ht="15.25" spans="1:10">
      <c r="A343" s="18" t="s">
        <v>2047</v>
      </c>
      <c r="B343" s="19" t="s">
        <v>1861</v>
      </c>
      <c r="C343" s="19" t="s">
        <v>1598</v>
      </c>
      <c r="D343" s="19" t="s">
        <v>1850</v>
      </c>
      <c r="E343" s="19" t="s">
        <v>1851</v>
      </c>
      <c r="F343" s="19" t="s">
        <v>1852</v>
      </c>
      <c r="G343" s="19" t="s">
        <v>1910</v>
      </c>
      <c r="H343" s="19">
        <v>4</v>
      </c>
      <c r="I343" s="19">
        <v>578.35</v>
      </c>
      <c r="J343" s="19">
        <v>2313.4</v>
      </c>
    </row>
    <row r="344" ht="15.25" spans="1:10">
      <c r="A344" s="18" t="s">
        <v>2048</v>
      </c>
      <c r="B344" s="19" t="s">
        <v>1889</v>
      </c>
      <c r="C344" s="19" t="s">
        <v>1864</v>
      </c>
      <c r="D344" s="19" t="s">
        <v>1857</v>
      </c>
      <c r="E344" s="19" t="s">
        <v>1858</v>
      </c>
      <c r="F344" s="19" t="s">
        <v>1859</v>
      </c>
      <c r="G344" s="19" t="s">
        <v>1860</v>
      </c>
      <c r="H344" s="19">
        <v>8</v>
      </c>
      <c r="I344" s="19">
        <v>3043.72</v>
      </c>
      <c r="J344" s="19">
        <v>24349.76</v>
      </c>
    </row>
    <row r="345" ht="15.25" spans="1:10">
      <c r="A345" s="18" t="s">
        <v>2039</v>
      </c>
      <c r="B345" s="19" t="s">
        <v>1871</v>
      </c>
      <c r="C345" s="19" t="s">
        <v>1875</v>
      </c>
      <c r="D345" s="19" t="s">
        <v>1862</v>
      </c>
      <c r="E345" s="19" t="s">
        <v>1858</v>
      </c>
      <c r="F345" s="19" t="s">
        <v>1852</v>
      </c>
      <c r="G345" s="19" t="s">
        <v>1853</v>
      </c>
      <c r="H345" s="19">
        <v>10</v>
      </c>
      <c r="I345" s="19">
        <v>3339.72</v>
      </c>
      <c r="J345" s="19">
        <v>33397.2</v>
      </c>
    </row>
    <row r="346" ht="15.25" spans="1:10">
      <c r="A346" s="18">
        <v>45269</v>
      </c>
      <c r="B346" s="19" t="s">
        <v>1848</v>
      </c>
      <c r="C346" s="19" t="s">
        <v>1903</v>
      </c>
      <c r="D346" s="19" t="s">
        <v>1884</v>
      </c>
      <c r="E346" s="19" t="s">
        <v>1895</v>
      </c>
      <c r="F346" s="19" t="s">
        <v>1852</v>
      </c>
      <c r="G346" s="19" t="s">
        <v>1853</v>
      </c>
      <c r="H346" s="19">
        <v>7</v>
      </c>
      <c r="I346" s="19">
        <v>2286.4</v>
      </c>
      <c r="J346" s="19">
        <v>16004.8</v>
      </c>
    </row>
    <row r="347" ht="15.25" spans="1:10">
      <c r="A347" s="18" t="s">
        <v>1938</v>
      </c>
      <c r="B347" s="19" t="s">
        <v>1892</v>
      </c>
      <c r="C347" s="19" t="s">
        <v>1626</v>
      </c>
      <c r="D347" s="19" t="s">
        <v>1857</v>
      </c>
      <c r="E347" s="19" t="s">
        <v>1858</v>
      </c>
      <c r="F347" s="19" t="s">
        <v>1859</v>
      </c>
      <c r="G347" s="19" t="s">
        <v>1922</v>
      </c>
      <c r="H347" s="19">
        <v>6</v>
      </c>
      <c r="I347" s="19">
        <v>4862.26</v>
      </c>
      <c r="J347" s="19">
        <v>29173.56</v>
      </c>
    </row>
    <row r="348" ht="15.25" spans="1:10">
      <c r="A348" s="18" t="s">
        <v>2018</v>
      </c>
      <c r="B348" s="19" t="s">
        <v>1878</v>
      </c>
      <c r="C348" s="19" t="s">
        <v>1906</v>
      </c>
      <c r="D348" s="19" t="s">
        <v>1862</v>
      </c>
      <c r="E348" s="19" t="s">
        <v>1858</v>
      </c>
      <c r="F348" s="19" t="s">
        <v>1876</v>
      </c>
      <c r="G348" s="19" t="s">
        <v>1883</v>
      </c>
      <c r="H348" s="19">
        <v>6</v>
      </c>
      <c r="I348" s="19">
        <v>3470.44</v>
      </c>
      <c r="J348" s="19">
        <v>20822.64</v>
      </c>
    </row>
    <row r="349" ht="15.25" spans="1:10">
      <c r="A349" s="18" t="s">
        <v>2049</v>
      </c>
      <c r="B349" s="19" t="s">
        <v>1874</v>
      </c>
      <c r="C349" s="19" t="s">
        <v>1849</v>
      </c>
      <c r="D349" s="19" t="s">
        <v>1850</v>
      </c>
      <c r="E349" s="19" t="s">
        <v>1851</v>
      </c>
      <c r="F349" s="19" t="s">
        <v>1865</v>
      </c>
      <c r="G349" s="19" t="s">
        <v>1886</v>
      </c>
      <c r="H349" s="19">
        <v>5</v>
      </c>
      <c r="I349" s="19">
        <v>4175.13</v>
      </c>
      <c r="J349" s="19">
        <v>20875.65</v>
      </c>
    </row>
    <row r="350" ht="15.25" spans="1:10">
      <c r="A350" s="18">
        <v>45056</v>
      </c>
      <c r="B350" s="19" t="s">
        <v>1889</v>
      </c>
      <c r="C350" s="19" t="s">
        <v>1602</v>
      </c>
      <c r="D350" s="19" t="s">
        <v>1862</v>
      </c>
      <c r="E350" s="19" t="s">
        <v>1858</v>
      </c>
      <c r="F350" s="19" t="s">
        <v>1868</v>
      </c>
      <c r="G350" s="19" t="s">
        <v>1899</v>
      </c>
      <c r="H350" s="19">
        <v>16</v>
      </c>
      <c r="I350" s="19">
        <v>1880.67</v>
      </c>
      <c r="J350" s="19">
        <v>30090.72</v>
      </c>
    </row>
    <row r="351" ht="15.25" spans="1:10">
      <c r="A351" s="18">
        <v>45238</v>
      </c>
      <c r="B351" s="19" t="s">
        <v>1878</v>
      </c>
      <c r="C351" s="19" t="s">
        <v>1589</v>
      </c>
      <c r="D351" s="19" t="s">
        <v>1884</v>
      </c>
      <c r="E351" s="19" t="s">
        <v>1895</v>
      </c>
      <c r="F351" s="19" t="s">
        <v>1876</v>
      </c>
      <c r="G351" s="19" t="s">
        <v>1926</v>
      </c>
      <c r="H351" s="19">
        <v>7</v>
      </c>
      <c r="I351" s="19">
        <v>2187.71</v>
      </c>
      <c r="J351" s="19">
        <v>15313.97</v>
      </c>
    </row>
    <row r="352" ht="15.25" spans="1:10">
      <c r="A352" s="18" t="s">
        <v>1933</v>
      </c>
      <c r="B352" s="19" t="s">
        <v>1861</v>
      </c>
      <c r="C352" s="19" t="s">
        <v>1906</v>
      </c>
      <c r="D352" s="19" t="s">
        <v>1862</v>
      </c>
      <c r="E352" s="19" t="s">
        <v>1858</v>
      </c>
      <c r="F352" s="19" t="s">
        <v>1865</v>
      </c>
      <c r="G352" s="19" t="s">
        <v>1890</v>
      </c>
      <c r="H352" s="19">
        <v>14</v>
      </c>
      <c r="I352" s="19">
        <v>1024.22</v>
      </c>
      <c r="J352" s="19">
        <v>14339.08</v>
      </c>
    </row>
    <row r="353" ht="15.25" spans="1:10">
      <c r="A353" s="18" t="s">
        <v>1919</v>
      </c>
      <c r="B353" s="19" t="s">
        <v>1892</v>
      </c>
      <c r="C353" s="19" t="s">
        <v>1864</v>
      </c>
      <c r="D353" s="19" t="s">
        <v>1857</v>
      </c>
      <c r="E353" s="19" t="s">
        <v>1858</v>
      </c>
      <c r="F353" s="19" t="s">
        <v>1865</v>
      </c>
      <c r="G353" s="19" t="s">
        <v>1886</v>
      </c>
      <c r="H353" s="19">
        <v>17</v>
      </c>
      <c r="I353" s="19">
        <v>544.42</v>
      </c>
      <c r="J353" s="19">
        <v>9255.14</v>
      </c>
    </row>
    <row r="354" ht="15.25" spans="1:10">
      <c r="A354" s="18" t="s">
        <v>1963</v>
      </c>
      <c r="B354" s="19" t="s">
        <v>1871</v>
      </c>
      <c r="C354" s="19" t="s">
        <v>1593</v>
      </c>
      <c r="D354" s="19" t="s">
        <v>1850</v>
      </c>
      <c r="E354" s="19" t="s">
        <v>1851</v>
      </c>
      <c r="F354" s="19" t="s">
        <v>1859</v>
      </c>
      <c r="G354" s="19" t="s">
        <v>1922</v>
      </c>
      <c r="H354" s="19">
        <v>4</v>
      </c>
      <c r="I354" s="19">
        <v>942.96</v>
      </c>
      <c r="J354" s="19">
        <v>3771.84</v>
      </c>
    </row>
    <row r="355" ht="15.25" spans="1:10">
      <c r="A355" s="18">
        <v>45211</v>
      </c>
      <c r="B355" s="19" t="s">
        <v>1892</v>
      </c>
      <c r="C355" s="19" t="s">
        <v>1626</v>
      </c>
      <c r="D355" s="19" t="s">
        <v>1857</v>
      </c>
      <c r="E355" s="19" t="s">
        <v>1858</v>
      </c>
      <c r="F355" s="19" t="s">
        <v>1852</v>
      </c>
      <c r="G355" s="19" t="s">
        <v>1950</v>
      </c>
      <c r="H355" s="19">
        <v>12</v>
      </c>
      <c r="I355" s="19">
        <v>1799.38</v>
      </c>
      <c r="J355" s="19">
        <v>21592.56</v>
      </c>
    </row>
    <row r="356" ht="15.25" spans="1:10">
      <c r="A356" s="18" t="s">
        <v>1882</v>
      </c>
      <c r="B356" s="19" t="s">
        <v>1867</v>
      </c>
      <c r="C356" s="19" t="s">
        <v>1626</v>
      </c>
      <c r="D356" s="19" t="s">
        <v>1857</v>
      </c>
      <c r="E356" s="19" t="s">
        <v>1858</v>
      </c>
      <c r="F356" s="19" t="s">
        <v>1865</v>
      </c>
      <c r="G356" s="19" t="s">
        <v>1890</v>
      </c>
      <c r="H356" s="19">
        <v>11</v>
      </c>
      <c r="I356" s="19">
        <v>1634.39</v>
      </c>
      <c r="J356" s="19">
        <v>17978.29</v>
      </c>
    </row>
    <row r="357" ht="15.25" spans="1:10">
      <c r="A357" s="18">
        <v>45148</v>
      </c>
      <c r="B357" s="19" t="s">
        <v>1902</v>
      </c>
      <c r="C357" s="19" t="s">
        <v>1593</v>
      </c>
      <c r="D357" s="19" t="s">
        <v>1850</v>
      </c>
      <c r="E357" s="19" t="s">
        <v>1851</v>
      </c>
      <c r="F357" s="19" t="s">
        <v>1852</v>
      </c>
      <c r="G357" s="19" t="s">
        <v>1934</v>
      </c>
      <c r="H357" s="19">
        <v>3</v>
      </c>
      <c r="I357" s="19">
        <v>2950.28</v>
      </c>
      <c r="J357" s="19">
        <v>8850.84</v>
      </c>
    </row>
    <row r="358" ht="15.25" spans="1:10">
      <c r="A358" s="18" t="s">
        <v>2050</v>
      </c>
      <c r="B358" s="19" t="s">
        <v>1867</v>
      </c>
      <c r="C358" s="19" t="s">
        <v>1598</v>
      </c>
      <c r="D358" s="19" t="s">
        <v>1850</v>
      </c>
      <c r="E358" s="19" t="s">
        <v>1851</v>
      </c>
      <c r="F358" s="19" t="s">
        <v>1868</v>
      </c>
      <c r="G358" s="19" t="s">
        <v>1917</v>
      </c>
      <c r="H358" s="19">
        <v>10</v>
      </c>
      <c r="I358" s="19">
        <v>4788</v>
      </c>
      <c r="J358" s="19">
        <v>47880</v>
      </c>
    </row>
    <row r="359" ht="15.25" spans="1:10">
      <c r="A359" s="18" t="s">
        <v>1963</v>
      </c>
      <c r="B359" s="19" t="s">
        <v>1855</v>
      </c>
      <c r="C359" s="19" t="s">
        <v>1856</v>
      </c>
      <c r="D359" s="19" t="s">
        <v>1857</v>
      </c>
      <c r="E359" s="19" t="s">
        <v>1858</v>
      </c>
      <c r="F359" s="19" t="s">
        <v>1852</v>
      </c>
      <c r="G359" s="19" t="s">
        <v>1910</v>
      </c>
      <c r="H359" s="19">
        <v>8</v>
      </c>
      <c r="I359" s="19">
        <v>1807.67</v>
      </c>
      <c r="J359" s="19">
        <v>14461.36</v>
      </c>
    </row>
    <row r="360" ht="15.25" spans="1:10">
      <c r="A360" s="18">
        <v>44967</v>
      </c>
      <c r="B360" s="19" t="s">
        <v>1874</v>
      </c>
      <c r="C360" s="19" t="s">
        <v>1602</v>
      </c>
      <c r="D360" s="19" t="s">
        <v>1862</v>
      </c>
      <c r="E360" s="19" t="s">
        <v>1858</v>
      </c>
      <c r="F360" s="19" t="s">
        <v>1868</v>
      </c>
      <c r="G360" s="19" t="s">
        <v>1917</v>
      </c>
      <c r="H360" s="19">
        <v>19</v>
      </c>
      <c r="I360" s="19">
        <v>797.02</v>
      </c>
      <c r="J360" s="19">
        <v>15143.38</v>
      </c>
    </row>
    <row r="361" ht="15.25" spans="1:10">
      <c r="A361" s="18" t="s">
        <v>1989</v>
      </c>
      <c r="B361" s="19" t="s">
        <v>1855</v>
      </c>
      <c r="C361" s="19" t="s">
        <v>1856</v>
      </c>
      <c r="D361" s="19" t="s">
        <v>1857</v>
      </c>
      <c r="E361" s="19" t="s">
        <v>1858</v>
      </c>
      <c r="F361" s="19" t="s">
        <v>1876</v>
      </c>
      <c r="G361" s="19" t="s">
        <v>1926</v>
      </c>
      <c r="H361" s="19">
        <v>2</v>
      </c>
      <c r="I361" s="19">
        <v>1195.99</v>
      </c>
      <c r="J361" s="19">
        <v>2391.98</v>
      </c>
    </row>
    <row r="362" ht="15.25" spans="1:10">
      <c r="A362" s="18">
        <v>45082</v>
      </c>
      <c r="B362" s="19" t="s">
        <v>1889</v>
      </c>
      <c r="C362" s="19" t="s">
        <v>1898</v>
      </c>
      <c r="D362" s="19" t="s">
        <v>1879</v>
      </c>
      <c r="E362" s="19" t="s">
        <v>1851</v>
      </c>
      <c r="F362" s="19" t="s">
        <v>1865</v>
      </c>
      <c r="G362" s="19" t="s">
        <v>1920</v>
      </c>
      <c r="H362" s="19">
        <v>20</v>
      </c>
      <c r="I362" s="19">
        <v>2056.65</v>
      </c>
      <c r="J362" s="19">
        <v>41133</v>
      </c>
    </row>
    <row r="363" ht="15.25" spans="1:10">
      <c r="A363" s="18">
        <v>45019</v>
      </c>
      <c r="B363" s="19" t="s">
        <v>1889</v>
      </c>
      <c r="C363" s="19" t="s">
        <v>1626</v>
      </c>
      <c r="D363" s="19" t="s">
        <v>1857</v>
      </c>
      <c r="E363" s="19" t="s">
        <v>1858</v>
      </c>
      <c r="F363" s="19" t="s">
        <v>1852</v>
      </c>
      <c r="G363" s="19" t="s">
        <v>1950</v>
      </c>
      <c r="H363" s="19">
        <v>16</v>
      </c>
      <c r="I363" s="19">
        <v>4817.63</v>
      </c>
      <c r="J363" s="19">
        <v>77082.08</v>
      </c>
    </row>
    <row r="364" ht="15.25" spans="1:10">
      <c r="A364" s="18" t="s">
        <v>1965</v>
      </c>
      <c r="B364" s="19" t="s">
        <v>1855</v>
      </c>
      <c r="C364" s="19" t="s">
        <v>1875</v>
      </c>
      <c r="D364" s="19" t="s">
        <v>1862</v>
      </c>
      <c r="E364" s="19" t="s">
        <v>1858</v>
      </c>
      <c r="F364" s="19" t="s">
        <v>1865</v>
      </c>
      <c r="G364" s="19" t="s">
        <v>1890</v>
      </c>
      <c r="H364" s="19">
        <v>7</v>
      </c>
      <c r="I364" s="19">
        <v>4950.24</v>
      </c>
      <c r="J364" s="19">
        <v>34651.68</v>
      </c>
    </row>
    <row r="365" ht="15.25" spans="1:10">
      <c r="A365" s="18" t="s">
        <v>1954</v>
      </c>
      <c r="B365" s="19" t="s">
        <v>1889</v>
      </c>
      <c r="C365" s="19" t="s">
        <v>1593</v>
      </c>
      <c r="D365" s="19" t="s">
        <v>1850</v>
      </c>
      <c r="E365" s="19" t="s">
        <v>1851</v>
      </c>
      <c r="F365" s="19" t="s">
        <v>1865</v>
      </c>
      <c r="G365" s="19" t="s">
        <v>1890</v>
      </c>
      <c r="H365" s="19">
        <v>9</v>
      </c>
      <c r="I365" s="19">
        <v>2935.97</v>
      </c>
      <c r="J365" s="19">
        <v>26423.73</v>
      </c>
    </row>
    <row r="366" ht="15.25" spans="1:10">
      <c r="A366" s="18">
        <v>45181</v>
      </c>
      <c r="B366" s="19" t="s">
        <v>1902</v>
      </c>
      <c r="C366" s="19" t="s">
        <v>1941</v>
      </c>
      <c r="D366" s="19" t="s">
        <v>1879</v>
      </c>
      <c r="E366" s="19" t="s">
        <v>1851</v>
      </c>
      <c r="F366" s="19" t="s">
        <v>1868</v>
      </c>
      <c r="G366" s="19" t="s">
        <v>1869</v>
      </c>
      <c r="H366" s="19">
        <v>9</v>
      </c>
      <c r="I366" s="19">
        <v>3560.8</v>
      </c>
      <c r="J366" s="19">
        <v>32047.2</v>
      </c>
    </row>
    <row r="367" ht="15.25" spans="1:10">
      <c r="A367" s="18">
        <v>45141</v>
      </c>
      <c r="B367" s="19" t="s">
        <v>1902</v>
      </c>
      <c r="C367" s="19" t="s">
        <v>1898</v>
      </c>
      <c r="D367" s="19" t="s">
        <v>1879</v>
      </c>
      <c r="E367" s="19" t="s">
        <v>1851</v>
      </c>
      <c r="F367" s="19" t="s">
        <v>1859</v>
      </c>
      <c r="G367" s="19" t="s">
        <v>1947</v>
      </c>
      <c r="H367" s="19">
        <v>11</v>
      </c>
      <c r="I367" s="19">
        <v>4890.92</v>
      </c>
      <c r="J367" s="19">
        <v>53800.12</v>
      </c>
    </row>
    <row r="368" ht="15.25" spans="1:10">
      <c r="A368" s="18" t="s">
        <v>2017</v>
      </c>
      <c r="B368" s="19" t="s">
        <v>1871</v>
      </c>
      <c r="C368" s="19" t="s">
        <v>1875</v>
      </c>
      <c r="D368" s="19" t="s">
        <v>1862</v>
      </c>
      <c r="E368" s="19" t="s">
        <v>1858</v>
      </c>
      <c r="F368" s="19" t="s">
        <v>1865</v>
      </c>
      <c r="G368" s="19" t="s">
        <v>1866</v>
      </c>
      <c r="H368" s="19">
        <v>8</v>
      </c>
      <c r="I368" s="19">
        <v>4143.56</v>
      </c>
      <c r="J368" s="19">
        <v>33148.48</v>
      </c>
    </row>
    <row r="369" ht="15.25" spans="1:10">
      <c r="A369" s="18" t="s">
        <v>2051</v>
      </c>
      <c r="B369" s="19" t="s">
        <v>1892</v>
      </c>
      <c r="C369" s="19" t="s">
        <v>1626</v>
      </c>
      <c r="D369" s="19" t="s">
        <v>1857</v>
      </c>
      <c r="E369" s="19" t="s">
        <v>1858</v>
      </c>
      <c r="F369" s="19" t="s">
        <v>1868</v>
      </c>
      <c r="G369" s="19" t="s">
        <v>1917</v>
      </c>
      <c r="H369" s="19">
        <v>4</v>
      </c>
      <c r="I369" s="19">
        <v>2395.66</v>
      </c>
      <c r="J369" s="19">
        <v>9582.64</v>
      </c>
    </row>
    <row r="370" ht="15.25" spans="1:10">
      <c r="A370" s="18">
        <v>45177</v>
      </c>
      <c r="B370" s="19" t="s">
        <v>1871</v>
      </c>
      <c r="C370" s="19" t="s">
        <v>1941</v>
      </c>
      <c r="D370" s="19" t="s">
        <v>1879</v>
      </c>
      <c r="E370" s="19" t="s">
        <v>1851</v>
      </c>
      <c r="F370" s="19" t="s">
        <v>1865</v>
      </c>
      <c r="G370" s="19" t="s">
        <v>1886</v>
      </c>
      <c r="H370" s="19">
        <v>18</v>
      </c>
      <c r="I370" s="19">
        <v>1582.02</v>
      </c>
      <c r="J370" s="19">
        <v>28476.36</v>
      </c>
    </row>
    <row r="371" ht="15.25" spans="1:10">
      <c r="A371" s="18" t="s">
        <v>2052</v>
      </c>
      <c r="B371" s="19" t="s">
        <v>1848</v>
      </c>
      <c r="C371" s="19" t="s">
        <v>1898</v>
      </c>
      <c r="D371" s="19" t="s">
        <v>1879</v>
      </c>
      <c r="E371" s="19" t="s">
        <v>1851</v>
      </c>
      <c r="F371" s="19" t="s">
        <v>1865</v>
      </c>
      <c r="G371" s="19" t="s">
        <v>1890</v>
      </c>
      <c r="H371" s="19">
        <v>14</v>
      </c>
      <c r="I371" s="19">
        <v>3381.77</v>
      </c>
      <c r="J371" s="19">
        <v>47344.78</v>
      </c>
    </row>
    <row r="372" ht="15.25" spans="1:10">
      <c r="A372" s="18" t="s">
        <v>1940</v>
      </c>
      <c r="B372" s="19" t="s">
        <v>1902</v>
      </c>
      <c r="C372" s="19" t="s">
        <v>1602</v>
      </c>
      <c r="D372" s="19" t="s">
        <v>1862</v>
      </c>
      <c r="E372" s="19" t="s">
        <v>1858</v>
      </c>
      <c r="F372" s="19" t="s">
        <v>1859</v>
      </c>
      <c r="G372" s="19" t="s">
        <v>1872</v>
      </c>
      <c r="H372" s="19">
        <v>16</v>
      </c>
      <c r="I372" s="19">
        <v>2580.42</v>
      </c>
      <c r="J372" s="19">
        <v>41286.72</v>
      </c>
    </row>
    <row r="373" ht="15.25" spans="1:10">
      <c r="A373" s="18" t="s">
        <v>2049</v>
      </c>
      <c r="B373" s="19" t="s">
        <v>1878</v>
      </c>
      <c r="C373" s="19" t="s">
        <v>1941</v>
      </c>
      <c r="D373" s="19" t="s">
        <v>1879</v>
      </c>
      <c r="E373" s="19" t="s">
        <v>1851</v>
      </c>
      <c r="F373" s="19" t="s">
        <v>1865</v>
      </c>
      <c r="G373" s="19" t="s">
        <v>1890</v>
      </c>
      <c r="H373" s="19">
        <v>3</v>
      </c>
      <c r="I373" s="19">
        <v>3838.25</v>
      </c>
      <c r="J373" s="19">
        <v>11514.75</v>
      </c>
    </row>
    <row r="374" ht="15.25" spans="1:10">
      <c r="A374" s="18" t="s">
        <v>1972</v>
      </c>
      <c r="B374" s="19" t="s">
        <v>1878</v>
      </c>
      <c r="C374" s="19" t="s">
        <v>1626</v>
      </c>
      <c r="D374" s="19" t="s">
        <v>1857</v>
      </c>
      <c r="E374" s="19" t="s">
        <v>1858</v>
      </c>
      <c r="F374" s="19" t="s">
        <v>1868</v>
      </c>
      <c r="G374" s="19" t="s">
        <v>1899</v>
      </c>
      <c r="H374" s="19">
        <v>2</v>
      </c>
      <c r="I374" s="19">
        <v>591.6</v>
      </c>
      <c r="J374" s="19">
        <v>1183.2</v>
      </c>
    </row>
    <row r="375" ht="15.25" spans="1:10">
      <c r="A375" s="18" t="s">
        <v>2053</v>
      </c>
      <c r="B375" s="19" t="s">
        <v>1861</v>
      </c>
      <c r="C375" s="19" t="s">
        <v>1589</v>
      </c>
      <c r="D375" s="19" t="s">
        <v>1884</v>
      </c>
      <c r="E375" s="19" t="s">
        <v>1895</v>
      </c>
      <c r="F375" s="19" t="s">
        <v>1865</v>
      </c>
      <c r="G375" s="19" t="s">
        <v>1890</v>
      </c>
      <c r="H375" s="19">
        <v>1</v>
      </c>
      <c r="I375" s="19">
        <v>2709.05</v>
      </c>
      <c r="J375" s="19">
        <v>2709.05</v>
      </c>
    </row>
    <row r="376" ht="15.25" spans="1:10">
      <c r="A376" s="18">
        <v>45177</v>
      </c>
      <c r="B376" s="19" t="s">
        <v>1867</v>
      </c>
      <c r="C376" s="19" t="s">
        <v>1602</v>
      </c>
      <c r="D376" s="19" t="s">
        <v>1862</v>
      </c>
      <c r="E376" s="19" t="s">
        <v>1858</v>
      </c>
      <c r="F376" s="19" t="s">
        <v>1876</v>
      </c>
      <c r="G376" s="19" t="s">
        <v>1926</v>
      </c>
      <c r="H376" s="19">
        <v>5</v>
      </c>
      <c r="I376" s="19">
        <v>194.7</v>
      </c>
      <c r="J376" s="19">
        <v>973.5</v>
      </c>
    </row>
    <row r="377" ht="15.25" spans="1:10">
      <c r="A377" s="18" t="s">
        <v>2031</v>
      </c>
      <c r="B377" s="19" t="s">
        <v>1861</v>
      </c>
      <c r="C377" s="19" t="s">
        <v>1898</v>
      </c>
      <c r="D377" s="19" t="s">
        <v>1879</v>
      </c>
      <c r="E377" s="19" t="s">
        <v>1851</v>
      </c>
      <c r="F377" s="19" t="s">
        <v>1859</v>
      </c>
      <c r="G377" s="19" t="s">
        <v>1872</v>
      </c>
      <c r="H377" s="19">
        <v>4</v>
      </c>
      <c r="I377" s="19">
        <v>900.33</v>
      </c>
      <c r="J377" s="19">
        <v>3601.32</v>
      </c>
    </row>
    <row r="378" ht="15.25" spans="1:10">
      <c r="A378" s="18" t="s">
        <v>2054</v>
      </c>
      <c r="B378" s="19" t="s">
        <v>1871</v>
      </c>
      <c r="C378" s="19" t="s">
        <v>1864</v>
      </c>
      <c r="D378" s="19" t="s">
        <v>1857</v>
      </c>
      <c r="E378" s="19" t="s">
        <v>1858</v>
      </c>
      <c r="F378" s="19" t="s">
        <v>1868</v>
      </c>
      <c r="G378" s="19" t="s">
        <v>1869</v>
      </c>
      <c r="H378" s="19">
        <v>13</v>
      </c>
      <c r="I378" s="19">
        <v>3574.45</v>
      </c>
      <c r="J378" s="19">
        <v>46467.85</v>
      </c>
    </row>
    <row r="379" ht="15.25" spans="1:10">
      <c r="A379" s="18" t="s">
        <v>1961</v>
      </c>
      <c r="B379" s="19" t="s">
        <v>1855</v>
      </c>
      <c r="C379" s="19" t="s">
        <v>1894</v>
      </c>
      <c r="D379" s="19" t="s">
        <v>1884</v>
      </c>
      <c r="E379" s="19" t="s">
        <v>1895</v>
      </c>
      <c r="F379" s="19" t="s">
        <v>1876</v>
      </c>
      <c r="G379" s="19" t="s">
        <v>1877</v>
      </c>
      <c r="H379" s="19">
        <v>20</v>
      </c>
      <c r="I379" s="19">
        <v>1637.44</v>
      </c>
      <c r="J379" s="19">
        <v>32748.8</v>
      </c>
    </row>
    <row r="380" ht="15.25" spans="1:10">
      <c r="A380" s="18" t="s">
        <v>1980</v>
      </c>
      <c r="B380" s="19" t="s">
        <v>1861</v>
      </c>
      <c r="C380" s="19" t="s">
        <v>1906</v>
      </c>
      <c r="D380" s="19" t="s">
        <v>1862</v>
      </c>
      <c r="E380" s="19" t="s">
        <v>1858</v>
      </c>
      <c r="F380" s="19" t="s">
        <v>1852</v>
      </c>
      <c r="G380" s="19" t="s">
        <v>1934</v>
      </c>
      <c r="H380" s="19">
        <v>14</v>
      </c>
      <c r="I380" s="19">
        <v>3177.8</v>
      </c>
      <c r="J380" s="19">
        <v>44489.2</v>
      </c>
    </row>
    <row r="381" ht="15.25" spans="1:10">
      <c r="A381" s="18" t="s">
        <v>2032</v>
      </c>
      <c r="B381" s="19" t="s">
        <v>1874</v>
      </c>
      <c r="C381" s="19" t="s">
        <v>1875</v>
      </c>
      <c r="D381" s="19" t="s">
        <v>1862</v>
      </c>
      <c r="E381" s="19" t="s">
        <v>1858</v>
      </c>
      <c r="F381" s="19" t="s">
        <v>1876</v>
      </c>
      <c r="G381" s="19" t="s">
        <v>1883</v>
      </c>
      <c r="H381" s="19">
        <v>1</v>
      </c>
      <c r="I381" s="19">
        <v>3382.37</v>
      </c>
      <c r="J381" s="19">
        <v>3382.37</v>
      </c>
    </row>
    <row r="382" ht="15.25" spans="1:10">
      <c r="A382" s="18" t="s">
        <v>1946</v>
      </c>
      <c r="B382" s="19" t="s">
        <v>1848</v>
      </c>
      <c r="C382" s="19" t="s">
        <v>1894</v>
      </c>
      <c r="D382" s="19" t="s">
        <v>1884</v>
      </c>
      <c r="E382" s="19" t="s">
        <v>1895</v>
      </c>
      <c r="F382" s="19" t="s">
        <v>1859</v>
      </c>
      <c r="G382" s="19" t="s">
        <v>1947</v>
      </c>
      <c r="H382" s="19">
        <v>19</v>
      </c>
      <c r="I382" s="19">
        <v>2816.52</v>
      </c>
      <c r="J382" s="19">
        <v>53513.88</v>
      </c>
    </row>
    <row r="383" ht="15.25" spans="1:10">
      <c r="A383" s="18" t="s">
        <v>1893</v>
      </c>
      <c r="B383" s="19" t="s">
        <v>1848</v>
      </c>
      <c r="C383" s="19" t="s">
        <v>1589</v>
      </c>
      <c r="D383" s="19" t="s">
        <v>1884</v>
      </c>
      <c r="E383" s="19" t="s">
        <v>1895</v>
      </c>
      <c r="F383" s="19" t="s">
        <v>1868</v>
      </c>
      <c r="G383" s="19" t="s">
        <v>1907</v>
      </c>
      <c r="H383" s="19">
        <v>13</v>
      </c>
      <c r="I383" s="19">
        <v>3417.94</v>
      </c>
      <c r="J383" s="19">
        <v>44433.22</v>
      </c>
    </row>
    <row r="384" ht="15.25" spans="1:10">
      <c r="A384" s="18" t="s">
        <v>1870</v>
      </c>
      <c r="B384" s="19" t="s">
        <v>1848</v>
      </c>
      <c r="C384" s="19" t="s">
        <v>1875</v>
      </c>
      <c r="D384" s="19" t="s">
        <v>1862</v>
      </c>
      <c r="E384" s="19" t="s">
        <v>1858</v>
      </c>
      <c r="F384" s="19" t="s">
        <v>1865</v>
      </c>
      <c r="G384" s="19" t="s">
        <v>1920</v>
      </c>
      <c r="H384" s="19">
        <v>14</v>
      </c>
      <c r="I384" s="19">
        <v>917.55</v>
      </c>
      <c r="J384" s="19">
        <v>12845.7</v>
      </c>
    </row>
    <row r="385" ht="15.25" spans="1:10">
      <c r="A385" s="18">
        <v>45263</v>
      </c>
      <c r="B385" s="19" t="s">
        <v>1878</v>
      </c>
      <c r="C385" s="19" t="s">
        <v>1849</v>
      </c>
      <c r="D385" s="19" t="s">
        <v>1850</v>
      </c>
      <c r="E385" s="19" t="s">
        <v>1851</v>
      </c>
      <c r="F385" s="19" t="s">
        <v>1876</v>
      </c>
      <c r="G385" s="19" t="s">
        <v>1877</v>
      </c>
      <c r="H385" s="19">
        <v>1</v>
      </c>
      <c r="I385" s="19">
        <v>1598.87</v>
      </c>
      <c r="J385" s="19">
        <v>1598.87</v>
      </c>
    </row>
    <row r="386" ht="15.25" spans="1:10">
      <c r="A386" s="18">
        <v>44936</v>
      </c>
      <c r="B386" s="19" t="s">
        <v>1878</v>
      </c>
      <c r="C386" s="19" t="s">
        <v>1894</v>
      </c>
      <c r="D386" s="19" t="s">
        <v>1884</v>
      </c>
      <c r="E386" s="19" t="s">
        <v>1895</v>
      </c>
      <c r="F386" s="19" t="s">
        <v>1852</v>
      </c>
      <c r="G386" s="19" t="s">
        <v>1853</v>
      </c>
      <c r="H386" s="19">
        <v>7</v>
      </c>
      <c r="I386" s="19">
        <v>405.27</v>
      </c>
      <c r="J386" s="19">
        <v>2836.89</v>
      </c>
    </row>
    <row r="387" ht="15.25" spans="1:10">
      <c r="A387" s="18">
        <v>45270</v>
      </c>
      <c r="B387" s="19" t="s">
        <v>1878</v>
      </c>
      <c r="C387" s="19" t="s">
        <v>1593</v>
      </c>
      <c r="D387" s="19" t="s">
        <v>1850</v>
      </c>
      <c r="E387" s="19" t="s">
        <v>1851</v>
      </c>
      <c r="F387" s="19" t="s">
        <v>1868</v>
      </c>
      <c r="G387" s="19" t="s">
        <v>1899</v>
      </c>
      <c r="H387" s="19">
        <v>5</v>
      </c>
      <c r="I387" s="19">
        <v>2819.92</v>
      </c>
      <c r="J387" s="19">
        <v>14099.6</v>
      </c>
    </row>
    <row r="388" ht="15.25" spans="1:10">
      <c r="A388" s="18" t="s">
        <v>2055</v>
      </c>
      <c r="B388" s="19" t="s">
        <v>1861</v>
      </c>
      <c r="C388" s="19" t="s">
        <v>1875</v>
      </c>
      <c r="D388" s="19" t="s">
        <v>1862</v>
      </c>
      <c r="E388" s="19" t="s">
        <v>1858</v>
      </c>
      <c r="F388" s="19" t="s">
        <v>1876</v>
      </c>
      <c r="G388" s="19" t="s">
        <v>1877</v>
      </c>
      <c r="H388" s="19">
        <v>7</v>
      </c>
      <c r="I388" s="19">
        <v>4023.6</v>
      </c>
      <c r="J388" s="19">
        <v>28165.2</v>
      </c>
    </row>
    <row r="389" ht="15.25" spans="1:10">
      <c r="A389" s="18" t="s">
        <v>1933</v>
      </c>
      <c r="B389" s="19" t="s">
        <v>1867</v>
      </c>
      <c r="C389" s="19" t="s">
        <v>1626</v>
      </c>
      <c r="D389" s="19" t="s">
        <v>1857</v>
      </c>
      <c r="E389" s="19" t="s">
        <v>1858</v>
      </c>
      <c r="F389" s="19" t="s">
        <v>1868</v>
      </c>
      <c r="G389" s="19" t="s">
        <v>1899</v>
      </c>
      <c r="H389" s="19">
        <v>6</v>
      </c>
      <c r="I389" s="19">
        <v>4911.79</v>
      </c>
      <c r="J389" s="19">
        <v>29470.74</v>
      </c>
    </row>
    <row r="390" ht="15.25" spans="1:10">
      <c r="A390" s="18">
        <v>45210</v>
      </c>
      <c r="B390" s="19" t="s">
        <v>1874</v>
      </c>
      <c r="C390" s="19" t="s">
        <v>1906</v>
      </c>
      <c r="D390" s="19" t="s">
        <v>1862</v>
      </c>
      <c r="E390" s="19" t="s">
        <v>1858</v>
      </c>
      <c r="F390" s="19" t="s">
        <v>1852</v>
      </c>
      <c r="G390" s="19" t="s">
        <v>1910</v>
      </c>
      <c r="H390" s="19">
        <v>7</v>
      </c>
      <c r="I390" s="19">
        <v>2186.75</v>
      </c>
      <c r="J390" s="19">
        <v>15307.25</v>
      </c>
    </row>
    <row r="391" ht="15.25" spans="1:10">
      <c r="A391" s="18" t="s">
        <v>1942</v>
      </c>
      <c r="B391" s="19" t="s">
        <v>1902</v>
      </c>
      <c r="C391" s="19" t="s">
        <v>1894</v>
      </c>
      <c r="D391" s="19" t="s">
        <v>1884</v>
      </c>
      <c r="E391" s="19" t="s">
        <v>1895</v>
      </c>
      <c r="F391" s="19" t="s">
        <v>1859</v>
      </c>
      <c r="G391" s="19" t="s">
        <v>1860</v>
      </c>
      <c r="H391" s="19">
        <v>9</v>
      </c>
      <c r="I391" s="19">
        <v>2304.23</v>
      </c>
      <c r="J391" s="19">
        <v>20738.07</v>
      </c>
    </row>
    <row r="392" ht="15.25" spans="1:10">
      <c r="A392" s="18">
        <v>45021</v>
      </c>
      <c r="B392" s="19" t="s">
        <v>1874</v>
      </c>
      <c r="C392" s="19" t="s">
        <v>1593</v>
      </c>
      <c r="D392" s="19" t="s">
        <v>1850</v>
      </c>
      <c r="E392" s="19" t="s">
        <v>1851</v>
      </c>
      <c r="F392" s="19" t="s">
        <v>1876</v>
      </c>
      <c r="G392" s="19" t="s">
        <v>1883</v>
      </c>
      <c r="H392" s="19">
        <v>6</v>
      </c>
      <c r="I392" s="19">
        <v>2282.55</v>
      </c>
      <c r="J392" s="19">
        <v>13695.3</v>
      </c>
    </row>
    <row r="393" ht="15.25" spans="1:10">
      <c r="A393" s="18" t="s">
        <v>2031</v>
      </c>
      <c r="B393" s="19" t="s">
        <v>1867</v>
      </c>
      <c r="C393" s="19" t="s">
        <v>1610</v>
      </c>
      <c r="D393" s="19" t="s">
        <v>1879</v>
      </c>
      <c r="E393" s="19" t="s">
        <v>1851</v>
      </c>
      <c r="F393" s="19" t="s">
        <v>1876</v>
      </c>
      <c r="G393" s="19" t="s">
        <v>1926</v>
      </c>
      <c r="H393" s="19">
        <v>4</v>
      </c>
      <c r="I393" s="19">
        <v>4778.23</v>
      </c>
      <c r="J393" s="19">
        <v>19112.92</v>
      </c>
    </row>
    <row r="394" ht="15.25" spans="1:10">
      <c r="A394" s="18">
        <v>44931</v>
      </c>
      <c r="B394" s="19" t="s">
        <v>1878</v>
      </c>
      <c r="C394" s="19" t="s">
        <v>1856</v>
      </c>
      <c r="D394" s="19" t="s">
        <v>1857</v>
      </c>
      <c r="E394" s="19" t="s">
        <v>1858</v>
      </c>
      <c r="F394" s="19" t="s">
        <v>1865</v>
      </c>
      <c r="G394" s="19" t="s">
        <v>1890</v>
      </c>
      <c r="H394" s="19">
        <v>11</v>
      </c>
      <c r="I394" s="19">
        <v>1286.08</v>
      </c>
      <c r="J394" s="19">
        <v>14146.88</v>
      </c>
    </row>
    <row r="395" ht="15.25" spans="1:10">
      <c r="A395" s="18" t="s">
        <v>2056</v>
      </c>
      <c r="B395" s="19" t="s">
        <v>1889</v>
      </c>
      <c r="C395" s="19" t="s">
        <v>1598</v>
      </c>
      <c r="D395" s="19" t="s">
        <v>1850</v>
      </c>
      <c r="E395" s="19" t="s">
        <v>1851</v>
      </c>
      <c r="F395" s="19" t="s">
        <v>1876</v>
      </c>
      <c r="G395" s="19" t="s">
        <v>1930</v>
      </c>
      <c r="H395" s="19">
        <v>19</v>
      </c>
      <c r="I395" s="19">
        <v>1844.31</v>
      </c>
      <c r="J395" s="19">
        <v>35041.89</v>
      </c>
    </row>
    <row r="396" ht="15.25" spans="1:10">
      <c r="A396" s="18">
        <v>44969</v>
      </c>
      <c r="B396" s="19" t="s">
        <v>1889</v>
      </c>
      <c r="C396" s="19" t="s">
        <v>1610</v>
      </c>
      <c r="D396" s="19" t="s">
        <v>1879</v>
      </c>
      <c r="E396" s="19" t="s">
        <v>1851</v>
      </c>
      <c r="F396" s="19" t="s">
        <v>1865</v>
      </c>
      <c r="G396" s="19" t="s">
        <v>1866</v>
      </c>
      <c r="H396" s="19">
        <v>14</v>
      </c>
      <c r="I396" s="19">
        <v>148.43</v>
      </c>
      <c r="J396" s="19">
        <v>2078.02</v>
      </c>
    </row>
    <row r="397" ht="15.25" spans="1:10">
      <c r="A397" s="18">
        <v>45140</v>
      </c>
      <c r="B397" s="19" t="s">
        <v>1889</v>
      </c>
      <c r="C397" s="19" t="s">
        <v>1941</v>
      </c>
      <c r="D397" s="19" t="s">
        <v>1879</v>
      </c>
      <c r="E397" s="19" t="s">
        <v>1851</v>
      </c>
      <c r="F397" s="19" t="s">
        <v>1859</v>
      </c>
      <c r="G397" s="19" t="s">
        <v>1872</v>
      </c>
      <c r="H397" s="19">
        <v>3</v>
      </c>
      <c r="I397" s="19">
        <v>2502.81</v>
      </c>
      <c r="J397" s="19">
        <v>7508.43</v>
      </c>
    </row>
    <row r="398" ht="15.25" spans="1:10">
      <c r="A398" s="18">
        <v>45082</v>
      </c>
      <c r="B398" s="19" t="s">
        <v>1902</v>
      </c>
      <c r="C398" s="19" t="s">
        <v>1610</v>
      </c>
      <c r="D398" s="19" t="s">
        <v>1879</v>
      </c>
      <c r="E398" s="19" t="s">
        <v>1851</v>
      </c>
      <c r="F398" s="19" t="s">
        <v>1852</v>
      </c>
      <c r="G398" s="19" t="s">
        <v>1910</v>
      </c>
      <c r="H398" s="19">
        <v>7</v>
      </c>
      <c r="I398" s="19">
        <v>3721.37</v>
      </c>
      <c r="J398" s="19">
        <v>26049.59</v>
      </c>
    </row>
    <row r="399" ht="15.25" spans="1:10">
      <c r="A399" s="18" t="s">
        <v>2057</v>
      </c>
      <c r="B399" s="19" t="s">
        <v>1889</v>
      </c>
      <c r="C399" s="19" t="s">
        <v>1856</v>
      </c>
      <c r="D399" s="19" t="s">
        <v>1857</v>
      </c>
      <c r="E399" s="19" t="s">
        <v>1858</v>
      </c>
      <c r="F399" s="19" t="s">
        <v>1852</v>
      </c>
      <c r="G399" s="19" t="s">
        <v>1934</v>
      </c>
      <c r="H399" s="19">
        <v>2</v>
      </c>
      <c r="I399" s="19">
        <v>3719.83</v>
      </c>
      <c r="J399" s="19">
        <v>7439.66</v>
      </c>
    </row>
    <row r="400" ht="15.25" spans="1:10">
      <c r="A400" s="18">
        <v>45148</v>
      </c>
      <c r="B400" s="19" t="s">
        <v>1861</v>
      </c>
      <c r="C400" s="19" t="s">
        <v>1903</v>
      </c>
      <c r="D400" s="19" t="s">
        <v>1884</v>
      </c>
      <c r="E400" s="19" t="s">
        <v>1895</v>
      </c>
      <c r="F400" s="19" t="s">
        <v>1865</v>
      </c>
      <c r="G400" s="19" t="s">
        <v>1866</v>
      </c>
      <c r="H400" s="19">
        <v>19</v>
      </c>
      <c r="I400" s="19">
        <v>2862.47</v>
      </c>
      <c r="J400" s="19">
        <v>54386.93</v>
      </c>
    </row>
    <row r="401" ht="15.25" spans="1:10">
      <c r="A401" s="18" t="s">
        <v>1904</v>
      </c>
      <c r="B401" s="19" t="s">
        <v>1871</v>
      </c>
      <c r="C401" s="19" t="s">
        <v>1864</v>
      </c>
      <c r="D401" s="19" t="s">
        <v>1857</v>
      </c>
      <c r="E401" s="19" t="s">
        <v>1858</v>
      </c>
      <c r="F401" s="19" t="s">
        <v>1859</v>
      </c>
      <c r="G401" s="19" t="s">
        <v>1860</v>
      </c>
      <c r="H401" s="19">
        <v>5</v>
      </c>
      <c r="I401" s="19">
        <v>4715.05</v>
      </c>
      <c r="J401" s="19">
        <v>23575.25</v>
      </c>
    </row>
    <row r="402" ht="15.25" spans="1:10">
      <c r="A402" s="18" t="s">
        <v>2037</v>
      </c>
      <c r="B402" s="19" t="s">
        <v>1861</v>
      </c>
      <c r="C402" s="19" t="s">
        <v>1589</v>
      </c>
      <c r="D402" s="19" t="s">
        <v>1884</v>
      </c>
      <c r="E402" s="19" t="s">
        <v>1895</v>
      </c>
      <c r="F402" s="19" t="s">
        <v>1868</v>
      </c>
      <c r="G402" s="19" t="s">
        <v>1907</v>
      </c>
      <c r="H402" s="19">
        <v>11</v>
      </c>
      <c r="I402" s="19">
        <v>3314</v>
      </c>
      <c r="J402" s="19">
        <v>36454</v>
      </c>
    </row>
    <row r="403" ht="15.25" spans="1:10">
      <c r="A403" s="18">
        <v>45174</v>
      </c>
      <c r="B403" s="19" t="s">
        <v>1874</v>
      </c>
      <c r="C403" s="19" t="s">
        <v>1875</v>
      </c>
      <c r="D403" s="19" t="s">
        <v>1862</v>
      </c>
      <c r="E403" s="19" t="s">
        <v>1858</v>
      </c>
      <c r="F403" s="19" t="s">
        <v>1852</v>
      </c>
      <c r="G403" s="19" t="s">
        <v>1853</v>
      </c>
      <c r="H403" s="19">
        <v>3</v>
      </c>
      <c r="I403" s="19">
        <v>4146.75</v>
      </c>
      <c r="J403" s="19">
        <v>12440.25</v>
      </c>
    </row>
    <row r="404" ht="15.25" spans="1:10">
      <c r="A404" s="18">
        <v>45054</v>
      </c>
      <c r="B404" s="19" t="s">
        <v>1889</v>
      </c>
      <c r="C404" s="19" t="s">
        <v>1626</v>
      </c>
      <c r="D404" s="19" t="s">
        <v>1857</v>
      </c>
      <c r="E404" s="19" t="s">
        <v>1858</v>
      </c>
      <c r="F404" s="19" t="s">
        <v>1876</v>
      </c>
      <c r="G404" s="19" t="s">
        <v>1930</v>
      </c>
      <c r="H404" s="19">
        <v>4</v>
      </c>
      <c r="I404" s="19">
        <v>4062.52</v>
      </c>
      <c r="J404" s="19">
        <v>16250.08</v>
      </c>
    </row>
    <row r="405" ht="15.25" spans="1:10">
      <c r="A405" s="18">
        <v>45141</v>
      </c>
      <c r="B405" s="19" t="s">
        <v>1889</v>
      </c>
      <c r="C405" s="19" t="s">
        <v>1906</v>
      </c>
      <c r="D405" s="19" t="s">
        <v>1862</v>
      </c>
      <c r="E405" s="19" t="s">
        <v>1858</v>
      </c>
      <c r="F405" s="19" t="s">
        <v>1876</v>
      </c>
      <c r="G405" s="19" t="s">
        <v>1930</v>
      </c>
      <c r="H405" s="19">
        <v>4</v>
      </c>
      <c r="I405" s="19">
        <v>3022.21</v>
      </c>
      <c r="J405" s="19">
        <v>12088.84</v>
      </c>
    </row>
    <row r="406" ht="15.25" spans="1:10">
      <c r="A406" s="18">
        <v>45019</v>
      </c>
      <c r="B406" s="19" t="s">
        <v>1861</v>
      </c>
      <c r="C406" s="19" t="s">
        <v>1903</v>
      </c>
      <c r="D406" s="19" t="s">
        <v>1884</v>
      </c>
      <c r="E406" s="19" t="s">
        <v>1895</v>
      </c>
      <c r="F406" s="19" t="s">
        <v>1868</v>
      </c>
      <c r="G406" s="19" t="s">
        <v>1899</v>
      </c>
      <c r="H406" s="19">
        <v>7</v>
      </c>
      <c r="I406" s="19">
        <v>217.04</v>
      </c>
      <c r="J406" s="19">
        <v>1519.28</v>
      </c>
    </row>
    <row r="407" ht="15.25" spans="1:10">
      <c r="A407" s="18">
        <v>45115</v>
      </c>
      <c r="B407" s="19" t="s">
        <v>1889</v>
      </c>
      <c r="C407" s="19" t="s">
        <v>1906</v>
      </c>
      <c r="D407" s="19" t="s">
        <v>1862</v>
      </c>
      <c r="E407" s="19" t="s">
        <v>1858</v>
      </c>
      <c r="F407" s="19" t="s">
        <v>1868</v>
      </c>
      <c r="G407" s="19" t="s">
        <v>1899</v>
      </c>
      <c r="H407" s="19">
        <v>2</v>
      </c>
      <c r="I407" s="19">
        <v>4883.56</v>
      </c>
      <c r="J407" s="19">
        <v>9767.12</v>
      </c>
    </row>
    <row r="408" ht="15.25" spans="1:10">
      <c r="A408" s="18" t="s">
        <v>2058</v>
      </c>
      <c r="B408" s="19" t="s">
        <v>1902</v>
      </c>
      <c r="C408" s="19" t="s">
        <v>1941</v>
      </c>
      <c r="D408" s="19" t="s">
        <v>1879</v>
      </c>
      <c r="E408" s="19" t="s">
        <v>1851</v>
      </c>
      <c r="F408" s="19" t="s">
        <v>1876</v>
      </c>
      <c r="G408" s="19" t="s">
        <v>1926</v>
      </c>
      <c r="H408" s="19">
        <v>16</v>
      </c>
      <c r="I408" s="19">
        <v>2015.76</v>
      </c>
      <c r="J408" s="19">
        <v>32252.16</v>
      </c>
    </row>
    <row r="409" ht="15.25" spans="1:10">
      <c r="A409" s="18">
        <v>45236</v>
      </c>
      <c r="B409" s="19" t="s">
        <v>1892</v>
      </c>
      <c r="C409" s="19" t="s">
        <v>1602</v>
      </c>
      <c r="D409" s="19" t="s">
        <v>1862</v>
      </c>
      <c r="E409" s="19" t="s">
        <v>1858</v>
      </c>
      <c r="F409" s="19" t="s">
        <v>1868</v>
      </c>
      <c r="G409" s="19" t="s">
        <v>1869</v>
      </c>
      <c r="H409" s="19">
        <v>1</v>
      </c>
      <c r="I409" s="19">
        <v>2777.22</v>
      </c>
      <c r="J409" s="19">
        <v>2777.22</v>
      </c>
    </row>
    <row r="410" ht="15.25" spans="1:10">
      <c r="A410" s="18" t="s">
        <v>2006</v>
      </c>
      <c r="B410" s="19" t="s">
        <v>1855</v>
      </c>
      <c r="C410" s="19" t="s">
        <v>1602</v>
      </c>
      <c r="D410" s="19" t="s">
        <v>1862</v>
      </c>
      <c r="E410" s="19" t="s">
        <v>1858</v>
      </c>
      <c r="F410" s="19" t="s">
        <v>1852</v>
      </c>
      <c r="G410" s="19" t="s">
        <v>1910</v>
      </c>
      <c r="H410" s="19">
        <v>13</v>
      </c>
      <c r="I410" s="19">
        <v>4318.62</v>
      </c>
      <c r="J410" s="19">
        <v>56142.06</v>
      </c>
    </row>
    <row r="411" ht="15.25" spans="1:10">
      <c r="A411" s="18" t="s">
        <v>2059</v>
      </c>
      <c r="B411" s="19" t="s">
        <v>1902</v>
      </c>
      <c r="C411" s="19" t="s">
        <v>1849</v>
      </c>
      <c r="D411" s="19" t="s">
        <v>1850</v>
      </c>
      <c r="E411" s="19" t="s">
        <v>1851</v>
      </c>
      <c r="F411" s="19" t="s">
        <v>1876</v>
      </c>
      <c r="G411" s="19" t="s">
        <v>1926</v>
      </c>
      <c r="H411" s="19">
        <v>15</v>
      </c>
      <c r="I411" s="19">
        <v>3225.2</v>
      </c>
      <c r="J411" s="19">
        <v>48378</v>
      </c>
    </row>
    <row r="412" ht="15.25" spans="1:10">
      <c r="A412" s="18" t="s">
        <v>2048</v>
      </c>
      <c r="B412" s="19" t="s">
        <v>1874</v>
      </c>
      <c r="C412" s="19" t="s">
        <v>1849</v>
      </c>
      <c r="D412" s="19" t="s">
        <v>1850</v>
      </c>
      <c r="E412" s="19" t="s">
        <v>1851</v>
      </c>
      <c r="F412" s="19" t="s">
        <v>1876</v>
      </c>
      <c r="G412" s="19" t="s">
        <v>1926</v>
      </c>
      <c r="H412" s="19">
        <v>9</v>
      </c>
      <c r="I412" s="19">
        <v>631.99</v>
      </c>
      <c r="J412" s="19">
        <v>5687.91</v>
      </c>
    </row>
    <row r="413" ht="15.25" spans="1:10">
      <c r="A413" s="18">
        <v>45051</v>
      </c>
      <c r="B413" s="19" t="s">
        <v>1867</v>
      </c>
      <c r="C413" s="19" t="s">
        <v>1903</v>
      </c>
      <c r="D413" s="19" t="s">
        <v>1884</v>
      </c>
      <c r="E413" s="19" t="s">
        <v>1895</v>
      </c>
      <c r="F413" s="19" t="s">
        <v>1859</v>
      </c>
      <c r="G413" s="19" t="s">
        <v>1922</v>
      </c>
      <c r="H413" s="19">
        <v>16</v>
      </c>
      <c r="I413" s="19">
        <v>981</v>
      </c>
      <c r="J413" s="19">
        <v>15696</v>
      </c>
    </row>
    <row r="414" ht="15.25" spans="1:10">
      <c r="A414" s="18">
        <v>45266</v>
      </c>
      <c r="B414" s="19" t="s">
        <v>1892</v>
      </c>
      <c r="C414" s="19" t="s">
        <v>1610</v>
      </c>
      <c r="D414" s="19" t="s">
        <v>1879</v>
      </c>
      <c r="E414" s="19" t="s">
        <v>1851</v>
      </c>
      <c r="F414" s="19" t="s">
        <v>1876</v>
      </c>
      <c r="G414" s="19" t="s">
        <v>1883</v>
      </c>
      <c r="H414" s="19">
        <v>14</v>
      </c>
      <c r="I414" s="19">
        <v>1049.21</v>
      </c>
      <c r="J414" s="19">
        <v>14688.94</v>
      </c>
    </row>
    <row r="415" ht="15.25" spans="1:10">
      <c r="A415" s="18" t="s">
        <v>2057</v>
      </c>
      <c r="B415" s="19" t="s">
        <v>1902</v>
      </c>
      <c r="C415" s="19" t="s">
        <v>1856</v>
      </c>
      <c r="D415" s="19" t="s">
        <v>1857</v>
      </c>
      <c r="E415" s="19" t="s">
        <v>1858</v>
      </c>
      <c r="F415" s="19" t="s">
        <v>1852</v>
      </c>
      <c r="G415" s="19" t="s">
        <v>1853</v>
      </c>
      <c r="H415" s="19">
        <v>3</v>
      </c>
      <c r="I415" s="19">
        <v>3276.84</v>
      </c>
      <c r="J415" s="19">
        <v>9830.52</v>
      </c>
    </row>
    <row r="416" ht="15.25" spans="1:10">
      <c r="A416" s="18">
        <v>45207</v>
      </c>
      <c r="B416" s="19" t="s">
        <v>1867</v>
      </c>
      <c r="C416" s="19" t="s">
        <v>1593</v>
      </c>
      <c r="D416" s="19" t="s">
        <v>1850</v>
      </c>
      <c r="E416" s="19" t="s">
        <v>1851</v>
      </c>
      <c r="F416" s="19" t="s">
        <v>1876</v>
      </c>
      <c r="G416" s="19" t="s">
        <v>1877</v>
      </c>
      <c r="H416" s="19">
        <v>10</v>
      </c>
      <c r="I416" s="19">
        <v>1693.46</v>
      </c>
      <c r="J416" s="19">
        <v>16934.6</v>
      </c>
    </row>
    <row r="417" ht="15.25" spans="1:10">
      <c r="A417" s="18" t="s">
        <v>1998</v>
      </c>
      <c r="B417" s="19" t="s">
        <v>1892</v>
      </c>
      <c r="C417" s="19" t="s">
        <v>1589</v>
      </c>
      <c r="D417" s="19" t="s">
        <v>1884</v>
      </c>
      <c r="E417" s="19" t="s">
        <v>1895</v>
      </c>
      <c r="F417" s="19" t="s">
        <v>1859</v>
      </c>
      <c r="G417" s="19" t="s">
        <v>1922</v>
      </c>
      <c r="H417" s="19">
        <v>15</v>
      </c>
      <c r="I417" s="19">
        <v>1790.58</v>
      </c>
      <c r="J417" s="19">
        <v>26858.7</v>
      </c>
    </row>
    <row r="418" ht="15.25" spans="1:10">
      <c r="A418" s="18" t="s">
        <v>1986</v>
      </c>
      <c r="B418" s="19" t="s">
        <v>1871</v>
      </c>
      <c r="C418" s="19" t="s">
        <v>1610</v>
      </c>
      <c r="D418" s="19" t="s">
        <v>1879</v>
      </c>
      <c r="E418" s="19" t="s">
        <v>1851</v>
      </c>
      <c r="F418" s="19" t="s">
        <v>1852</v>
      </c>
      <c r="G418" s="19" t="s">
        <v>1910</v>
      </c>
      <c r="H418" s="19">
        <v>16</v>
      </c>
      <c r="I418" s="19">
        <v>1018.83</v>
      </c>
      <c r="J418" s="19">
        <v>16301.28</v>
      </c>
    </row>
    <row r="419" ht="15.25" spans="1:10">
      <c r="A419" s="18">
        <v>45109</v>
      </c>
      <c r="B419" s="19" t="s">
        <v>1874</v>
      </c>
      <c r="C419" s="19" t="s">
        <v>1906</v>
      </c>
      <c r="D419" s="19" t="s">
        <v>1862</v>
      </c>
      <c r="E419" s="19" t="s">
        <v>1858</v>
      </c>
      <c r="F419" s="19" t="s">
        <v>1876</v>
      </c>
      <c r="G419" s="19" t="s">
        <v>1930</v>
      </c>
      <c r="H419" s="19">
        <v>6</v>
      </c>
      <c r="I419" s="19">
        <v>1246.59</v>
      </c>
      <c r="J419" s="19">
        <v>7479.54</v>
      </c>
    </row>
    <row r="420" ht="15.25" spans="1:10">
      <c r="A420" s="18" t="s">
        <v>1915</v>
      </c>
      <c r="B420" s="19" t="s">
        <v>1889</v>
      </c>
      <c r="C420" s="19" t="s">
        <v>1856</v>
      </c>
      <c r="D420" s="19" t="s">
        <v>1857</v>
      </c>
      <c r="E420" s="19" t="s">
        <v>1858</v>
      </c>
      <c r="F420" s="19" t="s">
        <v>1868</v>
      </c>
      <c r="G420" s="19" t="s">
        <v>1907</v>
      </c>
      <c r="H420" s="19">
        <v>14</v>
      </c>
      <c r="I420" s="19">
        <v>859.79</v>
      </c>
      <c r="J420" s="19">
        <v>12037.06</v>
      </c>
    </row>
    <row r="421" ht="15.25" spans="1:10">
      <c r="A421" s="18">
        <v>45180</v>
      </c>
      <c r="B421" s="19" t="s">
        <v>1848</v>
      </c>
      <c r="C421" s="19" t="s">
        <v>1589</v>
      </c>
      <c r="D421" s="19" t="s">
        <v>1884</v>
      </c>
      <c r="E421" s="19" t="s">
        <v>1895</v>
      </c>
      <c r="F421" s="19" t="s">
        <v>1865</v>
      </c>
      <c r="G421" s="19" t="s">
        <v>1886</v>
      </c>
      <c r="H421" s="19">
        <v>12</v>
      </c>
      <c r="I421" s="19">
        <v>149.16</v>
      </c>
      <c r="J421" s="19">
        <v>1789.92</v>
      </c>
    </row>
    <row r="422" ht="15.25" spans="1:10">
      <c r="A422" s="18" t="s">
        <v>2060</v>
      </c>
      <c r="B422" s="19" t="s">
        <v>1871</v>
      </c>
      <c r="C422" s="19" t="s">
        <v>1849</v>
      </c>
      <c r="D422" s="19" t="s">
        <v>1850</v>
      </c>
      <c r="E422" s="19" t="s">
        <v>1851</v>
      </c>
      <c r="F422" s="19" t="s">
        <v>1852</v>
      </c>
      <c r="G422" s="19" t="s">
        <v>1910</v>
      </c>
      <c r="H422" s="19">
        <v>20</v>
      </c>
      <c r="I422" s="19">
        <v>1108.83</v>
      </c>
      <c r="J422" s="19">
        <v>22176.6</v>
      </c>
    </row>
    <row r="423" ht="15.25" spans="1:10">
      <c r="A423" s="18" t="s">
        <v>2008</v>
      </c>
      <c r="B423" s="19" t="s">
        <v>1874</v>
      </c>
      <c r="C423" s="19" t="s">
        <v>1602</v>
      </c>
      <c r="D423" s="19" t="s">
        <v>1862</v>
      </c>
      <c r="E423" s="19" t="s">
        <v>1858</v>
      </c>
      <c r="F423" s="19" t="s">
        <v>1852</v>
      </c>
      <c r="G423" s="19" t="s">
        <v>1950</v>
      </c>
      <c r="H423" s="19">
        <v>8</v>
      </c>
      <c r="I423" s="19">
        <v>3628.65</v>
      </c>
      <c r="J423" s="19">
        <v>29029.2</v>
      </c>
    </row>
    <row r="424" ht="15.25" spans="1:10">
      <c r="A424" s="18" t="s">
        <v>1870</v>
      </c>
      <c r="B424" s="19" t="s">
        <v>1848</v>
      </c>
      <c r="C424" s="19" t="s">
        <v>1610</v>
      </c>
      <c r="D424" s="19" t="s">
        <v>1879</v>
      </c>
      <c r="E424" s="19" t="s">
        <v>1851</v>
      </c>
      <c r="F424" s="19" t="s">
        <v>1865</v>
      </c>
      <c r="G424" s="19" t="s">
        <v>1886</v>
      </c>
      <c r="H424" s="19">
        <v>19</v>
      </c>
      <c r="I424" s="19">
        <v>1317.72</v>
      </c>
      <c r="J424" s="19">
        <v>25036.68</v>
      </c>
    </row>
    <row r="425" ht="15.25" spans="1:10">
      <c r="A425" s="18" t="s">
        <v>2061</v>
      </c>
      <c r="B425" s="19" t="s">
        <v>1871</v>
      </c>
      <c r="C425" s="19" t="s">
        <v>1903</v>
      </c>
      <c r="D425" s="19" t="s">
        <v>1884</v>
      </c>
      <c r="E425" s="19" t="s">
        <v>1895</v>
      </c>
      <c r="F425" s="19" t="s">
        <v>1865</v>
      </c>
      <c r="G425" s="19" t="s">
        <v>1920</v>
      </c>
      <c r="H425" s="19">
        <v>16</v>
      </c>
      <c r="I425" s="19">
        <v>2995.01</v>
      </c>
      <c r="J425" s="19">
        <v>47920.16</v>
      </c>
    </row>
    <row r="426" ht="15.25" spans="1:10">
      <c r="A426" s="18" t="s">
        <v>2039</v>
      </c>
      <c r="B426" s="19" t="s">
        <v>1874</v>
      </c>
      <c r="C426" s="19" t="s">
        <v>1598</v>
      </c>
      <c r="D426" s="19" t="s">
        <v>1850</v>
      </c>
      <c r="E426" s="19" t="s">
        <v>1851</v>
      </c>
      <c r="F426" s="19" t="s">
        <v>1852</v>
      </c>
      <c r="G426" s="19" t="s">
        <v>1950</v>
      </c>
      <c r="H426" s="19">
        <v>11</v>
      </c>
      <c r="I426" s="19">
        <v>2318.96</v>
      </c>
      <c r="J426" s="19">
        <v>25508.56</v>
      </c>
    </row>
    <row r="427" ht="15.25" spans="1:10">
      <c r="A427" s="18" t="s">
        <v>1919</v>
      </c>
      <c r="B427" s="19" t="s">
        <v>1861</v>
      </c>
      <c r="C427" s="19" t="s">
        <v>1875</v>
      </c>
      <c r="D427" s="19" t="s">
        <v>1862</v>
      </c>
      <c r="E427" s="19" t="s">
        <v>1858</v>
      </c>
      <c r="F427" s="19" t="s">
        <v>1868</v>
      </c>
      <c r="G427" s="19" t="s">
        <v>1907</v>
      </c>
      <c r="H427" s="19">
        <v>14</v>
      </c>
      <c r="I427" s="19">
        <v>4935.3</v>
      </c>
      <c r="J427" s="19">
        <v>69094.2</v>
      </c>
    </row>
    <row r="428" ht="15.25" spans="1:10">
      <c r="A428" s="18" t="s">
        <v>2062</v>
      </c>
      <c r="B428" s="19" t="s">
        <v>1892</v>
      </c>
      <c r="C428" s="19" t="s">
        <v>1906</v>
      </c>
      <c r="D428" s="19" t="s">
        <v>1862</v>
      </c>
      <c r="E428" s="19" t="s">
        <v>1858</v>
      </c>
      <c r="F428" s="19" t="s">
        <v>1852</v>
      </c>
      <c r="G428" s="19" t="s">
        <v>1910</v>
      </c>
      <c r="H428" s="19">
        <v>1</v>
      </c>
      <c r="I428" s="19">
        <v>1083.26</v>
      </c>
      <c r="J428" s="19">
        <v>1083.26</v>
      </c>
    </row>
    <row r="429" ht="15.25" spans="1:10">
      <c r="A429" s="18">
        <v>45056</v>
      </c>
      <c r="B429" s="19" t="s">
        <v>1889</v>
      </c>
      <c r="C429" s="19" t="s">
        <v>1864</v>
      </c>
      <c r="D429" s="19" t="s">
        <v>1857</v>
      </c>
      <c r="E429" s="19" t="s">
        <v>1858</v>
      </c>
      <c r="F429" s="19" t="s">
        <v>1852</v>
      </c>
      <c r="G429" s="19" t="s">
        <v>1910</v>
      </c>
      <c r="H429" s="19">
        <v>11</v>
      </c>
      <c r="I429" s="19">
        <v>1673.53</v>
      </c>
      <c r="J429" s="19">
        <v>18408.83</v>
      </c>
    </row>
    <row r="430" ht="15.25" spans="1:10">
      <c r="A430" s="18" t="s">
        <v>2012</v>
      </c>
      <c r="B430" s="19" t="s">
        <v>1867</v>
      </c>
      <c r="C430" s="19" t="s">
        <v>1610</v>
      </c>
      <c r="D430" s="19" t="s">
        <v>1879</v>
      </c>
      <c r="E430" s="19" t="s">
        <v>1851</v>
      </c>
      <c r="F430" s="19" t="s">
        <v>1876</v>
      </c>
      <c r="G430" s="19" t="s">
        <v>1926</v>
      </c>
      <c r="H430" s="19">
        <v>10</v>
      </c>
      <c r="I430" s="19">
        <v>3829.38</v>
      </c>
      <c r="J430" s="19">
        <v>38293.8</v>
      </c>
    </row>
    <row r="431" ht="15.25" spans="1:10">
      <c r="A431" s="18" t="s">
        <v>1933</v>
      </c>
      <c r="B431" s="19" t="s">
        <v>1889</v>
      </c>
      <c r="C431" s="19" t="s">
        <v>1602</v>
      </c>
      <c r="D431" s="19" t="s">
        <v>1862</v>
      </c>
      <c r="E431" s="19" t="s">
        <v>1858</v>
      </c>
      <c r="F431" s="19" t="s">
        <v>1865</v>
      </c>
      <c r="G431" s="19" t="s">
        <v>1866</v>
      </c>
      <c r="H431" s="19">
        <v>6</v>
      </c>
      <c r="I431" s="19">
        <v>470.36</v>
      </c>
      <c r="J431" s="19">
        <v>2822.16</v>
      </c>
    </row>
    <row r="432" ht="15.25" spans="1:10">
      <c r="A432" s="18" t="s">
        <v>1983</v>
      </c>
      <c r="B432" s="19" t="s">
        <v>1902</v>
      </c>
      <c r="C432" s="19" t="s">
        <v>1598</v>
      </c>
      <c r="D432" s="19" t="s">
        <v>1850</v>
      </c>
      <c r="E432" s="19" t="s">
        <v>1851</v>
      </c>
      <c r="F432" s="19" t="s">
        <v>1876</v>
      </c>
      <c r="G432" s="19" t="s">
        <v>1926</v>
      </c>
      <c r="H432" s="19">
        <v>12</v>
      </c>
      <c r="I432" s="19">
        <v>2489.14</v>
      </c>
      <c r="J432" s="19">
        <v>29869.68</v>
      </c>
    </row>
    <row r="433" ht="15.25" spans="1:10">
      <c r="A433" s="18" t="s">
        <v>2009</v>
      </c>
      <c r="B433" s="19" t="s">
        <v>1889</v>
      </c>
      <c r="C433" s="19" t="s">
        <v>1602</v>
      </c>
      <c r="D433" s="19" t="s">
        <v>1862</v>
      </c>
      <c r="E433" s="19" t="s">
        <v>1858</v>
      </c>
      <c r="F433" s="19" t="s">
        <v>1865</v>
      </c>
      <c r="G433" s="19" t="s">
        <v>1920</v>
      </c>
      <c r="H433" s="19">
        <v>14</v>
      </c>
      <c r="I433" s="19">
        <v>1729.16</v>
      </c>
      <c r="J433" s="19">
        <v>24208.24</v>
      </c>
    </row>
    <row r="434" ht="15.25" spans="1:10">
      <c r="A434" s="18" t="s">
        <v>2063</v>
      </c>
      <c r="B434" s="19" t="s">
        <v>1848</v>
      </c>
      <c r="C434" s="19" t="s">
        <v>1626</v>
      </c>
      <c r="D434" s="19" t="s">
        <v>1857</v>
      </c>
      <c r="E434" s="19" t="s">
        <v>1858</v>
      </c>
      <c r="F434" s="19" t="s">
        <v>1859</v>
      </c>
      <c r="G434" s="19" t="s">
        <v>1922</v>
      </c>
      <c r="H434" s="19">
        <v>2</v>
      </c>
      <c r="I434" s="19">
        <v>2789.92</v>
      </c>
      <c r="J434" s="19">
        <v>5579.84</v>
      </c>
    </row>
    <row r="435" ht="15.25" spans="1:10">
      <c r="A435" s="18" t="s">
        <v>1943</v>
      </c>
      <c r="B435" s="19" t="s">
        <v>1878</v>
      </c>
      <c r="C435" s="19" t="s">
        <v>1875</v>
      </c>
      <c r="D435" s="19" t="s">
        <v>1862</v>
      </c>
      <c r="E435" s="19" t="s">
        <v>1858</v>
      </c>
      <c r="F435" s="19" t="s">
        <v>1865</v>
      </c>
      <c r="G435" s="19" t="s">
        <v>1866</v>
      </c>
      <c r="H435" s="19">
        <v>17</v>
      </c>
      <c r="I435" s="19">
        <v>3244.79</v>
      </c>
      <c r="J435" s="19">
        <v>55161.43</v>
      </c>
    </row>
    <row r="436" ht="15.25" spans="1:10">
      <c r="A436" s="18" t="s">
        <v>1988</v>
      </c>
      <c r="B436" s="19" t="s">
        <v>1861</v>
      </c>
      <c r="C436" s="19" t="s">
        <v>1906</v>
      </c>
      <c r="D436" s="19" t="s">
        <v>1862</v>
      </c>
      <c r="E436" s="19" t="s">
        <v>1858</v>
      </c>
      <c r="F436" s="19" t="s">
        <v>1859</v>
      </c>
      <c r="G436" s="19" t="s">
        <v>1860</v>
      </c>
      <c r="H436" s="19">
        <v>20</v>
      </c>
      <c r="I436" s="19">
        <v>2155.17</v>
      </c>
      <c r="J436" s="19">
        <v>43103.4</v>
      </c>
    </row>
    <row r="437" ht="15.25" spans="1:10">
      <c r="A437" s="18">
        <v>45145</v>
      </c>
      <c r="B437" s="19" t="s">
        <v>1892</v>
      </c>
      <c r="C437" s="19" t="s">
        <v>1856</v>
      </c>
      <c r="D437" s="19" t="s">
        <v>1857</v>
      </c>
      <c r="E437" s="19" t="s">
        <v>1858</v>
      </c>
      <c r="F437" s="19" t="s">
        <v>1868</v>
      </c>
      <c r="G437" s="19" t="s">
        <v>1907</v>
      </c>
      <c r="H437" s="19">
        <v>13</v>
      </c>
      <c r="I437" s="19">
        <v>2526.2</v>
      </c>
      <c r="J437" s="19">
        <v>32840.6</v>
      </c>
    </row>
    <row r="438" ht="15.25" spans="1:10">
      <c r="A438" s="18" t="s">
        <v>1921</v>
      </c>
      <c r="B438" s="19" t="s">
        <v>1878</v>
      </c>
      <c r="C438" s="19" t="s">
        <v>1864</v>
      </c>
      <c r="D438" s="19" t="s">
        <v>1857</v>
      </c>
      <c r="E438" s="19" t="s">
        <v>1858</v>
      </c>
      <c r="F438" s="19" t="s">
        <v>1876</v>
      </c>
      <c r="G438" s="19" t="s">
        <v>1883</v>
      </c>
      <c r="H438" s="19">
        <v>11</v>
      </c>
      <c r="I438" s="19">
        <v>1995.21</v>
      </c>
      <c r="J438" s="19">
        <v>21947.31</v>
      </c>
    </row>
    <row r="439" ht="15.25" spans="1:10">
      <c r="A439" s="18">
        <v>45232</v>
      </c>
      <c r="B439" s="19" t="s">
        <v>1892</v>
      </c>
      <c r="C439" s="19" t="s">
        <v>1610</v>
      </c>
      <c r="D439" s="19" t="s">
        <v>1879</v>
      </c>
      <c r="E439" s="19" t="s">
        <v>1851</v>
      </c>
      <c r="F439" s="19" t="s">
        <v>1859</v>
      </c>
      <c r="G439" s="19" t="s">
        <v>1860</v>
      </c>
      <c r="H439" s="19">
        <v>4</v>
      </c>
      <c r="I439" s="19">
        <v>1139.74</v>
      </c>
      <c r="J439" s="19">
        <v>4558.96</v>
      </c>
    </row>
    <row r="440" ht="15.25" spans="1:10">
      <c r="A440" s="18" t="s">
        <v>2020</v>
      </c>
      <c r="B440" s="19" t="s">
        <v>1902</v>
      </c>
      <c r="C440" s="19" t="s">
        <v>1903</v>
      </c>
      <c r="D440" s="19" t="s">
        <v>1884</v>
      </c>
      <c r="E440" s="19" t="s">
        <v>1895</v>
      </c>
      <c r="F440" s="19" t="s">
        <v>1852</v>
      </c>
      <c r="G440" s="19" t="s">
        <v>1934</v>
      </c>
      <c r="H440" s="19">
        <v>4</v>
      </c>
      <c r="I440" s="19">
        <v>3015.93</v>
      </c>
      <c r="J440" s="19">
        <v>12063.72</v>
      </c>
    </row>
    <row r="441" ht="15.25" spans="1:10">
      <c r="A441" s="18">
        <v>45203</v>
      </c>
      <c r="B441" s="19" t="s">
        <v>1892</v>
      </c>
      <c r="C441" s="19" t="s">
        <v>1626</v>
      </c>
      <c r="D441" s="19" t="s">
        <v>1857</v>
      </c>
      <c r="E441" s="19" t="s">
        <v>1858</v>
      </c>
      <c r="F441" s="19" t="s">
        <v>1865</v>
      </c>
      <c r="G441" s="19" t="s">
        <v>1886</v>
      </c>
      <c r="H441" s="19">
        <v>4</v>
      </c>
      <c r="I441" s="19">
        <v>3831.39</v>
      </c>
      <c r="J441" s="19">
        <v>15325.56</v>
      </c>
    </row>
    <row r="442" ht="15.25" spans="1:10">
      <c r="A442" s="18" t="s">
        <v>1972</v>
      </c>
      <c r="B442" s="19" t="s">
        <v>1848</v>
      </c>
      <c r="C442" s="19" t="s">
        <v>1593</v>
      </c>
      <c r="D442" s="19" t="s">
        <v>1850</v>
      </c>
      <c r="E442" s="19" t="s">
        <v>1851</v>
      </c>
      <c r="F442" s="19" t="s">
        <v>1865</v>
      </c>
      <c r="G442" s="19" t="s">
        <v>1866</v>
      </c>
      <c r="H442" s="19">
        <v>7</v>
      </c>
      <c r="I442" s="19">
        <v>105.05</v>
      </c>
      <c r="J442" s="19">
        <v>735.35</v>
      </c>
    </row>
    <row r="443" ht="15.25" spans="1:10">
      <c r="A443" s="18">
        <v>44992</v>
      </c>
      <c r="B443" s="19" t="s">
        <v>1855</v>
      </c>
      <c r="C443" s="19" t="s">
        <v>1610</v>
      </c>
      <c r="D443" s="19" t="s">
        <v>1879</v>
      </c>
      <c r="E443" s="19" t="s">
        <v>1851</v>
      </c>
      <c r="F443" s="19" t="s">
        <v>1859</v>
      </c>
      <c r="G443" s="19" t="s">
        <v>1922</v>
      </c>
      <c r="H443" s="19">
        <v>11</v>
      </c>
      <c r="I443" s="19">
        <v>2416.18</v>
      </c>
      <c r="J443" s="19">
        <v>26577.98</v>
      </c>
    </row>
    <row r="444" ht="15.25" spans="1:10">
      <c r="A444" s="18" t="s">
        <v>2064</v>
      </c>
      <c r="B444" s="19" t="s">
        <v>1874</v>
      </c>
      <c r="C444" s="19" t="s">
        <v>1610</v>
      </c>
      <c r="D444" s="19" t="s">
        <v>1879</v>
      </c>
      <c r="E444" s="19" t="s">
        <v>1851</v>
      </c>
      <c r="F444" s="19" t="s">
        <v>1859</v>
      </c>
      <c r="G444" s="19" t="s">
        <v>1922</v>
      </c>
      <c r="H444" s="19">
        <v>1</v>
      </c>
      <c r="I444" s="19">
        <v>549.14</v>
      </c>
      <c r="J444" s="19">
        <v>549.14</v>
      </c>
    </row>
    <row r="445" ht="15.25" spans="1:10">
      <c r="A445" s="18" t="s">
        <v>1990</v>
      </c>
      <c r="B445" s="19" t="s">
        <v>1874</v>
      </c>
      <c r="C445" s="19" t="s">
        <v>1864</v>
      </c>
      <c r="D445" s="19" t="s">
        <v>1857</v>
      </c>
      <c r="E445" s="19" t="s">
        <v>1858</v>
      </c>
      <c r="F445" s="19" t="s">
        <v>1868</v>
      </c>
      <c r="G445" s="19" t="s">
        <v>1869</v>
      </c>
      <c r="H445" s="19">
        <v>10</v>
      </c>
      <c r="I445" s="19">
        <v>3771.5</v>
      </c>
      <c r="J445" s="19">
        <v>37715</v>
      </c>
    </row>
    <row r="446" ht="15.25" spans="1:10">
      <c r="A446" s="18" t="s">
        <v>2060</v>
      </c>
      <c r="B446" s="19" t="s">
        <v>1855</v>
      </c>
      <c r="C446" s="19" t="s">
        <v>1610</v>
      </c>
      <c r="D446" s="19" t="s">
        <v>1879</v>
      </c>
      <c r="E446" s="19" t="s">
        <v>1851</v>
      </c>
      <c r="F446" s="19" t="s">
        <v>1852</v>
      </c>
      <c r="G446" s="19" t="s">
        <v>1934</v>
      </c>
      <c r="H446" s="19">
        <v>13</v>
      </c>
      <c r="I446" s="19">
        <v>956.49</v>
      </c>
      <c r="J446" s="19">
        <v>12434.37</v>
      </c>
    </row>
    <row r="447" ht="15.25" spans="1:10">
      <c r="A447" s="18" t="s">
        <v>1974</v>
      </c>
      <c r="B447" s="19" t="s">
        <v>1861</v>
      </c>
      <c r="C447" s="19" t="s">
        <v>1602</v>
      </c>
      <c r="D447" s="19" t="s">
        <v>1862</v>
      </c>
      <c r="E447" s="19" t="s">
        <v>1858</v>
      </c>
      <c r="F447" s="19" t="s">
        <v>1852</v>
      </c>
      <c r="G447" s="19" t="s">
        <v>1910</v>
      </c>
      <c r="H447" s="19">
        <v>19</v>
      </c>
      <c r="I447" s="19">
        <v>3575.92</v>
      </c>
      <c r="J447" s="19">
        <v>67942.48</v>
      </c>
    </row>
    <row r="448" ht="15.25" spans="1:10">
      <c r="A448" s="18" t="s">
        <v>1949</v>
      </c>
      <c r="B448" s="19" t="s">
        <v>1892</v>
      </c>
      <c r="C448" s="19" t="s">
        <v>1898</v>
      </c>
      <c r="D448" s="19" t="s">
        <v>1879</v>
      </c>
      <c r="E448" s="19" t="s">
        <v>1851</v>
      </c>
      <c r="F448" s="19" t="s">
        <v>1876</v>
      </c>
      <c r="G448" s="19" t="s">
        <v>1926</v>
      </c>
      <c r="H448" s="19">
        <v>8</v>
      </c>
      <c r="I448" s="19">
        <v>3971.12</v>
      </c>
      <c r="J448" s="19">
        <v>31768.96</v>
      </c>
    </row>
    <row r="449" ht="15.25" spans="1:10">
      <c r="A449" s="18" t="s">
        <v>2048</v>
      </c>
      <c r="B449" s="19" t="s">
        <v>1871</v>
      </c>
      <c r="C449" s="19" t="s">
        <v>1864</v>
      </c>
      <c r="D449" s="19" t="s">
        <v>1857</v>
      </c>
      <c r="E449" s="19" t="s">
        <v>1858</v>
      </c>
      <c r="F449" s="19" t="s">
        <v>1865</v>
      </c>
      <c r="G449" s="19" t="s">
        <v>1890</v>
      </c>
      <c r="H449" s="19">
        <v>14</v>
      </c>
      <c r="I449" s="19">
        <v>3631.62</v>
      </c>
      <c r="J449" s="19">
        <v>50842.68</v>
      </c>
    </row>
    <row r="450" ht="15.25" spans="1:10">
      <c r="A450" s="18">
        <v>44931</v>
      </c>
      <c r="B450" s="19" t="s">
        <v>1889</v>
      </c>
      <c r="C450" s="19" t="s">
        <v>1849</v>
      </c>
      <c r="D450" s="19" t="s">
        <v>1850</v>
      </c>
      <c r="E450" s="19" t="s">
        <v>1851</v>
      </c>
      <c r="F450" s="19" t="s">
        <v>1852</v>
      </c>
      <c r="G450" s="19" t="s">
        <v>1910</v>
      </c>
      <c r="H450" s="19">
        <v>18</v>
      </c>
      <c r="I450" s="19">
        <v>2589.64</v>
      </c>
      <c r="J450" s="19">
        <v>46613.52</v>
      </c>
    </row>
    <row r="451" ht="15.25" spans="1:10">
      <c r="A451" s="18">
        <v>45025</v>
      </c>
      <c r="B451" s="19" t="s">
        <v>1871</v>
      </c>
      <c r="C451" s="19" t="s">
        <v>1898</v>
      </c>
      <c r="D451" s="19" t="s">
        <v>1879</v>
      </c>
      <c r="E451" s="19" t="s">
        <v>1851</v>
      </c>
      <c r="F451" s="19" t="s">
        <v>1868</v>
      </c>
      <c r="G451" s="19" t="s">
        <v>1907</v>
      </c>
      <c r="H451" s="19">
        <v>2</v>
      </c>
      <c r="I451" s="19">
        <v>2713.34</v>
      </c>
      <c r="J451" s="19">
        <v>5426.68</v>
      </c>
    </row>
    <row r="452" ht="15.25" spans="1:10">
      <c r="A452" s="18" t="s">
        <v>1960</v>
      </c>
      <c r="B452" s="19" t="s">
        <v>1874</v>
      </c>
      <c r="C452" s="19" t="s">
        <v>1602</v>
      </c>
      <c r="D452" s="19" t="s">
        <v>1862</v>
      </c>
      <c r="E452" s="19" t="s">
        <v>1858</v>
      </c>
      <c r="F452" s="19" t="s">
        <v>1859</v>
      </c>
      <c r="G452" s="19" t="s">
        <v>1860</v>
      </c>
      <c r="H452" s="19">
        <v>17</v>
      </c>
      <c r="I452" s="19">
        <v>1294.56</v>
      </c>
      <c r="J452" s="19">
        <v>22007.52</v>
      </c>
    </row>
    <row r="453" ht="15.25" spans="1:10">
      <c r="A453" s="18" t="s">
        <v>1952</v>
      </c>
      <c r="B453" s="19" t="s">
        <v>1871</v>
      </c>
      <c r="C453" s="19" t="s">
        <v>1589</v>
      </c>
      <c r="D453" s="19" t="s">
        <v>1884</v>
      </c>
      <c r="E453" s="19" t="s">
        <v>1895</v>
      </c>
      <c r="F453" s="19" t="s">
        <v>1859</v>
      </c>
      <c r="G453" s="19" t="s">
        <v>1860</v>
      </c>
      <c r="H453" s="19">
        <v>8</v>
      </c>
      <c r="I453" s="19">
        <v>1171.53</v>
      </c>
      <c r="J453" s="19">
        <v>9372.24</v>
      </c>
    </row>
    <row r="454" ht="15.25" spans="1:10">
      <c r="A454" s="18" t="s">
        <v>2005</v>
      </c>
      <c r="B454" s="19" t="s">
        <v>1889</v>
      </c>
      <c r="C454" s="19" t="s">
        <v>1894</v>
      </c>
      <c r="D454" s="19" t="s">
        <v>1884</v>
      </c>
      <c r="E454" s="19" t="s">
        <v>1895</v>
      </c>
      <c r="F454" s="19" t="s">
        <v>1865</v>
      </c>
      <c r="G454" s="19" t="s">
        <v>1920</v>
      </c>
      <c r="H454" s="19">
        <v>15</v>
      </c>
      <c r="I454" s="19">
        <v>4060.63</v>
      </c>
      <c r="J454" s="19">
        <v>60909.45</v>
      </c>
    </row>
    <row r="455" ht="15.25" spans="1:10">
      <c r="A455" s="18">
        <v>45264</v>
      </c>
      <c r="B455" s="19" t="s">
        <v>1874</v>
      </c>
      <c r="C455" s="19" t="s">
        <v>1849</v>
      </c>
      <c r="D455" s="19" t="s">
        <v>1850</v>
      </c>
      <c r="E455" s="19" t="s">
        <v>1851</v>
      </c>
      <c r="F455" s="19" t="s">
        <v>1868</v>
      </c>
      <c r="G455" s="19" t="s">
        <v>1869</v>
      </c>
      <c r="H455" s="19">
        <v>4</v>
      </c>
      <c r="I455" s="19">
        <v>442.23</v>
      </c>
      <c r="J455" s="19">
        <v>1768.92</v>
      </c>
    </row>
    <row r="456" ht="15.25" spans="1:10">
      <c r="A456" s="18" t="s">
        <v>1919</v>
      </c>
      <c r="B456" s="19" t="s">
        <v>1889</v>
      </c>
      <c r="C456" s="19" t="s">
        <v>1849</v>
      </c>
      <c r="D456" s="19" t="s">
        <v>1850</v>
      </c>
      <c r="E456" s="19" t="s">
        <v>1851</v>
      </c>
      <c r="F456" s="19" t="s">
        <v>1859</v>
      </c>
      <c r="G456" s="19" t="s">
        <v>1872</v>
      </c>
      <c r="H456" s="19">
        <v>5</v>
      </c>
      <c r="I456" s="19">
        <v>3725.36</v>
      </c>
      <c r="J456" s="19">
        <v>18626.8</v>
      </c>
    </row>
    <row r="457" ht="15.25" spans="1:10">
      <c r="A457" s="18" t="s">
        <v>2061</v>
      </c>
      <c r="B457" s="19" t="s">
        <v>1889</v>
      </c>
      <c r="C457" s="19" t="s">
        <v>1610</v>
      </c>
      <c r="D457" s="19" t="s">
        <v>1879</v>
      </c>
      <c r="E457" s="19" t="s">
        <v>1851</v>
      </c>
      <c r="F457" s="19" t="s">
        <v>1865</v>
      </c>
      <c r="G457" s="19" t="s">
        <v>1866</v>
      </c>
      <c r="H457" s="19">
        <v>20</v>
      </c>
      <c r="I457" s="19">
        <v>2974.89</v>
      </c>
      <c r="J457" s="19">
        <v>59497.8</v>
      </c>
    </row>
    <row r="458" ht="15.25" spans="1:10">
      <c r="A458" s="18">
        <v>44992</v>
      </c>
      <c r="B458" s="19" t="s">
        <v>1889</v>
      </c>
      <c r="C458" s="19" t="s">
        <v>1864</v>
      </c>
      <c r="D458" s="19" t="s">
        <v>1857</v>
      </c>
      <c r="E458" s="19" t="s">
        <v>1858</v>
      </c>
      <c r="F458" s="19" t="s">
        <v>1865</v>
      </c>
      <c r="G458" s="19" t="s">
        <v>1920</v>
      </c>
      <c r="H458" s="19">
        <v>1</v>
      </c>
      <c r="I458" s="19">
        <v>1717.6</v>
      </c>
      <c r="J458" s="19">
        <v>1717.6</v>
      </c>
    </row>
    <row r="459" ht="15.25" spans="1:10">
      <c r="A459" s="18">
        <v>45080</v>
      </c>
      <c r="B459" s="19" t="s">
        <v>1878</v>
      </c>
      <c r="C459" s="19" t="s">
        <v>1589</v>
      </c>
      <c r="D459" s="19" t="s">
        <v>1884</v>
      </c>
      <c r="E459" s="19" t="s">
        <v>1895</v>
      </c>
      <c r="F459" s="19" t="s">
        <v>1852</v>
      </c>
      <c r="G459" s="19" t="s">
        <v>1950</v>
      </c>
      <c r="H459" s="19">
        <v>5</v>
      </c>
      <c r="I459" s="19">
        <v>2849.56</v>
      </c>
      <c r="J459" s="19">
        <v>14247.8</v>
      </c>
    </row>
    <row r="460" ht="15.25" spans="1:10">
      <c r="A460" s="18" t="s">
        <v>1933</v>
      </c>
      <c r="B460" s="19" t="s">
        <v>1848</v>
      </c>
      <c r="C460" s="19" t="s">
        <v>1898</v>
      </c>
      <c r="D460" s="19" t="s">
        <v>1879</v>
      </c>
      <c r="E460" s="19" t="s">
        <v>1851</v>
      </c>
      <c r="F460" s="19" t="s">
        <v>1859</v>
      </c>
      <c r="G460" s="19" t="s">
        <v>1860</v>
      </c>
      <c r="H460" s="19">
        <v>18</v>
      </c>
      <c r="I460" s="19">
        <v>4150.77</v>
      </c>
      <c r="J460" s="19">
        <v>74713.86</v>
      </c>
    </row>
    <row r="461" ht="15.25" spans="1:10">
      <c r="A461" s="18" t="s">
        <v>2065</v>
      </c>
      <c r="B461" s="19" t="s">
        <v>1878</v>
      </c>
      <c r="C461" s="19" t="s">
        <v>1598</v>
      </c>
      <c r="D461" s="19" t="s">
        <v>1850</v>
      </c>
      <c r="E461" s="19" t="s">
        <v>1851</v>
      </c>
      <c r="F461" s="19" t="s">
        <v>1859</v>
      </c>
      <c r="G461" s="19" t="s">
        <v>1947</v>
      </c>
      <c r="H461" s="19">
        <v>18</v>
      </c>
      <c r="I461" s="19">
        <v>2490.14</v>
      </c>
      <c r="J461" s="19">
        <v>44822.52</v>
      </c>
    </row>
    <row r="462" ht="15.25" spans="1:10">
      <c r="A462" s="18" t="s">
        <v>1987</v>
      </c>
      <c r="B462" s="19" t="s">
        <v>1878</v>
      </c>
      <c r="C462" s="19" t="s">
        <v>1903</v>
      </c>
      <c r="D462" s="19" t="s">
        <v>1884</v>
      </c>
      <c r="E462" s="19" t="s">
        <v>1895</v>
      </c>
      <c r="F462" s="19" t="s">
        <v>1859</v>
      </c>
      <c r="G462" s="19" t="s">
        <v>1860</v>
      </c>
      <c r="H462" s="19">
        <v>17</v>
      </c>
      <c r="I462" s="19">
        <v>500.54</v>
      </c>
      <c r="J462" s="19">
        <v>8509.18</v>
      </c>
    </row>
    <row r="463" ht="15.25" spans="1:10">
      <c r="A463" s="18" t="s">
        <v>2066</v>
      </c>
      <c r="B463" s="19" t="s">
        <v>1902</v>
      </c>
      <c r="C463" s="19" t="s">
        <v>1894</v>
      </c>
      <c r="D463" s="19" t="s">
        <v>1884</v>
      </c>
      <c r="E463" s="19" t="s">
        <v>1895</v>
      </c>
      <c r="F463" s="19" t="s">
        <v>1876</v>
      </c>
      <c r="G463" s="19" t="s">
        <v>1926</v>
      </c>
      <c r="H463" s="19">
        <v>19</v>
      </c>
      <c r="I463" s="19">
        <v>1067.94</v>
      </c>
      <c r="J463" s="19">
        <v>20290.86</v>
      </c>
    </row>
    <row r="464" ht="15.25" spans="1:10">
      <c r="A464" s="18" t="s">
        <v>1971</v>
      </c>
      <c r="B464" s="19" t="s">
        <v>1902</v>
      </c>
      <c r="C464" s="19" t="s">
        <v>1906</v>
      </c>
      <c r="D464" s="19" t="s">
        <v>1862</v>
      </c>
      <c r="E464" s="19" t="s">
        <v>1858</v>
      </c>
      <c r="F464" s="19" t="s">
        <v>1868</v>
      </c>
      <c r="G464" s="19" t="s">
        <v>1907</v>
      </c>
      <c r="H464" s="19">
        <v>7</v>
      </c>
      <c r="I464" s="19">
        <v>2264.87</v>
      </c>
      <c r="J464" s="19">
        <v>15854.09</v>
      </c>
    </row>
    <row r="465" ht="15.25" spans="1:10">
      <c r="A465" s="18">
        <v>45262</v>
      </c>
      <c r="B465" s="19" t="s">
        <v>1855</v>
      </c>
      <c r="C465" s="19" t="s">
        <v>1903</v>
      </c>
      <c r="D465" s="19" t="s">
        <v>1884</v>
      </c>
      <c r="E465" s="19" t="s">
        <v>1895</v>
      </c>
      <c r="F465" s="19" t="s">
        <v>1868</v>
      </c>
      <c r="G465" s="19" t="s">
        <v>1899</v>
      </c>
      <c r="H465" s="19">
        <v>18</v>
      </c>
      <c r="I465" s="19">
        <v>2584.07</v>
      </c>
      <c r="J465" s="19">
        <v>46513.26</v>
      </c>
    </row>
    <row r="466" ht="15.25" spans="1:10">
      <c r="A466" s="18" t="s">
        <v>2066</v>
      </c>
      <c r="B466" s="19" t="s">
        <v>1902</v>
      </c>
      <c r="C466" s="19" t="s">
        <v>1602</v>
      </c>
      <c r="D466" s="19" t="s">
        <v>1862</v>
      </c>
      <c r="E466" s="19" t="s">
        <v>1858</v>
      </c>
      <c r="F466" s="19" t="s">
        <v>1859</v>
      </c>
      <c r="G466" s="19" t="s">
        <v>1922</v>
      </c>
      <c r="H466" s="19">
        <v>13</v>
      </c>
      <c r="I466" s="19">
        <v>4621.13</v>
      </c>
      <c r="J466" s="19">
        <v>60074.69</v>
      </c>
    </row>
    <row r="467" ht="15.25" spans="1:10">
      <c r="A467" s="18">
        <v>45269</v>
      </c>
      <c r="B467" s="19" t="s">
        <v>1855</v>
      </c>
      <c r="C467" s="19" t="s">
        <v>1903</v>
      </c>
      <c r="D467" s="19" t="s">
        <v>1884</v>
      </c>
      <c r="E467" s="19" t="s">
        <v>1895</v>
      </c>
      <c r="F467" s="19" t="s">
        <v>1868</v>
      </c>
      <c r="G467" s="19" t="s">
        <v>1869</v>
      </c>
      <c r="H467" s="19">
        <v>16</v>
      </c>
      <c r="I467" s="19">
        <v>4826.2</v>
      </c>
      <c r="J467" s="19">
        <v>77219.2</v>
      </c>
    </row>
    <row r="468" ht="15.25" spans="1:10">
      <c r="A468" s="18">
        <v>45052</v>
      </c>
      <c r="B468" s="19" t="s">
        <v>1871</v>
      </c>
      <c r="C468" s="19" t="s">
        <v>1875</v>
      </c>
      <c r="D468" s="19" t="s">
        <v>1862</v>
      </c>
      <c r="E468" s="19" t="s">
        <v>1858</v>
      </c>
      <c r="F468" s="19" t="s">
        <v>1876</v>
      </c>
      <c r="G468" s="19" t="s">
        <v>1883</v>
      </c>
      <c r="H468" s="19">
        <v>5</v>
      </c>
      <c r="I468" s="19">
        <v>4773.56</v>
      </c>
      <c r="J468" s="19">
        <v>23867.8</v>
      </c>
    </row>
    <row r="469" ht="15.25" spans="1:10">
      <c r="A469" s="18" t="s">
        <v>1969</v>
      </c>
      <c r="B469" s="19" t="s">
        <v>1902</v>
      </c>
      <c r="C469" s="19" t="s">
        <v>1864</v>
      </c>
      <c r="D469" s="19" t="s">
        <v>1857</v>
      </c>
      <c r="E469" s="19" t="s">
        <v>1858</v>
      </c>
      <c r="F469" s="19" t="s">
        <v>1868</v>
      </c>
      <c r="G469" s="19" t="s">
        <v>1907</v>
      </c>
      <c r="H469" s="19">
        <v>9</v>
      </c>
      <c r="I469" s="19">
        <v>3220.44</v>
      </c>
      <c r="J469" s="19">
        <v>28983.96</v>
      </c>
    </row>
    <row r="470" ht="15.25" spans="1:10">
      <c r="A470" s="18" t="s">
        <v>2034</v>
      </c>
      <c r="B470" s="19" t="s">
        <v>1902</v>
      </c>
      <c r="C470" s="19" t="s">
        <v>1626</v>
      </c>
      <c r="D470" s="19" t="s">
        <v>1857</v>
      </c>
      <c r="E470" s="19" t="s">
        <v>1858</v>
      </c>
      <c r="F470" s="19" t="s">
        <v>1868</v>
      </c>
      <c r="G470" s="19" t="s">
        <v>1899</v>
      </c>
      <c r="H470" s="19">
        <v>15</v>
      </c>
      <c r="I470" s="19">
        <v>4945.79</v>
      </c>
      <c r="J470" s="19">
        <v>74186.85</v>
      </c>
    </row>
    <row r="471" ht="15.25" spans="1:10">
      <c r="A471" s="18">
        <v>45140</v>
      </c>
      <c r="B471" s="19" t="s">
        <v>1867</v>
      </c>
      <c r="C471" s="19" t="s">
        <v>1856</v>
      </c>
      <c r="D471" s="19" t="s">
        <v>1857</v>
      </c>
      <c r="E471" s="19" t="s">
        <v>1858</v>
      </c>
      <c r="F471" s="19" t="s">
        <v>1865</v>
      </c>
      <c r="G471" s="19" t="s">
        <v>1920</v>
      </c>
      <c r="H471" s="19">
        <v>14</v>
      </c>
      <c r="I471" s="19">
        <v>2355.56</v>
      </c>
      <c r="J471" s="19">
        <v>32977.84</v>
      </c>
    </row>
    <row r="472" ht="15.25" spans="1:10">
      <c r="A472" s="18" t="s">
        <v>1911</v>
      </c>
      <c r="B472" s="19" t="s">
        <v>1855</v>
      </c>
      <c r="C472" s="19" t="s">
        <v>1610</v>
      </c>
      <c r="D472" s="19" t="s">
        <v>1879</v>
      </c>
      <c r="E472" s="19" t="s">
        <v>1851</v>
      </c>
      <c r="F472" s="19" t="s">
        <v>1865</v>
      </c>
      <c r="G472" s="19" t="s">
        <v>1886</v>
      </c>
      <c r="H472" s="19">
        <v>4</v>
      </c>
      <c r="I472" s="19">
        <v>4412.41</v>
      </c>
      <c r="J472" s="19">
        <v>17649.64</v>
      </c>
    </row>
    <row r="473" ht="15.25" spans="1:10">
      <c r="A473" s="18" t="s">
        <v>1985</v>
      </c>
      <c r="B473" s="19" t="s">
        <v>1889</v>
      </c>
      <c r="C473" s="19" t="s">
        <v>1894</v>
      </c>
      <c r="D473" s="19" t="s">
        <v>1884</v>
      </c>
      <c r="E473" s="19" t="s">
        <v>1895</v>
      </c>
      <c r="F473" s="19" t="s">
        <v>1859</v>
      </c>
      <c r="G473" s="19" t="s">
        <v>1922</v>
      </c>
      <c r="H473" s="19">
        <v>5</v>
      </c>
      <c r="I473" s="19">
        <v>355.6</v>
      </c>
      <c r="J473" s="19">
        <v>1778</v>
      </c>
    </row>
    <row r="474" ht="15.25" spans="1:10">
      <c r="A474" s="18" t="s">
        <v>2025</v>
      </c>
      <c r="B474" s="19" t="s">
        <v>1867</v>
      </c>
      <c r="C474" s="19" t="s">
        <v>1849</v>
      </c>
      <c r="D474" s="19" t="s">
        <v>1850</v>
      </c>
      <c r="E474" s="19" t="s">
        <v>1851</v>
      </c>
      <c r="F474" s="19" t="s">
        <v>1876</v>
      </c>
      <c r="G474" s="19" t="s">
        <v>1877</v>
      </c>
      <c r="H474" s="19">
        <v>12</v>
      </c>
      <c r="I474" s="19">
        <v>4405.19</v>
      </c>
      <c r="J474" s="19">
        <v>52862.28</v>
      </c>
    </row>
    <row r="475" ht="15.25" spans="1:10">
      <c r="A475" s="18" t="s">
        <v>2067</v>
      </c>
      <c r="B475" s="19" t="s">
        <v>1855</v>
      </c>
      <c r="C475" s="19" t="s">
        <v>1589</v>
      </c>
      <c r="D475" s="19" t="s">
        <v>1884</v>
      </c>
      <c r="E475" s="19" t="s">
        <v>1895</v>
      </c>
      <c r="F475" s="19" t="s">
        <v>1868</v>
      </c>
      <c r="G475" s="19" t="s">
        <v>1899</v>
      </c>
      <c r="H475" s="19">
        <v>9</v>
      </c>
      <c r="I475" s="19">
        <v>877.89</v>
      </c>
      <c r="J475" s="19">
        <v>7901.01</v>
      </c>
    </row>
    <row r="476" ht="15.25" spans="1:10">
      <c r="A476" s="18" t="s">
        <v>2068</v>
      </c>
      <c r="B476" s="19" t="s">
        <v>1855</v>
      </c>
      <c r="C476" s="19" t="s">
        <v>1941</v>
      </c>
      <c r="D476" s="19" t="s">
        <v>1879</v>
      </c>
      <c r="E476" s="19" t="s">
        <v>1851</v>
      </c>
      <c r="F476" s="19" t="s">
        <v>1865</v>
      </c>
      <c r="G476" s="19" t="s">
        <v>1886</v>
      </c>
      <c r="H476" s="19">
        <v>1</v>
      </c>
      <c r="I476" s="19">
        <v>2970.66</v>
      </c>
      <c r="J476" s="19">
        <v>2970.66</v>
      </c>
    </row>
    <row r="477" ht="15.25" spans="1:10">
      <c r="A477" s="18" t="s">
        <v>2061</v>
      </c>
      <c r="B477" s="19" t="s">
        <v>1878</v>
      </c>
      <c r="C477" s="19" t="s">
        <v>1849</v>
      </c>
      <c r="D477" s="19" t="s">
        <v>1850</v>
      </c>
      <c r="E477" s="19" t="s">
        <v>1851</v>
      </c>
      <c r="F477" s="19" t="s">
        <v>1852</v>
      </c>
      <c r="G477" s="19" t="s">
        <v>1934</v>
      </c>
      <c r="H477" s="19">
        <v>15</v>
      </c>
      <c r="I477" s="19">
        <v>3579.98</v>
      </c>
      <c r="J477" s="19">
        <v>53699.7</v>
      </c>
    </row>
    <row r="478" ht="15.25" spans="1:10">
      <c r="A478" s="18">
        <v>45056</v>
      </c>
      <c r="B478" s="19" t="s">
        <v>1902</v>
      </c>
      <c r="C478" s="19" t="s">
        <v>1941</v>
      </c>
      <c r="D478" s="19" t="s">
        <v>1879</v>
      </c>
      <c r="E478" s="19" t="s">
        <v>1851</v>
      </c>
      <c r="F478" s="19" t="s">
        <v>1876</v>
      </c>
      <c r="G478" s="19" t="s">
        <v>1883</v>
      </c>
      <c r="H478" s="19">
        <v>9</v>
      </c>
      <c r="I478" s="19">
        <v>1605.02</v>
      </c>
      <c r="J478" s="19">
        <v>14445.18</v>
      </c>
    </row>
    <row r="479" ht="15.25" spans="1:10">
      <c r="A479" s="18" t="s">
        <v>1984</v>
      </c>
      <c r="B479" s="19" t="s">
        <v>1848</v>
      </c>
      <c r="C479" s="19" t="s">
        <v>1626</v>
      </c>
      <c r="D479" s="19" t="s">
        <v>1857</v>
      </c>
      <c r="E479" s="19" t="s">
        <v>1858</v>
      </c>
      <c r="F479" s="19" t="s">
        <v>1876</v>
      </c>
      <c r="G479" s="19" t="s">
        <v>1877</v>
      </c>
      <c r="H479" s="19">
        <v>12</v>
      </c>
      <c r="I479" s="19">
        <v>1982.64</v>
      </c>
      <c r="J479" s="19">
        <v>23791.68</v>
      </c>
    </row>
    <row r="480" ht="15.25" spans="1:10">
      <c r="A480" s="18" t="s">
        <v>2069</v>
      </c>
      <c r="B480" s="19" t="s">
        <v>1892</v>
      </c>
      <c r="C480" s="19" t="s">
        <v>1941</v>
      </c>
      <c r="D480" s="19" t="s">
        <v>1879</v>
      </c>
      <c r="E480" s="19" t="s">
        <v>1851</v>
      </c>
      <c r="F480" s="19" t="s">
        <v>1859</v>
      </c>
      <c r="G480" s="19" t="s">
        <v>1947</v>
      </c>
      <c r="H480" s="19">
        <v>20</v>
      </c>
      <c r="I480" s="19">
        <v>3195.53</v>
      </c>
      <c r="J480" s="19">
        <v>63910.6</v>
      </c>
    </row>
    <row r="481" ht="15.25" spans="1:10">
      <c r="A481" s="18">
        <v>45176</v>
      </c>
      <c r="B481" s="19" t="s">
        <v>1902</v>
      </c>
      <c r="C481" s="19" t="s">
        <v>1610</v>
      </c>
      <c r="D481" s="19" t="s">
        <v>1879</v>
      </c>
      <c r="E481" s="19" t="s">
        <v>1851</v>
      </c>
      <c r="F481" s="19" t="s">
        <v>1868</v>
      </c>
      <c r="G481" s="19" t="s">
        <v>1907</v>
      </c>
      <c r="H481" s="19">
        <v>20</v>
      </c>
      <c r="I481" s="19">
        <v>1580.59</v>
      </c>
      <c r="J481" s="19">
        <v>31611.8</v>
      </c>
    </row>
    <row r="482" ht="15.25" spans="1:10">
      <c r="A482" s="18" t="s">
        <v>1994</v>
      </c>
      <c r="B482" s="19" t="s">
        <v>1867</v>
      </c>
      <c r="C482" s="19" t="s">
        <v>1906</v>
      </c>
      <c r="D482" s="19" t="s">
        <v>1862</v>
      </c>
      <c r="E482" s="19" t="s">
        <v>1858</v>
      </c>
      <c r="F482" s="19" t="s">
        <v>1876</v>
      </c>
      <c r="G482" s="19" t="s">
        <v>1926</v>
      </c>
      <c r="H482" s="19">
        <v>6</v>
      </c>
      <c r="I482" s="19">
        <v>809.57</v>
      </c>
      <c r="J482" s="19">
        <v>4857.42</v>
      </c>
    </row>
    <row r="483" ht="15.25" spans="1:10">
      <c r="A483" s="18" t="s">
        <v>2070</v>
      </c>
      <c r="B483" s="19" t="s">
        <v>1878</v>
      </c>
      <c r="C483" s="19" t="s">
        <v>1598</v>
      </c>
      <c r="D483" s="19" t="s">
        <v>1850</v>
      </c>
      <c r="E483" s="19" t="s">
        <v>1851</v>
      </c>
      <c r="F483" s="19" t="s">
        <v>1859</v>
      </c>
      <c r="G483" s="19" t="s">
        <v>1872</v>
      </c>
      <c r="H483" s="19">
        <v>6</v>
      </c>
      <c r="I483" s="19">
        <v>1221.52</v>
      </c>
      <c r="J483" s="19">
        <v>7329.12</v>
      </c>
    </row>
    <row r="484" ht="15.25" spans="1:10">
      <c r="A484" s="18">
        <v>45054</v>
      </c>
      <c r="B484" s="19" t="s">
        <v>1861</v>
      </c>
      <c r="C484" s="19" t="s">
        <v>1875</v>
      </c>
      <c r="D484" s="19" t="s">
        <v>1862</v>
      </c>
      <c r="E484" s="19" t="s">
        <v>1858</v>
      </c>
      <c r="F484" s="19" t="s">
        <v>1852</v>
      </c>
      <c r="G484" s="19" t="s">
        <v>1853</v>
      </c>
      <c r="H484" s="19">
        <v>4</v>
      </c>
      <c r="I484" s="19">
        <v>2457.5</v>
      </c>
      <c r="J484" s="19">
        <v>9830</v>
      </c>
    </row>
    <row r="485" ht="15.25" spans="1:10">
      <c r="A485" s="18">
        <v>45115</v>
      </c>
      <c r="B485" s="19" t="s">
        <v>1861</v>
      </c>
      <c r="C485" s="19" t="s">
        <v>1906</v>
      </c>
      <c r="D485" s="19" t="s">
        <v>1862</v>
      </c>
      <c r="E485" s="19" t="s">
        <v>1858</v>
      </c>
      <c r="F485" s="19" t="s">
        <v>1859</v>
      </c>
      <c r="G485" s="19" t="s">
        <v>1947</v>
      </c>
      <c r="H485" s="19">
        <v>12</v>
      </c>
      <c r="I485" s="19">
        <v>2820.88</v>
      </c>
      <c r="J485" s="19">
        <v>33850.56</v>
      </c>
    </row>
    <row r="486" ht="15.25" spans="1:10">
      <c r="A486" s="18">
        <v>45143</v>
      </c>
      <c r="B486" s="19" t="s">
        <v>1892</v>
      </c>
      <c r="C486" s="19" t="s">
        <v>1593</v>
      </c>
      <c r="D486" s="19" t="s">
        <v>1850</v>
      </c>
      <c r="E486" s="19" t="s">
        <v>1851</v>
      </c>
      <c r="F486" s="19" t="s">
        <v>1859</v>
      </c>
      <c r="G486" s="19" t="s">
        <v>1860</v>
      </c>
      <c r="H486" s="19">
        <v>10</v>
      </c>
      <c r="I486" s="19">
        <v>1512.64</v>
      </c>
      <c r="J486" s="19">
        <v>15126.4</v>
      </c>
    </row>
    <row r="487" ht="15.25" spans="1:10">
      <c r="A487" s="18" t="s">
        <v>2069</v>
      </c>
      <c r="B487" s="19" t="s">
        <v>1874</v>
      </c>
      <c r="C487" s="19" t="s">
        <v>1894</v>
      </c>
      <c r="D487" s="19" t="s">
        <v>1884</v>
      </c>
      <c r="E487" s="19" t="s">
        <v>1895</v>
      </c>
      <c r="F487" s="19" t="s">
        <v>1868</v>
      </c>
      <c r="G487" s="19" t="s">
        <v>1869</v>
      </c>
      <c r="H487" s="19">
        <v>5</v>
      </c>
      <c r="I487" s="19">
        <v>3199.14</v>
      </c>
      <c r="J487" s="19">
        <v>15995.7</v>
      </c>
    </row>
    <row r="488" ht="15.25" spans="1:10">
      <c r="A488" s="18" t="s">
        <v>2071</v>
      </c>
      <c r="B488" s="19" t="s">
        <v>1848</v>
      </c>
      <c r="C488" s="19" t="s">
        <v>1610</v>
      </c>
      <c r="D488" s="19" t="s">
        <v>1879</v>
      </c>
      <c r="E488" s="19" t="s">
        <v>1851</v>
      </c>
      <c r="F488" s="19" t="s">
        <v>1876</v>
      </c>
      <c r="G488" s="19" t="s">
        <v>1930</v>
      </c>
      <c r="H488" s="19">
        <v>11</v>
      </c>
      <c r="I488" s="19">
        <v>4315</v>
      </c>
      <c r="J488" s="19">
        <v>47465</v>
      </c>
    </row>
    <row r="489" ht="15.25" spans="1:10">
      <c r="A489" s="18">
        <v>45057</v>
      </c>
      <c r="B489" s="19" t="s">
        <v>1855</v>
      </c>
      <c r="C489" s="19" t="s">
        <v>1849</v>
      </c>
      <c r="D489" s="19" t="s">
        <v>1850</v>
      </c>
      <c r="E489" s="19" t="s">
        <v>1851</v>
      </c>
      <c r="F489" s="19" t="s">
        <v>1868</v>
      </c>
      <c r="G489" s="19" t="s">
        <v>1907</v>
      </c>
      <c r="H489" s="19">
        <v>9</v>
      </c>
      <c r="I489" s="19">
        <v>2118.17</v>
      </c>
      <c r="J489" s="19">
        <v>19063.53</v>
      </c>
    </row>
    <row r="490" ht="15.25" spans="1:10">
      <c r="A490" s="18">
        <v>45017</v>
      </c>
      <c r="B490" s="19" t="s">
        <v>1902</v>
      </c>
      <c r="C490" s="19" t="s">
        <v>1894</v>
      </c>
      <c r="D490" s="19" t="s">
        <v>1884</v>
      </c>
      <c r="E490" s="19" t="s">
        <v>1895</v>
      </c>
      <c r="F490" s="19" t="s">
        <v>1859</v>
      </c>
      <c r="G490" s="19" t="s">
        <v>1872</v>
      </c>
      <c r="H490" s="19">
        <v>18</v>
      </c>
      <c r="I490" s="19">
        <v>1042.99</v>
      </c>
      <c r="J490" s="19">
        <v>18773.82</v>
      </c>
    </row>
    <row r="491" ht="15.25" spans="1:10">
      <c r="A491" s="18" t="s">
        <v>1881</v>
      </c>
      <c r="B491" s="19" t="s">
        <v>1855</v>
      </c>
      <c r="C491" s="19" t="s">
        <v>1903</v>
      </c>
      <c r="D491" s="19" t="s">
        <v>1884</v>
      </c>
      <c r="E491" s="19" t="s">
        <v>1895</v>
      </c>
      <c r="F491" s="19" t="s">
        <v>1876</v>
      </c>
      <c r="G491" s="19" t="s">
        <v>1930</v>
      </c>
      <c r="H491" s="19">
        <v>6</v>
      </c>
      <c r="I491" s="19">
        <v>4707.38</v>
      </c>
      <c r="J491" s="19">
        <v>28244.28</v>
      </c>
    </row>
    <row r="492" ht="15.25" spans="1:10">
      <c r="A492" s="18" t="s">
        <v>2072</v>
      </c>
      <c r="B492" s="19" t="s">
        <v>1871</v>
      </c>
      <c r="C492" s="19" t="s">
        <v>1849</v>
      </c>
      <c r="D492" s="19" t="s">
        <v>1850</v>
      </c>
      <c r="E492" s="19" t="s">
        <v>1851</v>
      </c>
      <c r="F492" s="19" t="s">
        <v>1868</v>
      </c>
      <c r="G492" s="19" t="s">
        <v>1907</v>
      </c>
      <c r="H492" s="19">
        <v>8</v>
      </c>
      <c r="I492" s="19">
        <v>360.87</v>
      </c>
      <c r="J492" s="19">
        <v>2886.96</v>
      </c>
    </row>
    <row r="493" ht="15.25" spans="1:10">
      <c r="A493" s="18">
        <v>45140</v>
      </c>
      <c r="B493" s="19" t="s">
        <v>1867</v>
      </c>
      <c r="C493" s="19" t="s">
        <v>1626</v>
      </c>
      <c r="D493" s="19" t="s">
        <v>1857</v>
      </c>
      <c r="E493" s="19" t="s">
        <v>1858</v>
      </c>
      <c r="F493" s="19" t="s">
        <v>1859</v>
      </c>
      <c r="G493" s="19" t="s">
        <v>1922</v>
      </c>
      <c r="H493" s="19">
        <v>12</v>
      </c>
      <c r="I493" s="19">
        <v>2519.65</v>
      </c>
      <c r="J493" s="19">
        <v>30235.8</v>
      </c>
    </row>
    <row r="494" ht="15.25" spans="1:10">
      <c r="A494" s="18">
        <v>45176</v>
      </c>
      <c r="B494" s="19" t="s">
        <v>1861</v>
      </c>
      <c r="C494" s="19" t="s">
        <v>1894</v>
      </c>
      <c r="D494" s="19" t="s">
        <v>1884</v>
      </c>
      <c r="E494" s="19" t="s">
        <v>1895</v>
      </c>
      <c r="F494" s="19" t="s">
        <v>1859</v>
      </c>
      <c r="G494" s="19" t="s">
        <v>1872</v>
      </c>
      <c r="H494" s="19">
        <v>7</v>
      </c>
      <c r="I494" s="19">
        <v>2861.67</v>
      </c>
      <c r="J494" s="19">
        <v>20031.69</v>
      </c>
    </row>
    <row r="495" ht="15.25" spans="1:10">
      <c r="A495" s="18" t="s">
        <v>1999</v>
      </c>
      <c r="B495" s="19" t="s">
        <v>1861</v>
      </c>
      <c r="C495" s="19" t="s">
        <v>1589</v>
      </c>
      <c r="D495" s="19" t="s">
        <v>1884</v>
      </c>
      <c r="E495" s="19" t="s">
        <v>1895</v>
      </c>
      <c r="F495" s="19" t="s">
        <v>1868</v>
      </c>
      <c r="G495" s="19" t="s">
        <v>1899</v>
      </c>
      <c r="H495" s="19">
        <v>11</v>
      </c>
      <c r="I495" s="19">
        <v>4896.83</v>
      </c>
      <c r="J495" s="19">
        <v>53865.13</v>
      </c>
    </row>
    <row r="496" ht="15.25" spans="1:10">
      <c r="A496" s="18" t="s">
        <v>2066</v>
      </c>
      <c r="B496" s="19" t="s">
        <v>1855</v>
      </c>
      <c r="C496" s="19" t="s">
        <v>1610</v>
      </c>
      <c r="D496" s="19" t="s">
        <v>1879</v>
      </c>
      <c r="E496" s="19" t="s">
        <v>1851</v>
      </c>
      <c r="F496" s="19" t="s">
        <v>1876</v>
      </c>
      <c r="G496" s="19" t="s">
        <v>1883</v>
      </c>
      <c r="H496" s="19">
        <v>15</v>
      </c>
      <c r="I496" s="19">
        <v>4180.61</v>
      </c>
      <c r="J496" s="19">
        <v>62709.15</v>
      </c>
    </row>
    <row r="497" ht="15.25" spans="1:10">
      <c r="A497" s="18">
        <v>45242</v>
      </c>
      <c r="B497" s="19" t="s">
        <v>1874</v>
      </c>
      <c r="C497" s="19" t="s">
        <v>1903</v>
      </c>
      <c r="D497" s="19" t="s">
        <v>1884</v>
      </c>
      <c r="E497" s="19" t="s">
        <v>1895</v>
      </c>
      <c r="F497" s="19" t="s">
        <v>1868</v>
      </c>
      <c r="G497" s="19" t="s">
        <v>1869</v>
      </c>
      <c r="H497" s="19">
        <v>2</v>
      </c>
      <c r="I497" s="19">
        <v>3747.71</v>
      </c>
      <c r="J497" s="19">
        <v>7495.42</v>
      </c>
    </row>
    <row r="498" ht="15.25" spans="1:10">
      <c r="A498" s="18" t="s">
        <v>2073</v>
      </c>
      <c r="B498" s="19" t="s">
        <v>1892</v>
      </c>
      <c r="C498" s="19" t="s">
        <v>1903</v>
      </c>
      <c r="D498" s="19" t="s">
        <v>1884</v>
      </c>
      <c r="E498" s="19" t="s">
        <v>1895</v>
      </c>
      <c r="F498" s="19" t="s">
        <v>1859</v>
      </c>
      <c r="G498" s="19" t="s">
        <v>1922</v>
      </c>
      <c r="H498" s="19">
        <v>3</v>
      </c>
      <c r="I498" s="19">
        <v>2792.38</v>
      </c>
      <c r="J498" s="19">
        <v>8377.14</v>
      </c>
    </row>
    <row r="499" ht="15.25" spans="1:10">
      <c r="A499" s="18">
        <v>45028</v>
      </c>
      <c r="B499" s="19" t="s">
        <v>1871</v>
      </c>
      <c r="C499" s="19" t="s">
        <v>1593</v>
      </c>
      <c r="D499" s="19" t="s">
        <v>1850</v>
      </c>
      <c r="E499" s="19" t="s">
        <v>1851</v>
      </c>
      <c r="F499" s="19" t="s">
        <v>1876</v>
      </c>
      <c r="G499" s="19" t="s">
        <v>1883</v>
      </c>
      <c r="H499" s="19">
        <v>17</v>
      </c>
      <c r="I499" s="19">
        <v>683.31</v>
      </c>
      <c r="J499" s="19">
        <v>11616.27</v>
      </c>
    </row>
    <row r="500" ht="15.25" spans="1:10">
      <c r="A500" s="18">
        <v>44986</v>
      </c>
      <c r="B500" s="19" t="s">
        <v>1874</v>
      </c>
      <c r="C500" s="19" t="s">
        <v>1589</v>
      </c>
      <c r="D500" s="19" t="s">
        <v>1884</v>
      </c>
      <c r="E500" s="19" t="s">
        <v>1895</v>
      </c>
      <c r="F500" s="19" t="s">
        <v>1865</v>
      </c>
      <c r="G500" s="19" t="s">
        <v>1890</v>
      </c>
      <c r="H500" s="19">
        <v>20</v>
      </c>
      <c r="I500" s="19">
        <v>3463.6</v>
      </c>
      <c r="J500" s="19">
        <v>69272</v>
      </c>
    </row>
    <row r="501" ht="15.25" spans="1:10">
      <c r="A501" s="18" t="s">
        <v>2074</v>
      </c>
      <c r="B501" s="19" t="s">
        <v>1867</v>
      </c>
      <c r="C501" s="19" t="s">
        <v>1875</v>
      </c>
      <c r="D501" s="19" t="s">
        <v>1862</v>
      </c>
      <c r="E501" s="19" t="s">
        <v>1858</v>
      </c>
      <c r="F501" s="19" t="s">
        <v>1859</v>
      </c>
      <c r="G501" s="19" t="s">
        <v>1947</v>
      </c>
      <c r="H501" s="19">
        <v>9</v>
      </c>
      <c r="I501" s="19">
        <v>1609.98</v>
      </c>
      <c r="J501" s="19">
        <v>14489.82</v>
      </c>
    </row>
    <row r="502" ht="15.25" spans="1:10">
      <c r="A502" s="18">
        <v>45084</v>
      </c>
      <c r="B502" s="19" t="s">
        <v>1855</v>
      </c>
      <c r="C502" s="19" t="s">
        <v>1593</v>
      </c>
      <c r="D502" s="19" t="s">
        <v>1850</v>
      </c>
      <c r="E502" s="19" t="s">
        <v>1851</v>
      </c>
      <c r="F502" s="19" t="s">
        <v>1859</v>
      </c>
      <c r="G502" s="19" t="s">
        <v>1922</v>
      </c>
      <c r="H502" s="19">
        <v>4</v>
      </c>
      <c r="I502" s="19">
        <v>2836.34</v>
      </c>
      <c r="J502" s="19">
        <v>11345.36</v>
      </c>
    </row>
    <row r="503" ht="15.25" spans="1:10">
      <c r="A503" s="18" t="s">
        <v>1974</v>
      </c>
      <c r="B503" s="19" t="s">
        <v>1889</v>
      </c>
      <c r="C503" s="19" t="s">
        <v>1610</v>
      </c>
      <c r="D503" s="19" t="s">
        <v>1879</v>
      </c>
      <c r="E503" s="19" t="s">
        <v>1851</v>
      </c>
      <c r="F503" s="19" t="s">
        <v>1876</v>
      </c>
      <c r="G503" s="19" t="s">
        <v>1926</v>
      </c>
      <c r="H503" s="19">
        <v>18</v>
      </c>
      <c r="I503" s="19">
        <v>3238.98</v>
      </c>
      <c r="J503" s="19">
        <v>58301.64</v>
      </c>
    </row>
    <row r="504" ht="15.25" spans="1:10">
      <c r="A504" s="18" t="s">
        <v>2022</v>
      </c>
      <c r="B504" s="19" t="s">
        <v>1867</v>
      </c>
      <c r="C504" s="19" t="s">
        <v>1875</v>
      </c>
      <c r="D504" s="19" t="s">
        <v>1862</v>
      </c>
      <c r="E504" s="19" t="s">
        <v>1858</v>
      </c>
      <c r="F504" s="19" t="s">
        <v>1852</v>
      </c>
      <c r="G504" s="19" t="s">
        <v>1934</v>
      </c>
      <c r="H504" s="19">
        <v>20</v>
      </c>
      <c r="I504" s="19">
        <v>2791.25</v>
      </c>
      <c r="J504" s="19">
        <v>55825</v>
      </c>
    </row>
    <row r="505" ht="15.25" spans="1:10">
      <c r="A505" s="18" t="s">
        <v>2063</v>
      </c>
      <c r="B505" s="19" t="s">
        <v>1855</v>
      </c>
      <c r="C505" s="19" t="s">
        <v>1898</v>
      </c>
      <c r="D505" s="19" t="s">
        <v>1879</v>
      </c>
      <c r="E505" s="19" t="s">
        <v>1851</v>
      </c>
      <c r="F505" s="19" t="s">
        <v>1865</v>
      </c>
      <c r="G505" s="19" t="s">
        <v>1866</v>
      </c>
      <c r="H505" s="19">
        <v>1</v>
      </c>
      <c r="I505" s="19">
        <v>3165.04</v>
      </c>
      <c r="J505" s="19">
        <v>3165.04</v>
      </c>
    </row>
    <row r="506" ht="15.25" spans="1:10">
      <c r="A506" s="18">
        <v>45117</v>
      </c>
      <c r="B506" s="19" t="s">
        <v>1855</v>
      </c>
      <c r="C506" s="19" t="s">
        <v>1849</v>
      </c>
      <c r="D506" s="19" t="s">
        <v>1850</v>
      </c>
      <c r="E506" s="19" t="s">
        <v>1851</v>
      </c>
      <c r="F506" s="19" t="s">
        <v>1859</v>
      </c>
      <c r="G506" s="19" t="s">
        <v>1860</v>
      </c>
      <c r="H506" s="19">
        <v>14</v>
      </c>
      <c r="I506" s="19">
        <v>3414.59</v>
      </c>
      <c r="J506" s="19">
        <v>47804.26</v>
      </c>
    </row>
    <row r="507" ht="15.25" spans="1:10">
      <c r="A507" s="18">
        <v>45240</v>
      </c>
      <c r="B507" s="19" t="s">
        <v>1878</v>
      </c>
      <c r="C507" s="19" t="s">
        <v>1598</v>
      </c>
      <c r="D507" s="19" t="s">
        <v>1850</v>
      </c>
      <c r="E507" s="19" t="s">
        <v>1851</v>
      </c>
      <c r="F507" s="19" t="s">
        <v>1876</v>
      </c>
      <c r="G507" s="19" t="s">
        <v>1926</v>
      </c>
      <c r="H507" s="19">
        <v>4</v>
      </c>
      <c r="I507" s="19">
        <v>3896.69</v>
      </c>
      <c r="J507" s="19">
        <v>15586.76</v>
      </c>
    </row>
    <row r="508" ht="15.25" spans="1:10">
      <c r="A508" s="18" t="s">
        <v>2075</v>
      </c>
      <c r="B508" s="19" t="s">
        <v>1867</v>
      </c>
      <c r="C508" s="19" t="s">
        <v>1864</v>
      </c>
      <c r="D508" s="19" t="s">
        <v>1857</v>
      </c>
      <c r="E508" s="19" t="s">
        <v>1858</v>
      </c>
      <c r="F508" s="19" t="s">
        <v>1865</v>
      </c>
      <c r="G508" s="19" t="s">
        <v>1920</v>
      </c>
      <c r="H508" s="19">
        <v>5</v>
      </c>
      <c r="I508" s="19">
        <v>2024.36</v>
      </c>
      <c r="J508" s="19">
        <v>10121.8</v>
      </c>
    </row>
    <row r="509" ht="15.25" spans="1:10">
      <c r="A509" s="18">
        <v>45207</v>
      </c>
      <c r="B509" s="19" t="s">
        <v>1871</v>
      </c>
      <c r="C509" s="19" t="s">
        <v>1894</v>
      </c>
      <c r="D509" s="19" t="s">
        <v>1884</v>
      </c>
      <c r="E509" s="19" t="s">
        <v>1895</v>
      </c>
      <c r="F509" s="19" t="s">
        <v>1865</v>
      </c>
      <c r="G509" s="19" t="s">
        <v>1866</v>
      </c>
      <c r="H509" s="19">
        <v>17</v>
      </c>
      <c r="I509" s="19">
        <v>102.62</v>
      </c>
      <c r="J509" s="19">
        <v>1744.54</v>
      </c>
    </row>
    <row r="510" ht="15.25" spans="1:10">
      <c r="A510" s="18" t="s">
        <v>2076</v>
      </c>
      <c r="B510" s="19" t="s">
        <v>1867</v>
      </c>
      <c r="C510" s="19" t="s">
        <v>1898</v>
      </c>
      <c r="D510" s="19" t="s">
        <v>1879</v>
      </c>
      <c r="E510" s="19" t="s">
        <v>1851</v>
      </c>
      <c r="F510" s="19" t="s">
        <v>1859</v>
      </c>
      <c r="G510" s="19" t="s">
        <v>1860</v>
      </c>
      <c r="H510" s="19">
        <v>7</v>
      </c>
      <c r="I510" s="19">
        <v>146.52</v>
      </c>
      <c r="J510" s="19">
        <v>1025.64</v>
      </c>
    </row>
    <row r="511" ht="15.25" spans="1:10">
      <c r="A511" s="18" t="s">
        <v>2077</v>
      </c>
      <c r="B511" s="19" t="s">
        <v>1871</v>
      </c>
      <c r="C511" s="19" t="s">
        <v>1894</v>
      </c>
      <c r="D511" s="19" t="s">
        <v>1884</v>
      </c>
      <c r="E511" s="19" t="s">
        <v>1895</v>
      </c>
      <c r="F511" s="19" t="s">
        <v>1852</v>
      </c>
      <c r="G511" s="19" t="s">
        <v>1934</v>
      </c>
      <c r="H511" s="19">
        <v>2</v>
      </c>
      <c r="I511" s="19">
        <v>4248</v>
      </c>
      <c r="J511" s="19">
        <v>8496</v>
      </c>
    </row>
    <row r="512" ht="15.25" spans="1:10">
      <c r="A512" s="18">
        <v>44929</v>
      </c>
      <c r="B512" s="19" t="s">
        <v>1902</v>
      </c>
      <c r="C512" s="19" t="s">
        <v>1849</v>
      </c>
      <c r="D512" s="19" t="s">
        <v>1850</v>
      </c>
      <c r="E512" s="19" t="s">
        <v>1851</v>
      </c>
      <c r="F512" s="19" t="s">
        <v>1865</v>
      </c>
      <c r="G512" s="19" t="s">
        <v>1866</v>
      </c>
      <c r="H512" s="19">
        <v>8</v>
      </c>
      <c r="I512" s="19">
        <v>3075.58</v>
      </c>
      <c r="J512" s="19">
        <v>24604.64</v>
      </c>
    </row>
    <row r="513" ht="15.25" spans="1:10">
      <c r="A513" s="18" t="s">
        <v>2076</v>
      </c>
      <c r="B513" s="19" t="s">
        <v>1874</v>
      </c>
      <c r="C513" s="19" t="s">
        <v>1589</v>
      </c>
      <c r="D513" s="19" t="s">
        <v>1884</v>
      </c>
      <c r="E513" s="19" t="s">
        <v>1895</v>
      </c>
      <c r="F513" s="19" t="s">
        <v>1868</v>
      </c>
      <c r="G513" s="19" t="s">
        <v>1869</v>
      </c>
      <c r="H513" s="19">
        <v>13</v>
      </c>
      <c r="I513" s="19">
        <v>1246.14</v>
      </c>
      <c r="J513" s="19">
        <v>16199.82</v>
      </c>
    </row>
    <row r="514" ht="15.25" spans="1:10">
      <c r="A514" s="18">
        <v>44966</v>
      </c>
      <c r="B514" s="19" t="s">
        <v>1892</v>
      </c>
      <c r="C514" s="19" t="s">
        <v>1856</v>
      </c>
      <c r="D514" s="19" t="s">
        <v>1857</v>
      </c>
      <c r="E514" s="19" t="s">
        <v>1858</v>
      </c>
      <c r="F514" s="19" t="s">
        <v>1876</v>
      </c>
      <c r="G514" s="19" t="s">
        <v>1877</v>
      </c>
      <c r="H514" s="19">
        <v>16</v>
      </c>
      <c r="I514" s="19">
        <v>3942.95</v>
      </c>
      <c r="J514" s="19">
        <v>63087.2</v>
      </c>
    </row>
    <row r="515" ht="15.25" spans="1:10">
      <c r="A515" s="18">
        <v>45233</v>
      </c>
      <c r="B515" s="19" t="s">
        <v>1902</v>
      </c>
      <c r="C515" s="19" t="s">
        <v>1589</v>
      </c>
      <c r="D515" s="19" t="s">
        <v>1884</v>
      </c>
      <c r="E515" s="19" t="s">
        <v>1895</v>
      </c>
      <c r="F515" s="19" t="s">
        <v>1859</v>
      </c>
      <c r="G515" s="19" t="s">
        <v>1947</v>
      </c>
      <c r="H515" s="19">
        <v>1</v>
      </c>
      <c r="I515" s="19">
        <v>936.56</v>
      </c>
      <c r="J515" s="19">
        <v>936.56</v>
      </c>
    </row>
    <row r="516" ht="15.25" spans="1:10">
      <c r="A516" s="18" t="s">
        <v>1997</v>
      </c>
      <c r="B516" s="19" t="s">
        <v>1878</v>
      </c>
      <c r="C516" s="19" t="s">
        <v>1894</v>
      </c>
      <c r="D516" s="19" t="s">
        <v>1884</v>
      </c>
      <c r="E516" s="19" t="s">
        <v>1895</v>
      </c>
      <c r="F516" s="19" t="s">
        <v>1865</v>
      </c>
      <c r="G516" s="19" t="s">
        <v>1866</v>
      </c>
      <c r="H516" s="19">
        <v>7</v>
      </c>
      <c r="I516" s="19">
        <v>1628.68</v>
      </c>
      <c r="J516" s="19">
        <v>11400.76</v>
      </c>
    </row>
    <row r="517" ht="15.25" spans="1:10">
      <c r="A517" s="18" t="s">
        <v>2078</v>
      </c>
      <c r="B517" s="19" t="s">
        <v>1889</v>
      </c>
      <c r="C517" s="19" t="s">
        <v>1898</v>
      </c>
      <c r="D517" s="19" t="s">
        <v>1879</v>
      </c>
      <c r="E517" s="19" t="s">
        <v>1851</v>
      </c>
      <c r="F517" s="19" t="s">
        <v>1859</v>
      </c>
      <c r="G517" s="19" t="s">
        <v>1872</v>
      </c>
      <c r="H517" s="19">
        <v>10</v>
      </c>
      <c r="I517" s="19">
        <v>3400.28</v>
      </c>
      <c r="J517" s="19">
        <v>34002.8</v>
      </c>
    </row>
    <row r="518" ht="15.25" spans="1:10">
      <c r="A518" s="18">
        <v>45081</v>
      </c>
      <c r="B518" s="19" t="s">
        <v>1871</v>
      </c>
      <c r="C518" s="19" t="s">
        <v>1906</v>
      </c>
      <c r="D518" s="19" t="s">
        <v>1862</v>
      </c>
      <c r="E518" s="19" t="s">
        <v>1858</v>
      </c>
      <c r="F518" s="19" t="s">
        <v>1859</v>
      </c>
      <c r="G518" s="19" t="s">
        <v>1922</v>
      </c>
      <c r="H518" s="19">
        <v>18</v>
      </c>
      <c r="I518" s="19">
        <v>2722.99</v>
      </c>
      <c r="J518" s="19">
        <v>49013.82</v>
      </c>
    </row>
    <row r="519" ht="15.25" spans="1:10">
      <c r="A519" s="18">
        <v>45082</v>
      </c>
      <c r="B519" s="19" t="s">
        <v>1861</v>
      </c>
      <c r="C519" s="19" t="s">
        <v>1602</v>
      </c>
      <c r="D519" s="19" t="s">
        <v>1862</v>
      </c>
      <c r="E519" s="19" t="s">
        <v>1858</v>
      </c>
      <c r="F519" s="19" t="s">
        <v>1868</v>
      </c>
      <c r="G519" s="19" t="s">
        <v>1907</v>
      </c>
      <c r="H519" s="19">
        <v>8</v>
      </c>
      <c r="I519" s="19">
        <v>4612.53</v>
      </c>
      <c r="J519" s="19">
        <v>36900.24</v>
      </c>
    </row>
    <row r="520" ht="15.25" spans="1:10">
      <c r="A520" s="18" t="s">
        <v>2079</v>
      </c>
      <c r="B520" s="19" t="s">
        <v>1871</v>
      </c>
      <c r="C520" s="19" t="s">
        <v>1849</v>
      </c>
      <c r="D520" s="19" t="s">
        <v>1850</v>
      </c>
      <c r="E520" s="19" t="s">
        <v>1851</v>
      </c>
      <c r="F520" s="19" t="s">
        <v>1868</v>
      </c>
      <c r="G520" s="19" t="s">
        <v>1869</v>
      </c>
      <c r="H520" s="19">
        <v>13</v>
      </c>
      <c r="I520" s="19">
        <v>2040.1</v>
      </c>
      <c r="J520" s="19">
        <v>26521.3</v>
      </c>
    </row>
    <row r="521" ht="15.25" spans="1:10">
      <c r="A521" s="18" t="s">
        <v>1885</v>
      </c>
      <c r="B521" s="19" t="s">
        <v>1874</v>
      </c>
      <c r="C521" s="19" t="s">
        <v>1906</v>
      </c>
      <c r="D521" s="19" t="s">
        <v>1862</v>
      </c>
      <c r="E521" s="19" t="s">
        <v>1858</v>
      </c>
      <c r="F521" s="19" t="s">
        <v>1876</v>
      </c>
      <c r="G521" s="19" t="s">
        <v>1930</v>
      </c>
      <c r="H521" s="19">
        <v>17</v>
      </c>
      <c r="I521" s="19">
        <v>1122.98</v>
      </c>
      <c r="J521" s="19">
        <v>19090.66</v>
      </c>
    </row>
    <row r="522" ht="15.25" spans="1:10">
      <c r="A522" s="18">
        <v>45027</v>
      </c>
      <c r="B522" s="19" t="s">
        <v>1867</v>
      </c>
      <c r="C522" s="19" t="s">
        <v>1849</v>
      </c>
      <c r="D522" s="19" t="s">
        <v>1850</v>
      </c>
      <c r="E522" s="19" t="s">
        <v>1851</v>
      </c>
      <c r="F522" s="19" t="s">
        <v>1868</v>
      </c>
      <c r="G522" s="19" t="s">
        <v>1869</v>
      </c>
      <c r="H522" s="19">
        <v>16</v>
      </c>
      <c r="I522" s="19">
        <v>2458.6</v>
      </c>
      <c r="J522" s="19">
        <v>39337.6</v>
      </c>
    </row>
    <row r="523" ht="15.25" spans="1:10">
      <c r="A523" s="18" t="s">
        <v>2080</v>
      </c>
      <c r="B523" s="19" t="s">
        <v>1902</v>
      </c>
      <c r="C523" s="19" t="s">
        <v>1849</v>
      </c>
      <c r="D523" s="19" t="s">
        <v>1850</v>
      </c>
      <c r="E523" s="19" t="s">
        <v>1851</v>
      </c>
      <c r="F523" s="19" t="s">
        <v>1852</v>
      </c>
      <c r="G523" s="19" t="s">
        <v>1910</v>
      </c>
      <c r="H523" s="19">
        <v>9</v>
      </c>
      <c r="I523" s="19">
        <v>3195.18</v>
      </c>
      <c r="J523" s="19">
        <v>28756.62</v>
      </c>
    </row>
    <row r="524" ht="15.25" spans="1:10">
      <c r="A524" s="18">
        <v>45026</v>
      </c>
      <c r="B524" s="19" t="s">
        <v>1867</v>
      </c>
      <c r="C524" s="19" t="s">
        <v>1856</v>
      </c>
      <c r="D524" s="19" t="s">
        <v>1857</v>
      </c>
      <c r="E524" s="19" t="s">
        <v>1858</v>
      </c>
      <c r="F524" s="19" t="s">
        <v>1852</v>
      </c>
      <c r="G524" s="19" t="s">
        <v>1934</v>
      </c>
      <c r="H524" s="19">
        <v>3</v>
      </c>
      <c r="I524" s="19">
        <v>384.96</v>
      </c>
      <c r="J524" s="19">
        <v>1154.88</v>
      </c>
    </row>
    <row r="525" ht="15.25" spans="1:10">
      <c r="A525" s="18" t="s">
        <v>2081</v>
      </c>
      <c r="B525" s="19" t="s">
        <v>1878</v>
      </c>
      <c r="C525" s="19" t="s">
        <v>1849</v>
      </c>
      <c r="D525" s="19" t="s">
        <v>1850</v>
      </c>
      <c r="E525" s="19" t="s">
        <v>1851</v>
      </c>
      <c r="F525" s="19" t="s">
        <v>1868</v>
      </c>
      <c r="G525" s="19" t="s">
        <v>1899</v>
      </c>
      <c r="H525" s="19">
        <v>4</v>
      </c>
      <c r="I525" s="19">
        <v>3714.59</v>
      </c>
      <c r="J525" s="19">
        <v>14858.36</v>
      </c>
    </row>
    <row r="526" ht="15.25" spans="1:10">
      <c r="A526" s="18" t="s">
        <v>2082</v>
      </c>
      <c r="B526" s="19" t="s">
        <v>1902</v>
      </c>
      <c r="C526" s="19" t="s">
        <v>1602</v>
      </c>
      <c r="D526" s="19" t="s">
        <v>1862</v>
      </c>
      <c r="E526" s="19" t="s">
        <v>1858</v>
      </c>
      <c r="F526" s="19" t="s">
        <v>1868</v>
      </c>
      <c r="G526" s="19" t="s">
        <v>1917</v>
      </c>
      <c r="H526" s="19">
        <v>9</v>
      </c>
      <c r="I526" s="19">
        <v>1765.86</v>
      </c>
      <c r="J526" s="19">
        <v>15892.74</v>
      </c>
    </row>
    <row r="527" ht="15.25" spans="1:10">
      <c r="A527" s="18">
        <v>45114</v>
      </c>
      <c r="B527" s="19" t="s">
        <v>1848</v>
      </c>
      <c r="C527" s="19" t="s">
        <v>1610</v>
      </c>
      <c r="D527" s="19" t="s">
        <v>1879</v>
      </c>
      <c r="E527" s="19" t="s">
        <v>1851</v>
      </c>
      <c r="F527" s="19" t="s">
        <v>1868</v>
      </c>
      <c r="G527" s="19" t="s">
        <v>1899</v>
      </c>
      <c r="H527" s="19">
        <v>8</v>
      </c>
      <c r="I527" s="19">
        <v>3069.86</v>
      </c>
      <c r="J527" s="19">
        <v>24558.88</v>
      </c>
    </row>
    <row r="528" ht="15.25" spans="1:10">
      <c r="A528" s="18" t="s">
        <v>2009</v>
      </c>
      <c r="B528" s="19" t="s">
        <v>1889</v>
      </c>
      <c r="C528" s="19" t="s">
        <v>1903</v>
      </c>
      <c r="D528" s="19" t="s">
        <v>1884</v>
      </c>
      <c r="E528" s="19" t="s">
        <v>1895</v>
      </c>
      <c r="F528" s="19" t="s">
        <v>1852</v>
      </c>
      <c r="G528" s="19" t="s">
        <v>1853</v>
      </c>
      <c r="H528" s="19">
        <v>9</v>
      </c>
      <c r="I528" s="19">
        <v>1720.47</v>
      </c>
      <c r="J528" s="19">
        <v>15484.23</v>
      </c>
    </row>
    <row r="529" ht="15.25" spans="1:10">
      <c r="A529" s="18" t="s">
        <v>2083</v>
      </c>
      <c r="B529" s="19" t="s">
        <v>1871</v>
      </c>
      <c r="C529" s="19" t="s">
        <v>1875</v>
      </c>
      <c r="D529" s="19" t="s">
        <v>1862</v>
      </c>
      <c r="E529" s="19" t="s">
        <v>1858</v>
      </c>
      <c r="F529" s="19" t="s">
        <v>1865</v>
      </c>
      <c r="G529" s="19" t="s">
        <v>1886</v>
      </c>
      <c r="H529" s="19">
        <v>7</v>
      </c>
      <c r="I529" s="19">
        <v>3416.74</v>
      </c>
      <c r="J529" s="19">
        <v>23917.18</v>
      </c>
    </row>
    <row r="530" ht="15.25" spans="1:10">
      <c r="A530" s="18" t="s">
        <v>2040</v>
      </c>
      <c r="B530" s="19" t="s">
        <v>1889</v>
      </c>
      <c r="C530" s="19" t="s">
        <v>1875</v>
      </c>
      <c r="D530" s="19" t="s">
        <v>1862</v>
      </c>
      <c r="E530" s="19" t="s">
        <v>1858</v>
      </c>
      <c r="F530" s="19" t="s">
        <v>1852</v>
      </c>
      <c r="G530" s="19" t="s">
        <v>1853</v>
      </c>
      <c r="H530" s="19">
        <v>7</v>
      </c>
      <c r="I530" s="19">
        <v>4741.12</v>
      </c>
      <c r="J530" s="19">
        <v>33187.84</v>
      </c>
    </row>
    <row r="531" ht="15.25" spans="1:10">
      <c r="A531" s="18">
        <v>45205</v>
      </c>
      <c r="B531" s="19" t="s">
        <v>1892</v>
      </c>
      <c r="C531" s="19" t="s">
        <v>1903</v>
      </c>
      <c r="D531" s="19" t="s">
        <v>1884</v>
      </c>
      <c r="E531" s="19" t="s">
        <v>1895</v>
      </c>
      <c r="F531" s="19" t="s">
        <v>1865</v>
      </c>
      <c r="G531" s="19" t="s">
        <v>1890</v>
      </c>
      <c r="H531" s="19">
        <v>20</v>
      </c>
      <c r="I531" s="19">
        <v>2721.24</v>
      </c>
      <c r="J531" s="19">
        <v>54424.8</v>
      </c>
    </row>
    <row r="532" ht="15.25" spans="1:10">
      <c r="A532" s="18" t="s">
        <v>2084</v>
      </c>
      <c r="B532" s="19" t="s">
        <v>1878</v>
      </c>
      <c r="C532" s="19" t="s">
        <v>1610</v>
      </c>
      <c r="D532" s="19" t="s">
        <v>1879</v>
      </c>
      <c r="E532" s="19" t="s">
        <v>1851</v>
      </c>
      <c r="F532" s="19" t="s">
        <v>1876</v>
      </c>
      <c r="G532" s="19" t="s">
        <v>1883</v>
      </c>
      <c r="H532" s="19">
        <v>4</v>
      </c>
      <c r="I532" s="19">
        <v>3751.49</v>
      </c>
      <c r="J532" s="19">
        <v>15005.96</v>
      </c>
    </row>
    <row r="533" ht="15.25" spans="1:10">
      <c r="A533" s="18" t="s">
        <v>1885</v>
      </c>
      <c r="B533" s="19" t="s">
        <v>1902</v>
      </c>
      <c r="C533" s="19" t="s">
        <v>1906</v>
      </c>
      <c r="D533" s="19" t="s">
        <v>1862</v>
      </c>
      <c r="E533" s="19" t="s">
        <v>1858</v>
      </c>
      <c r="F533" s="19" t="s">
        <v>1865</v>
      </c>
      <c r="G533" s="19" t="s">
        <v>1920</v>
      </c>
      <c r="H533" s="19">
        <v>19</v>
      </c>
      <c r="I533" s="19">
        <v>4513.6</v>
      </c>
      <c r="J533" s="19">
        <v>85758.4</v>
      </c>
    </row>
    <row r="534" ht="15.25" spans="1:10">
      <c r="A534" s="18">
        <v>45231</v>
      </c>
      <c r="B534" s="19" t="s">
        <v>1892</v>
      </c>
      <c r="C534" s="19" t="s">
        <v>1856</v>
      </c>
      <c r="D534" s="19" t="s">
        <v>1857</v>
      </c>
      <c r="E534" s="19" t="s">
        <v>1858</v>
      </c>
      <c r="F534" s="19" t="s">
        <v>1852</v>
      </c>
      <c r="G534" s="19" t="s">
        <v>1950</v>
      </c>
      <c r="H534" s="19">
        <v>11</v>
      </c>
      <c r="I534" s="19">
        <v>3514.12</v>
      </c>
      <c r="J534" s="19">
        <v>38655.32</v>
      </c>
    </row>
    <row r="535" ht="15.25" spans="1:10">
      <c r="A535" s="18" t="s">
        <v>2077</v>
      </c>
      <c r="B535" s="19" t="s">
        <v>1889</v>
      </c>
      <c r="C535" s="19" t="s">
        <v>1875</v>
      </c>
      <c r="D535" s="19" t="s">
        <v>1862</v>
      </c>
      <c r="E535" s="19" t="s">
        <v>1858</v>
      </c>
      <c r="F535" s="19" t="s">
        <v>1852</v>
      </c>
      <c r="G535" s="19" t="s">
        <v>1910</v>
      </c>
      <c r="H535" s="19">
        <v>13</v>
      </c>
      <c r="I535" s="19">
        <v>2109.15</v>
      </c>
      <c r="J535" s="19">
        <v>27418.95</v>
      </c>
    </row>
    <row r="536" ht="15.25" spans="1:10">
      <c r="A536" s="18" t="s">
        <v>2076</v>
      </c>
      <c r="B536" s="19" t="s">
        <v>1855</v>
      </c>
      <c r="C536" s="19" t="s">
        <v>1856</v>
      </c>
      <c r="D536" s="19" t="s">
        <v>1857</v>
      </c>
      <c r="E536" s="19" t="s">
        <v>1858</v>
      </c>
      <c r="F536" s="19" t="s">
        <v>1865</v>
      </c>
      <c r="G536" s="19" t="s">
        <v>1886</v>
      </c>
      <c r="H536" s="19">
        <v>16</v>
      </c>
      <c r="I536" s="19">
        <v>4090.26</v>
      </c>
      <c r="J536" s="19">
        <v>65444.16</v>
      </c>
    </row>
    <row r="537" ht="15.25" spans="1:10">
      <c r="A537" s="18" t="s">
        <v>2085</v>
      </c>
      <c r="B537" s="19" t="s">
        <v>1861</v>
      </c>
      <c r="C537" s="19" t="s">
        <v>1941</v>
      </c>
      <c r="D537" s="19" t="s">
        <v>1879</v>
      </c>
      <c r="E537" s="19" t="s">
        <v>1851</v>
      </c>
      <c r="F537" s="19" t="s">
        <v>1865</v>
      </c>
      <c r="G537" s="19" t="s">
        <v>1890</v>
      </c>
      <c r="H537" s="19">
        <v>12</v>
      </c>
      <c r="I537" s="19">
        <v>219.32</v>
      </c>
      <c r="J537" s="19">
        <v>2631.84</v>
      </c>
    </row>
    <row r="538" ht="15.25" spans="1:10">
      <c r="A538" s="18" t="s">
        <v>1911</v>
      </c>
      <c r="B538" s="19" t="s">
        <v>1848</v>
      </c>
      <c r="C538" s="19" t="s">
        <v>1903</v>
      </c>
      <c r="D538" s="19" t="s">
        <v>1884</v>
      </c>
      <c r="E538" s="19" t="s">
        <v>1895</v>
      </c>
      <c r="F538" s="19" t="s">
        <v>1859</v>
      </c>
      <c r="G538" s="19" t="s">
        <v>1922</v>
      </c>
      <c r="H538" s="19">
        <v>14</v>
      </c>
      <c r="I538" s="19">
        <v>264.77</v>
      </c>
      <c r="J538" s="19">
        <v>3706.78</v>
      </c>
    </row>
    <row r="539" ht="15.25" spans="1:10">
      <c r="A539" s="18">
        <v>44931</v>
      </c>
      <c r="B539" s="19" t="s">
        <v>1892</v>
      </c>
      <c r="C539" s="19" t="s">
        <v>1864</v>
      </c>
      <c r="D539" s="19" t="s">
        <v>1857</v>
      </c>
      <c r="E539" s="19" t="s">
        <v>1858</v>
      </c>
      <c r="F539" s="19" t="s">
        <v>1865</v>
      </c>
      <c r="G539" s="19" t="s">
        <v>1890</v>
      </c>
      <c r="H539" s="19">
        <v>9</v>
      </c>
      <c r="I539" s="19">
        <v>2624.88</v>
      </c>
      <c r="J539" s="19">
        <v>23623.92</v>
      </c>
    </row>
    <row r="540" ht="15.25" spans="1:10">
      <c r="A540" s="18">
        <v>45022</v>
      </c>
      <c r="B540" s="19" t="s">
        <v>1874</v>
      </c>
      <c r="C540" s="19" t="s">
        <v>1898</v>
      </c>
      <c r="D540" s="19" t="s">
        <v>1879</v>
      </c>
      <c r="E540" s="19" t="s">
        <v>1851</v>
      </c>
      <c r="F540" s="19" t="s">
        <v>1852</v>
      </c>
      <c r="G540" s="19" t="s">
        <v>1934</v>
      </c>
      <c r="H540" s="19">
        <v>15</v>
      </c>
      <c r="I540" s="19">
        <v>1063.88</v>
      </c>
      <c r="J540" s="19">
        <v>15958.2</v>
      </c>
    </row>
    <row r="541" ht="15.25" spans="1:10">
      <c r="A541" s="18" t="s">
        <v>2081</v>
      </c>
      <c r="B541" s="19" t="s">
        <v>1892</v>
      </c>
      <c r="C541" s="19" t="s">
        <v>1626</v>
      </c>
      <c r="D541" s="19" t="s">
        <v>1857</v>
      </c>
      <c r="E541" s="19" t="s">
        <v>1858</v>
      </c>
      <c r="F541" s="19" t="s">
        <v>1865</v>
      </c>
      <c r="G541" s="19" t="s">
        <v>1890</v>
      </c>
      <c r="H541" s="19">
        <v>2</v>
      </c>
      <c r="I541" s="19">
        <v>4277.9</v>
      </c>
      <c r="J541" s="19">
        <v>8555.8</v>
      </c>
    </row>
    <row r="542" ht="15.25" spans="1:10">
      <c r="A542" s="18" t="s">
        <v>2086</v>
      </c>
      <c r="B542" s="19" t="s">
        <v>1848</v>
      </c>
      <c r="C542" s="19" t="s">
        <v>1610</v>
      </c>
      <c r="D542" s="19" t="s">
        <v>1879</v>
      </c>
      <c r="E542" s="19" t="s">
        <v>1851</v>
      </c>
      <c r="F542" s="19" t="s">
        <v>1865</v>
      </c>
      <c r="G542" s="19" t="s">
        <v>1920</v>
      </c>
      <c r="H542" s="19">
        <v>13</v>
      </c>
      <c r="I542" s="19">
        <v>1762.69</v>
      </c>
      <c r="J542" s="19">
        <v>22914.97</v>
      </c>
    </row>
    <row r="543" ht="15.25" spans="1:10">
      <c r="A543" s="18" t="s">
        <v>1946</v>
      </c>
      <c r="B543" s="19" t="s">
        <v>1871</v>
      </c>
      <c r="C543" s="19" t="s">
        <v>1875</v>
      </c>
      <c r="D543" s="19" t="s">
        <v>1862</v>
      </c>
      <c r="E543" s="19" t="s">
        <v>1858</v>
      </c>
      <c r="F543" s="19" t="s">
        <v>1865</v>
      </c>
      <c r="G543" s="19" t="s">
        <v>1920</v>
      </c>
      <c r="H543" s="19">
        <v>6</v>
      </c>
      <c r="I543" s="19">
        <v>2069.96</v>
      </c>
      <c r="J543" s="19">
        <v>12419.76</v>
      </c>
    </row>
    <row r="544" ht="15.25" spans="1:10">
      <c r="A544" s="18" t="s">
        <v>2073</v>
      </c>
      <c r="B544" s="19" t="s">
        <v>1855</v>
      </c>
      <c r="C544" s="19" t="s">
        <v>1589</v>
      </c>
      <c r="D544" s="19" t="s">
        <v>1884</v>
      </c>
      <c r="E544" s="19" t="s">
        <v>1895</v>
      </c>
      <c r="F544" s="19" t="s">
        <v>1865</v>
      </c>
      <c r="G544" s="19" t="s">
        <v>1890</v>
      </c>
      <c r="H544" s="19">
        <v>19</v>
      </c>
      <c r="I544" s="19">
        <v>3822.54</v>
      </c>
      <c r="J544" s="19">
        <v>72628.26</v>
      </c>
    </row>
    <row r="545" ht="15.25" spans="1:10">
      <c r="A545" s="18">
        <v>45087</v>
      </c>
      <c r="B545" s="19" t="s">
        <v>1855</v>
      </c>
      <c r="C545" s="19" t="s">
        <v>1589</v>
      </c>
      <c r="D545" s="19" t="s">
        <v>1884</v>
      </c>
      <c r="E545" s="19" t="s">
        <v>1895</v>
      </c>
      <c r="F545" s="19" t="s">
        <v>1868</v>
      </c>
      <c r="G545" s="19" t="s">
        <v>1907</v>
      </c>
      <c r="H545" s="19">
        <v>16</v>
      </c>
      <c r="I545" s="19">
        <v>242.23</v>
      </c>
      <c r="J545" s="19">
        <v>3875.68</v>
      </c>
    </row>
    <row r="546" ht="15.25" spans="1:10">
      <c r="A546" s="18" t="s">
        <v>2049</v>
      </c>
      <c r="B546" s="19" t="s">
        <v>1874</v>
      </c>
      <c r="C546" s="19" t="s">
        <v>1898</v>
      </c>
      <c r="D546" s="19" t="s">
        <v>1879</v>
      </c>
      <c r="E546" s="19" t="s">
        <v>1851</v>
      </c>
      <c r="F546" s="19" t="s">
        <v>1859</v>
      </c>
      <c r="G546" s="19" t="s">
        <v>1872</v>
      </c>
      <c r="H546" s="19">
        <v>12</v>
      </c>
      <c r="I546" s="19">
        <v>2290.76</v>
      </c>
      <c r="J546" s="19">
        <v>27489.12</v>
      </c>
    </row>
    <row r="547" ht="15.25" spans="1:10">
      <c r="A547" s="18" t="s">
        <v>2068</v>
      </c>
      <c r="B547" s="19" t="s">
        <v>1902</v>
      </c>
      <c r="C547" s="19" t="s">
        <v>1593</v>
      </c>
      <c r="D547" s="19" t="s">
        <v>1850</v>
      </c>
      <c r="E547" s="19" t="s">
        <v>1851</v>
      </c>
      <c r="F547" s="19" t="s">
        <v>1865</v>
      </c>
      <c r="G547" s="19" t="s">
        <v>1890</v>
      </c>
      <c r="H547" s="19">
        <v>18</v>
      </c>
      <c r="I547" s="19">
        <v>1957.78</v>
      </c>
      <c r="J547" s="19">
        <v>35240.04</v>
      </c>
    </row>
    <row r="548" ht="15.25" spans="1:10">
      <c r="A548" s="18">
        <v>45088</v>
      </c>
      <c r="B548" s="19" t="s">
        <v>1889</v>
      </c>
      <c r="C548" s="19" t="s">
        <v>1593</v>
      </c>
      <c r="D548" s="19" t="s">
        <v>1850</v>
      </c>
      <c r="E548" s="19" t="s">
        <v>1851</v>
      </c>
      <c r="F548" s="19" t="s">
        <v>1859</v>
      </c>
      <c r="G548" s="19" t="s">
        <v>1947</v>
      </c>
      <c r="H548" s="19">
        <v>1</v>
      </c>
      <c r="I548" s="19">
        <v>4370.57</v>
      </c>
      <c r="J548" s="19">
        <v>4370.57</v>
      </c>
    </row>
    <row r="549" ht="15.25" spans="1:10">
      <c r="A549" s="18" t="s">
        <v>2079</v>
      </c>
      <c r="B549" s="19" t="s">
        <v>1871</v>
      </c>
      <c r="C549" s="19" t="s">
        <v>1589</v>
      </c>
      <c r="D549" s="19" t="s">
        <v>1884</v>
      </c>
      <c r="E549" s="19" t="s">
        <v>1895</v>
      </c>
      <c r="F549" s="19" t="s">
        <v>1868</v>
      </c>
      <c r="G549" s="19" t="s">
        <v>1899</v>
      </c>
      <c r="H549" s="19">
        <v>3</v>
      </c>
      <c r="I549" s="19">
        <v>1894.71</v>
      </c>
      <c r="J549" s="19">
        <v>5684.13</v>
      </c>
    </row>
    <row r="550" ht="15.25" spans="1:10">
      <c r="A550" s="18">
        <v>45271</v>
      </c>
      <c r="B550" s="19" t="s">
        <v>1861</v>
      </c>
      <c r="C550" s="19" t="s">
        <v>1898</v>
      </c>
      <c r="D550" s="19" t="s">
        <v>1879</v>
      </c>
      <c r="E550" s="19" t="s">
        <v>1851</v>
      </c>
      <c r="F550" s="19" t="s">
        <v>1868</v>
      </c>
      <c r="G550" s="19" t="s">
        <v>1917</v>
      </c>
      <c r="H550" s="19">
        <v>14</v>
      </c>
      <c r="I550" s="19">
        <v>367.1</v>
      </c>
      <c r="J550" s="19">
        <v>5139.4</v>
      </c>
    </row>
    <row r="551" ht="15.25" spans="1:10">
      <c r="A551" s="18" t="s">
        <v>2084</v>
      </c>
      <c r="B551" s="19" t="s">
        <v>1867</v>
      </c>
      <c r="C551" s="19" t="s">
        <v>1941</v>
      </c>
      <c r="D551" s="19" t="s">
        <v>1879</v>
      </c>
      <c r="E551" s="19" t="s">
        <v>1851</v>
      </c>
      <c r="F551" s="19" t="s">
        <v>1876</v>
      </c>
      <c r="G551" s="19" t="s">
        <v>1877</v>
      </c>
      <c r="H551" s="19">
        <v>10</v>
      </c>
      <c r="I551" s="19">
        <v>4678.49</v>
      </c>
      <c r="J551" s="19">
        <v>46784.9</v>
      </c>
    </row>
    <row r="552" ht="15.25" spans="1:10">
      <c r="A552" s="18">
        <v>45201</v>
      </c>
      <c r="B552" s="19" t="s">
        <v>1855</v>
      </c>
      <c r="C552" s="19" t="s">
        <v>1903</v>
      </c>
      <c r="D552" s="19" t="s">
        <v>1884</v>
      </c>
      <c r="E552" s="19" t="s">
        <v>1895</v>
      </c>
      <c r="F552" s="19" t="s">
        <v>1868</v>
      </c>
      <c r="G552" s="19" t="s">
        <v>1907</v>
      </c>
      <c r="H552" s="19">
        <v>12</v>
      </c>
      <c r="I552" s="19">
        <v>1020.42</v>
      </c>
      <c r="J552" s="19">
        <v>12245.04</v>
      </c>
    </row>
    <row r="553" ht="15.25" spans="1:10">
      <c r="A553" s="18" t="s">
        <v>2079</v>
      </c>
      <c r="B553" s="19" t="s">
        <v>1871</v>
      </c>
      <c r="C553" s="19" t="s">
        <v>1602</v>
      </c>
      <c r="D553" s="19" t="s">
        <v>1862</v>
      </c>
      <c r="E553" s="19" t="s">
        <v>1858</v>
      </c>
      <c r="F553" s="19" t="s">
        <v>1876</v>
      </c>
      <c r="G553" s="19" t="s">
        <v>1883</v>
      </c>
      <c r="H553" s="19">
        <v>15</v>
      </c>
      <c r="I553" s="19">
        <v>1669.04</v>
      </c>
      <c r="J553" s="19">
        <v>25035.6</v>
      </c>
    </row>
    <row r="554" ht="15.25" spans="1:10">
      <c r="A554" s="18" t="s">
        <v>2040</v>
      </c>
      <c r="B554" s="19" t="s">
        <v>1892</v>
      </c>
      <c r="C554" s="19" t="s">
        <v>1598</v>
      </c>
      <c r="D554" s="19" t="s">
        <v>1850</v>
      </c>
      <c r="E554" s="19" t="s">
        <v>1851</v>
      </c>
      <c r="F554" s="19" t="s">
        <v>1859</v>
      </c>
      <c r="G554" s="19" t="s">
        <v>1947</v>
      </c>
      <c r="H554" s="19">
        <v>18</v>
      </c>
      <c r="I554" s="19">
        <v>138.01</v>
      </c>
      <c r="J554" s="19">
        <v>2484.18</v>
      </c>
    </row>
    <row r="555" ht="15.25" spans="1:10">
      <c r="A555" s="18" t="s">
        <v>2078</v>
      </c>
      <c r="B555" s="19" t="s">
        <v>1892</v>
      </c>
      <c r="C555" s="19" t="s">
        <v>1610</v>
      </c>
      <c r="D555" s="19" t="s">
        <v>1879</v>
      </c>
      <c r="E555" s="19" t="s">
        <v>1851</v>
      </c>
      <c r="F555" s="19" t="s">
        <v>1859</v>
      </c>
      <c r="G555" s="19" t="s">
        <v>1860</v>
      </c>
      <c r="H555" s="19">
        <v>6</v>
      </c>
      <c r="I555" s="19">
        <v>3847.76</v>
      </c>
      <c r="J555" s="19">
        <v>23086.56</v>
      </c>
    </row>
    <row r="556" ht="15.25" spans="1:10">
      <c r="A556" s="18">
        <v>45177</v>
      </c>
      <c r="B556" s="19" t="s">
        <v>1889</v>
      </c>
      <c r="C556" s="19" t="s">
        <v>1593</v>
      </c>
      <c r="D556" s="19" t="s">
        <v>1850</v>
      </c>
      <c r="E556" s="19" t="s">
        <v>1851</v>
      </c>
      <c r="F556" s="19" t="s">
        <v>1868</v>
      </c>
      <c r="G556" s="19" t="s">
        <v>1869</v>
      </c>
      <c r="H556" s="19">
        <v>4</v>
      </c>
      <c r="I556" s="19">
        <v>3246.52</v>
      </c>
      <c r="J556" s="19">
        <v>12986.08</v>
      </c>
    </row>
    <row r="557" ht="15.25" spans="1:10">
      <c r="A557" s="18" t="s">
        <v>1974</v>
      </c>
      <c r="B557" s="19" t="s">
        <v>1902</v>
      </c>
      <c r="C557" s="19" t="s">
        <v>1589</v>
      </c>
      <c r="D557" s="19" t="s">
        <v>1884</v>
      </c>
      <c r="E557" s="19" t="s">
        <v>1895</v>
      </c>
      <c r="F557" s="19" t="s">
        <v>1859</v>
      </c>
      <c r="G557" s="19" t="s">
        <v>1922</v>
      </c>
      <c r="H557" s="19">
        <v>14</v>
      </c>
      <c r="I557" s="19">
        <v>569.91</v>
      </c>
      <c r="J557" s="19">
        <v>7978.74</v>
      </c>
    </row>
    <row r="558" ht="15.25" spans="1:10">
      <c r="A558" s="18">
        <v>45261</v>
      </c>
      <c r="B558" s="19" t="s">
        <v>1878</v>
      </c>
      <c r="C558" s="19" t="s">
        <v>1626</v>
      </c>
      <c r="D558" s="19" t="s">
        <v>1857</v>
      </c>
      <c r="E558" s="19" t="s">
        <v>1858</v>
      </c>
      <c r="F558" s="19" t="s">
        <v>1876</v>
      </c>
      <c r="G558" s="19" t="s">
        <v>1883</v>
      </c>
      <c r="H558" s="19">
        <v>15</v>
      </c>
      <c r="I558" s="19">
        <v>4316.17</v>
      </c>
      <c r="J558" s="19">
        <v>64742.55</v>
      </c>
    </row>
    <row r="559" ht="15.25" spans="1:10">
      <c r="A559" s="18" t="s">
        <v>2043</v>
      </c>
      <c r="B559" s="19" t="s">
        <v>1855</v>
      </c>
      <c r="C559" s="19" t="s">
        <v>1626</v>
      </c>
      <c r="D559" s="19" t="s">
        <v>1857</v>
      </c>
      <c r="E559" s="19" t="s">
        <v>1858</v>
      </c>
      <c r="F559" s="19" t="s">
        <v>1865</v>
      </c>
      <c r="G559" s="19" t="s">
        <v>1866</v>
      </c>
      <c r="H559" s="19">
        <v>17</v>
      </c>
      <c r="I559" s="19">
        <v>2209.62</v>
      </c>
      <c r="J559" s="19">
        <v>37563.54</v>
      </c>
    </row>
    <row r="560" ht="15.25" spans="1:10">
      <c r="A560" s="18">
        <v>45117</v>
      </c>
      <c r="B560" s="19" t="s">
        <v>1878</v>
      </c>
      <c r="C560" s="19" t="s">
        <v>1894</v>
      </c>
      <c r="D560" s="19" t="s">
        <v>1884</v>
      </c>
      <c r="E560" s="19" t="s">
        <v>1895</v>
      </c>
      <c r="F560" s="19" t="s">
        <v>1852</v>
      </c>
      <c r="G560" s="19" t="s">
        <v>1934</v>
      </c>
      <c r="H560" s="19">
        <v>16</v>
      </c>
      <c r="I560" s="19">
        <v>3296.61</v>
      </c>
      <c r="J560" s="19">
        <v>52745.76</v>
      </c>
    </row>
    <row r="561" ht="15.25" spans="1:10">
      <c r="A561" s="18">
        <v>44932</v>
      </c>
      <c r="B561" s="19" t="s">
        <v>1848</v>
      </c>
      <c r="C561" s="19" t="s">
        <v>1589</v>
      </c>
      <c r="D561" s="19" t="s">
        <v>1884</v>
      </c>
      <c r="E561" s="19" t="s">
        <v>1895</v>
      </c>
      <c r="F561" s="19" t="s">
        <v>1852</v>
      </c>
      <c r="G561" s="19" t="s">
        <v>1853</v>
      </c>
      <c r="H561" s="19">
        <v>13</v>
      </c>
      <c r="I561" s="19">
        <v>523.83</v>
      </c>
      <c r="J561" s="19">
        <v>6809.79</v>
      </c>
    </row>
    <row r="562" ht="15.25" spans="1:10">
      <c r="A562" s="18" t="s">
        <v>2027</v>
      </c>
      <c r="B562" s="19" t="s">
        <v>1871</v>
      </c>
      <c r="C562" s="19" t="s">
        <v>1602</v>
      </c>
      <c r="D562" s="19" t="s">
        <v>1862</v>
      </c>
      <c r="E562" s="19" t="s">
        <v>1858</v>
      </c>
      <c r="F562" s="19" t="s">
        <v>1876</v>
      </c>
      <c r="G562" s="19" t="s">
        <v>1883</v>
      </c>
      <c r="H562" s="19">
        <v>3</v>
      </c>
      <c r="I562" s="19">
        <v>916.53</v>
      </c>
      <c r="J562" s="19">
        <v>2749.59</v>
      </c>
    </row>
    <row r="563" ht="15.25" spans="1:10">
      <c r="A563" s="18">
        <v>45266</v>
      </c>
      <c r="B563" s="19" t="s">
        <v>1848</v>
      </c>
      <c r="C563" s="19" t="s">
        <v>1598</v>
      </c>
      <c r="D563" s="19" t="s">
        <v>1850</v>
      </c>
      <c r="E563" s="19" t="s">
        <v>1851</v>
      </c>
      <c r="F563" s="19" t="s">
        <v>1865</v>
      </c>
      <c r="G563" s="19" t="s">
        <v>1890</v>
      </c>
      <c r="H563" s="19">
        <v>13</v>
      </c>
      <c r="I563" s="19">
        <v>1836.55</v>
      </c>
      <c r="J563" s="19">
        <v>23875.15</v>
      </c>
    </row>
    <row r="564" ht="15.25" spans="1:10">
      <c r="A564" s="18" t="s">
        <v>2042</v>
      </c>
      <c r="B564" s="19" t="s">
        <v>1867</v>
      </c>
      <c r="C564" s="19" t="s">
        <v>1903</v>
      </c>
      <c r="D564" s="19" t="s">
        <v>1884</v>
      </c>
      <c r="E564" s="19" t="s">
        <v>1895</v>
      </c>
      <c r="F564" s="19" t="s">
        <v>1865</v>
      </c>
      <c r="G564" s="19" t="s">
        <v>1866</v>
      </c>
      <c r="H564" s="19">
        <v>19</v>
      </c>
      <c r="I564" s="19">
        <v>2253.92</v>
      </c>
      <c r="J564" s="19">
        <v>42824.48</v>
      </c>
    </row>
    <row r="565" ht="15.25" spans="1:10">
      <c r="A565" s="18" t="s">
        <v>2087</v>
      </c>
      <c r="B565" s="19" t="s">
        <v>1867</v>
      </c>
      <c r="C565" s="19" t="s">
        <v>1598</v>
      </c>
      <c r="D565" s="19" t="s">
        <v>1850</v>
      </c>
      <c r="E565" s="19" t="s">
        <v>1851</v>
      </c>
      <c r="F565" s="19" t="s">
        <v>1852</v>
      </c>
      <c r="G565" s="19" t="s">
        <v>1853</v>
      </c>
      <c r="H565" s="19">
        <v>13</v>
      </c>
      <c r="I565" s="19">
        <v>3617.07</v>
      </c>
      <c r="J565" s="19">
        <v>47021.91</v>
      </c>
    </row>
    <row r="566" ht="15.25" spans="1:10">
      <c r="A566" s="18" t="s">
        <v>2088</v>
      </c>
      <c r="B566" s="19" t="s">
        <v>1889</v>
      </c>
      <c r="C566" s="19" t="s">
        <v>1875</v>
      </c>
      <c r="D566" s="19" t="s">
        <v>1862</v>
      </c>
      <c r="E566" s="19" t="s">
        <v>1858</v>
      </c>
      <c r="F566" s="19" t="s">
        <v>1868</v>
      </c>
      <c r="G566" s="19" t="s">
        <v>1917</v>
      </c>
      <c r="H566" s="19">
        <v>5</v>
      </c>
      <c r="I566" s="19">
        <v>417.76</v>
      </c>
      <c r="J566" s="19">
        <v>2088.8</v>
      </c>
    </row>
    <row r="567" ht="15.25" spans="1:10">
      <c r="A567" s="18">
        <v>45144</v>
      </c>
      <c r="B567" s="19" t="s">
        <v>1855</v>
      </c>
      <c r="C567" s="19" t="s">
        <v>1849</v>
      </c>
      <c r="D567" s="19" t="s">
        <v>1850</v>
      </c>
      <c r="E567" s="19" t="s">
        <v>1851</v>
      </c>
      <c r="F567" s="19" t="s">
        <v>1876</v>
      </c>
      <c r="G567" s="19" t="s">
        <v>1877</v>
      </c>
      <c r="H567" s="19">
        <v>11</v>
      </c>
      <c r="I567" s="19">
        <v>864.29</v>
      </c>
      <c r="J567" s="19">
        <v>9507.19</v>
      </c>
    </row>
    <row r="568" ht="15.25" spans="1:10">
      <c r="A568" s="18" t="s">
        <v>2089</v>
      </c>
      <c r="B568" s="19" t="s">
        <v>1871</v>
      </c>
      <c r="C568" s="19" t="s">
        <v>1894</v>
      </c>
      <c r="D568" s="19" t="s">
        <v>1884</v>
      </c>
      <c r="E568" s="19" t="s">
        <v>1895</v>
      </c>
      <c r="F568" s="19" t="s">
        <v>1876</v>
      </c>
      <c r="G568" s="19" t="s">
        <v>1877</v>
      </c>
      <c r="H568" s="19">
        <v>19</v>
      </c>
      <c r="I568" s="19">
        <v>2006.79</v>
      </c>
      <c r="J568" s="19">
        <v>38129.01</v>
      </c>
    </row>
    <row r="569" ht="15.25" spans="1:10">
      <c r="A569" s="18" t="s">
        <v>1980</v>
      </c>
      <c r="B569" s="19" t="s">
        <v>1855</v>
      </c>
      <c r="C569" s="19" t="s">
        <v>1610</v>
      </c>
      <c r="D569" s="19" t="s">
        <v>1879</v>
      </c>
      <c r="E569" s="19" t="s">
        <v>1851</v>
      </c>
      <c r="F569" s="19" t="s">
        <v>1868</v>
      </c>
      <c r="G569" s="19" t="s">
        <v>1907</v>
      </c>
      <c r="H569" s="19">
        <v>1</v>
      </c>
      <c r="I569" s="19">
        <v>403.2</v>
      </c>
      <c r="J569" s="19">
        <v>403.2</v>
      </c>
    </row>
    <row r="570" ht="15.25" spans="1:10">
      <c r="A570" s="18" t="s">
        <v>1881</v>
      </c>
      <c r="B570" s="19" t="s">
        <v>1892</v>
      </c>
      <c r="C570" s="19" t="s">
        <v>1598</v>
      </c>
      <c r="D570" s="19" t="s">
        <v>1850</v>
      </c>
      <c r="E570" s="19" t="s">
        <v>1851</v>
      </c>
      <c r="F570" s="19" t="s">
        <v>1852</v>
      </c>
      <c r="G570" s="19" t="s">
        <v>1950</v>
      </c>
      <c r="H570" s="19">
        <v>7</v>
      </c>
      <c r="I570" s="19">
        <v>2846.83</v>
      </c>
      <c r="J570" s="19">
        <v>19927.81</v>
      </c>
    </row>
    <row r="571" ht="15.25" spans="1:10">
      <c r="A571" s="18" t="s">
        <v>1988</v>
      </c>
      <c r="B571" s="19" t="s">
        <v>1848</v>
      </c>
      <c r="C571" s="19" t="s">
        <v>1626</v>
      </c>
      <c r="D571" s="19" t="s">
        <v>1857</v>
      </c>
      <c r="E571" s="19" t="s">
        <v>1858</v>
      </c>
      <c r="F571" s="19" t="s">
        <v>1865</v>
      </c>
      <c r="G571" s="19" t="s">
        <v>1866</v>
      </c>
      <c r="H571" s="19">
        <v>5</v>
      </c>
      <c r="I571" s="19">
        <v>850.9</v>
      </c>
      <c r="J571" s="19">
        <v>4254.5</v>
      </c>
    </row>
    <row r="572" ht="15.25" spans="1:10">
      <c r="A572" s="18" t="s">
        <v>2059</v>
      </c>
      <c r="B572" s="19" t="s">
        <v>1874</v>
      </c>
      <c r="C572" s="19" t="s">
        <v>1894</v>
      </c>
      <c r="D572" s="19" t="s">
        <v>1884</v>
      </c>
      <c r="E572" s="19" t="s">
        <v>1895</v>
      </c>
      <c r="F572" s="19" t="s">
        <v>1876</v>
      </c>
      <c r="G572" s="19" t="s">
        <v>1926</v>
      </c>
      <c r="H572" s="19">
        <v>16</v>
      </c>
      <c r="I572" s="19">
        <v>3337.15</v>
      </c>
      <c r="J572" s="19">
        <v>53394.4</v>
      </c>
    </row>
    <row r="573" ht="15.25" spans="1:10">
      <c r="A573" s="18" t="s">
        <v>2090</v>
      </c>
      <c r="B573" s="19" t="s">
        <v>1874</v>
      </c>
      <c r="C573" s="19" t="s">
        <v>1602</v>
      </c>
      <c r="D573" s="19" t="s">
        <v>1862</v>
      </c>
      <c r="E573" s="19" t="s">
        <v>1858</v>
      </c>
      <c r="F573" s="19" t="s">
        <v>1865</v>
      </c>
      <c r="G573" s="19" t="s">
        <v>1886</v>
      </c>
      <c r="H573" s="19">
        <v>15</v>
      </c>
      <c r="I573" s="19">
        <v>1299.55</v>
      </c>
      <c r="J573" s="19">
        <v>19493.25</v>
      </c>
    </row>
    <row r="574" ht="15.25" spans="1:10">
      <c r="A574" s="18" t="s">
        <v>1946</v>
      </c>
      <c r="B574" s="19" t="s">
        <v>1874</v>
      </c>
      <c r="C574" s="19" t="s">
        <v>1602</v>
      </c>
      <c r="D574" s="19" t="s">
        <v>1862</v>
      </c>
      <c r="E574" s="19" t="s">
        <v>1858</v>
      </c>
      <c r="F574" s="19" t="s">
        <v>1868</v>
      </c>
      <c r="G574" s="19" t="s">
        <v>1907</v>
      </c>
      <c r="H574" s="19">
        <v>7</v>
      </c>
      <c r="I574" s="19">
        <v>4898.57</v>
      </c>
      <c r="J574" s="19">
        <v>34289.99</v>
      </c>
    </row>
    <row r="575" ht="15.25" spans="1:10">
      <c r="A575" s="18">
        <v>45109</v>
      </c>
      <c r="B575" s="19" t="s">
        <v>1848</v>
      </c>
      <c r="C575" s="19" t="s">
        <v>1856</v>
      </c>
      <c r="D575" s="19" t="s">
        <v>1857</v>
      </c>
      <c r="E575" s="19" t="s">
        <v>1858</v>
      </c>
      <c r="F575" s="19" t="s">
        <v>1865</v>
      </c>
      <c r="G575" s="19" t="s">
        <v>1920</v>
      </c>
      <c r="H575" s="19">
        <v>11</v>
      </c>
      <c r="I575" s="19">
        <v>2471.65</v>
      </c>
      <c r="J575" s="19">
        <v>27188.15</v>
      </c>
    </row>
    <row r="576" ht="15.25" spans="1:10">
      <c r="A576" s="18" t="s">
        <v>1938</v>
      </c>
      <c r="B576" s="19" t="s">
        <v>1874</v>
      </c>
      <c r="C576" s="19" t="s">
        <v>1864</v>
      </c>
      <c r="D576" s="19" t="s">
        <v>1857</v>
      </c>
      <c r="E576" s="19" t="s">
        <v>1858</v>
      </c>
      <c r="F576" s="19" t="s">
        <v>1859</v>
      </c>
      <c r="G576" s="19" t="s">
        <v>1872</v>
      </c>
      <c r="H576" s="19">
        <v>2</v>
      </c>
      <c r="I576" s="19">
        <v>1125.53</v>
      </c>
      <c r="J576" s="19">
        <v>2251.06</v>
      </c>
    </row>
    <row r="577" ht="15.25" spans="1:10">
      <c r="A577" s="18">
        <v>44966</v>
      </c>
      <c r="B577" s="19" t="s">
        <v>1861</v>
      </c>
      <c r="C577" s="19" t="s">
        <v>1610</v>
      </c>
      <c r="D577" s="19" t="s">
        <v>1879</v>
      </c>
      <c r="E577" s="19" t="s">
        <v>1851</v>
      </c>
      <c r="F577" s="19" t="s">
        <v>1852</v>
      </c>
      <c r="G577" s="19" t="s">
        <v>1853</v>
      </c>
      <c r="H577" s="19">
        <v>13</v>
      </c>
      <c r="I577" s="19">
        <v>2835.8</v>
      </c>
      <c r="J577" s="19">
        <v>36865.4</v>
      </c>
    </row>
    <row r="578" ht="15.25" spans="1:10">
      <c r="A578" s="18">
        <v>45234</v>
      </c>
      <c r="B578" s="19" t="s">
        <v>1878</v>
      </c>
      <c r="C578" s="19" t="s">
        <v>1602</v>
      </c>
      <c r="D578" s="19" t="s">
        <v>1862</v>
      </c>
      <c r="E578" s="19" t="s">
        <v>1858</v>
      </c>
      <c r="F578" s="19" t="s">
        <v>1868</v>
      </c>
      <c r="G578" s="19" t="s">
        <v>1907</v>
      </c>
      <c r="H578" s="19">
        <v>17</v>
      </c>
      <c r="I578" s="19">
        <v>3973.87</v>
      </c>
      <c r="J578" s="19">
        <v>67555.79</v>
      </c>
    </row>
    <row r="579" ht="15.25" spans="1:10">
      <c r="A579" s="18">
        <v>45261</v>
      </c>
      <c r="B579" s="19" t="s">
        <v>1861</v>
      </c>
      <c r="C579" s="19" t="s">
        <v>1598</v>
      </c>
      <c r="D579" s="19" t="s">
        <v>1850</v>
      </c>
      <c r="E579" s="19" t="s">
        <v>1851</v>
      </c>
      <c r="F579" s="19" t="s">
        <v>1876</v>
      </c>
      <c r="G579" s="19" t="s">
        <v>1930</v>
      </c>
      <c r="H579" s="19">
        <v>4</v>
      </c>
      <c r="I579" s="19">
        <v>1998.26</v>
      </c>
      <c r="J579" s="19">
        <v>7993.04</v>
      </c>
    </row>
    <row r="580" ht="15.25" spans="1:10">
      <c r="A580" s="18">
        <v>45148</v>
      </c>
      <c r="B580" s="19" t="s">
        <v>1871</v>
      </c>
      <c r="C580" s="19" t="s">
        <v>1875</v>
      </c>
      <c r="D580" s="19" t="s">
        <v>1862</v>
      </c>
      <c r="E580" s="19" t="s">
        <v>1858</v>
      </c>
      <c r="F580" s="19" t="s">
        <v>1859</v>
      </c>
      <c r="G580" s="19" t="s">
        <v>1872</v>
      </c>
      <c r="H580" s="19">
        <v>7</v>
      </c>
      <c r="I580" s="19">
        <v>3820.3</v>
      </c>
      <c r="J580" s="19">
        <v>26742.1</v>
      </c>
    </row>
    <row r="581" ht="15.25" spans="1:10">
      <c r="A581" s="18" t="s">
        <v>2046</v>
      </c>
      <c r="B581" s="19" t="s">
        <v>1848</v>
      </c>
      <c r="C581" s="19" t="s">
        <v>1898</v>
      </c>
      <c r="D581" s="19" t="s">
        <v>1879</v>
      </c>
      <c r="E581" s="19" t="s">
        <v>1851</v>
      </c>
      <c r="F581" s="19" t="s">
        <v>1859</v>
      </c>
      <c r="G581" s="19" t="s">
        <v>1947</v>
      </c>
      <c r="H581" s="19">
        <v>19</v>
      </c>
      <c r="I581" s="19">
        <v>2199.32</v>
      </c>
      <c r="J581" s="19">
        <v>41787.08</v>
      </c>
    </row>
    <row r="582" ht="15.25" spans="1:10">
      <c r="A582" s="18" t="s">
        <v>2066</v>
      </c>
      <c r="B582" s="19" t="s">
        <v>1867</v>
      </c>
      <c r="C582" s="19" t="s">
        <v>1856</v>
      </c>
      <c r="D582" s="19" t="s">
        <v>1857</v>
      </c>
      <c r="E582" s="19" t="s">
        <v>1858</v>
      </c>
      <c r="F582" s="19" t="s">
        <v>1868</v>
      </c>
      <c r="G582" s="19" t="s">
        <v>1869</v>
      </c>
      <c r="H582" s="19">
        <v>6</v>
      </c>
      <c r="I582" s="19">
        <v>578.64</v>
      </c>
      <c r="J582" s="19">
        <v>3471.84</v>
      </c>
    </row>
    <row r="583" ht="15.25" spans="1:10">
      <c r="A583" s="18">
        <v>45118</v>
      </c>
      <c r="B583" s="19" t="s">
        <v>1871</v>
      </c>
      <c r="C583" s="19" t="s">
        <v>1626</v>
      </c>
      <c r="D583" s="19" t="s">
        <v>1857</v>
      </c>
      <c r="E583" s="19" t="s">
        <v>1858</v>
      </c>
      <c r="F583" s="19" t="s">
        <v>1876</v>
      </c>
      <c r="G583" s="19" t="s">
        <v>1883</v>
      </c>
      <c r="H583" s="19">
        <v>5</v>
      </c>
      <c r="I583" s="19">
        <v>1488.21</v>
      </c>
      <c r="J583" s="19">
        <v>7441.05</v>
      </c>
    </row>
    <row r="584" ht="15.25" spans="1:10">
      <c r="A584" s="18" t="s">
        <v>2091</v>
      </c>
      <c r="B584" s="19" t="s">
        <v>1889</v>
      </c>
      <c r="C584" s="19" t="s">
        <v>1856</v>
      </c>
      <c r="D584" s="19" t="s">
        <v>1857</v>
      </c>
      <c r="E584" s="19" t="s">
        <v>1858</v>
      </c>
      <c r="F584" s="19" t="s">
        <v>1852</v>
      </c>
      <c r="G584" s="19" t="s">
        <v>1950</v>
      </c>
      <c r="H584" s="19">
        <v>19</v>
      </c>
      <c r="I584" s="19">
        <v>3196.27</v>
      </c>
      <c r="J584" s="19">
        <v>60729.13</v>
      </c>
    </row>
    <row r="585" ht="15.25" spans="1:10">
      <c r="A585" s="18">
        <v>45205</v>
      </c>
      <c r="B585" s="19" t="s">
        <v>1861</v>
      </c>
      <c r="C585" s="19" t="s">
        <v>1941</v>
      </c>
      <c r="D585" s="19" t="s">
        <v>1879</v>
      </c>
      <c r="E585" s="19" t="s">
        <v>1851</v>
      </c>
      <c r="F585" s="19" t="s">
        <v>1868</v>
      </c>
      <c r="G585" s="19" t="s">
        <v>1869</v>
      </c>
      <c r="H585" s="19">
        <v>5</v>
      </c>
      <c r="I585" s="19">
        <v>1018.53</v>
      </c>
      <c r="J585" s="19">
        <v>5092.65</v>
      </c>
    </row>
    <row r="586" ht="15.25" spans="1:10">
      <c r="A586" s="18" t="s">
        <v>2057</v>
      </c>
      <c r="B586" s="19" t="s">
        <v>1878</v>
      </c>
      <c r="C586" s="19" t="s">
        <v>1894</v>
      </c>
      <c r="D586" s="19" t="s">
        <v>1884</v>
      </c>
      <c r="E586" s="19" t="s">
        <v>1895</v>
      </c>
      <c r="F586" s="19" t="s">
        <v>1859</v>
      </c>
      <c r="G586" s="19" t="s">
        <v>1922</v>
      </c>
      <c r="H586" s="19">
        <v>13</v>
      </c>
      <c r="I586" s="19">
        <v>1367.15</v>
      </c>
      <c r="J586" s="19">
        <v>17772.95</v>
      </c>
    </row>
    <row r="587" ht="15.25" spans="1:10">
      <c r="A587" s="18">
        <v>45117</v>
      </c>
      <c r="B587" s="19" t="s">
        <v>1861</v>
      </c>
      <c r="C587" s="19" t="s">
        <v>1626</v>
      </c>
      <c r="D587" s="19" t="s">
        <v>1857</v>
      </c>
      <c r="E587" s="19" t="s">
        <v>1858</v>
      </c>
      <c r="F587" s="19" t="s">
        <v>1876</v>
      </c>
      <c r="G587" s="19" t="s">
        <v>1930</v>
      </c>
      <c r="H587" s="19">
        <v>19</v>
      </c>
      <c r="I587" s="19">
        <v>4996.28</v>
      </c>
      <c r="J587" s="19">
        <v>94929.32</v>
      </c>
    </row>
    <row r="588" ht="15.25" spans="1:10">
      <c r="A588" s="18" t="s">
        <v>1984</v>
      </c>
      <c r="B588" s="19" t="s">
        <v>1902</v>
      </c>
      <c r="C588" s="19" t="s">
        <v>1593</v>
      </c>
      <c r="D588" s="19" t="s">
        <v>1850</v>
      </c>
      <c r="E588" s="19" t="s">
        <v>1851</v>
      </c>
      <c r="F588" s="19" t="s">
        <v>1865</v>
      </c>
      <c r="G588" s="19" t="s">
        <v>1890</v>
      </c>
      <c r="H588" s="19">
        <v>3</v>
      </c>
      <c r="I588" s="19">
        <v>4447.9</v>
      </c>
      <c r="J588" s="19">
        <v>13343.7</v>
      </c>
    </row>
    <row r="589" ht="15.25" spans="1:10">
      <c r="A589" s="18" t="s">
        <v>2028</v>
      </c>
      <c r="B589" s="19" t="s">
        <v>1878</v>
      </c>
      <c r="C589" s="19" t="s">
        <v>1598</v>
      </c>
      <c r="D589" s="19" t="s">
        <v>1850</v>
      </c>
      <c r="E589" s="19" t="s">
        <v>1851</v>
      </c>
      <c r="F589" s="19" t="s">
        <v>1859</v>
      </c>
      <c r="G589" s="19" t="s">
        <v>1860</v>
      </c>
      <c r="H589" s="19">
        <v>10</v>
      </c>
      <c r="I589" s="19">
        <v>1318.51</v>
      </c>
      <c r="J589" s="19">
        <v>13185.1</v>
      </c>
    </row>
    <row r="590" ht="15.25" spans="1:10">
      <c r="A590" s="18" t="s">
        <v>1901</v>
      </c>
      <c r="B590" s="19" t="s">
        <v>1848</v>
      </c>
      <c r="C590" s="19" t="s">
        <v>1856</v>
      </c>
      <c r="D590" s="19" t="s">
        <v>1857</v>
      </c>
      <c r="E590" s="19" t="s">
        <v>1858</v>
      </c>
      <c r="F590" s="19" t="s">
        <v>1868</v>
      </c>
      <c r="G590" s="19" t="s">
        <v>1917</v>
      </c>
      <c r="H590" s="19">
        <v>20</v>
      </c>
      <c r="I590" s="19">
        <v>1731.99</v>
      </c>
      <c r="J590" s="19">
        <v>34639.8</v>
      </c>
    </row>
    <row r="591" ht="15.25" spans="1:10">
      <c r="A591" s="18">
        <v>44938</v>
      </c>
      <c r="B591" s="19" t="s">
        <v>1878</v>
      </c>
      <c r="C591" s="19" t="s">
        <v>1849</v>
      </c>
      <c r="D591" s="19" t="s">
        <v>1850</v>
      </c>
      <c r="E591" s="19" t="s">
        <v>1851</v>
      </c>
      <c r="F591" s="19" t="s">
        <v>1865</v>
      </c>
      <c r="G591" s="19" t="s">
        <v>1866</v>
      </c>
      <c r="H591" s="19">
        <v>12</v>
      </c>
      <c r="I591" s="19">
        <v>4514.39</v>
      </c>
      <c r="J591" s="19">
        <v>54172.68</v>
      </c>
    </row>
    <row r="592" ht="15.25" spans="1:10">
      <c r="A592" s="18">
        <v>45087</v>
      </c>
      <c r="B592" s="19" t="s">
        <v>1902</v>
      </c>
      <c r="C592" s="19" t="s">
        <v>1602</v>
      </c>
      <c r="D592" s="19" t="s">
        <v>1862</v>
      </c>
      <c r="E592" s="19" t="s">
        <v>1858</v>
      </c>
      <c r="F592" s="19" t="s">
        <v>1852</v>
      </c>
      <c r="G592" s="19" t="s">
        <v>1934</v>
      </c>
      <c r="H592" s="19">
        <v>20</v>
      </c>
      <c r="I592" s="19">
        <v>1710.93</v>
      </c>
      <c r="J592" s="19">
        <v>34218.6</v>
      </c>
    </row>
    <row r="593" ht="15.25" spans="1:10">
      <c r="A593" s="18">
        <v>45204</v>
      </c>
      <c r="B593" s="19" t="s">
        <v>1855</v>
      </c>
      <c r="C593" s="19" t="s">
        <v>1906</v>
      </c>
      <c r="D593" s="19" t="s">
        <v>1862</v>
      </c>
      <c r="E593" s="19" t="s">
        <v>1858</v>
      </c>
      <c r="F593" s="19" t="s">
        <v>1859</v>
      </c>
      <c r="G593" s="19" t="s">
        <v>1872</v>
      </c>
      <c r="H593" s="19">
        <v>19</v>
      </c>
      <c r="I593" s="19">
        <v>491.53</v>
      </c>
      <c r="J593" s="19">
        <v>9339.07</v>
      </c>
    </row>
    <row r="594" ht="15.25" spans="1:10">
      <c r="A594" s="18">
        <v>45268</v>
      </c>
      <c r="B594" s="19" t="s">
        <v>1902</v>
      </c>
      <c r="C594" s="19" t="s">
        <v>1602</v>
      </c>
      <c r="D594" s="19" t="s">
        <v>1862</v>
      </c>
      <c r="E594" s="19" t="s">
        <v>1858</v>
      </c>
      <c r="F594" s="19" t="s">
        <v>1868</v>
      </c>
      <c r="G594" s="19" t="s">
        <v>1869</v>
      </c>
      <c r="H594" s="19">
        <v>6</v>
      </c>
      <c r="I594" s="19">
        <v>203.88</v>
      </c>
      <c r="J594" s="19">
        <v>1223.28</v>
      </c>
    </row>
    <row r="595" ht="15.25" spans="1:10">
      <c r="A595" s="18" t="s">
        <v>1985</v>
      </c>
      <c r="B595" s="19" t="s">
        <v>1855</v>
      </c>
      <c r="C595" s="19" t="s">
        <v>1593</v>
      </c>
      <c r="D595" s="19" t="s">
        <v>1850</v>
      </c>
      <c r="E595" s="19" t="s">
        <v>1851</v>
      </c>
      <c r="F595" s="19" t="s">
        <v>1859</v>
      </c>
      <c r="G595" s="19" t="s">
        <v>1860</v>
      </c>
      <c r="H595" s="19">
        <v>19</v>
      </c>
      <c r="I595" s="19">
        <v>4786.89</v>
      </c>
      <c r="J595" s="19">
        <v>90950.91</v>
      </c>
    </row>
    <row r="596" ht="15.25" spans="1:10">
      <c r="A596" s="18">
        <v>45210</v>
      </c>
      <c r="B596" s="19" t="s">
        <v>1902</v>
      </c>
      <c r="C596" s="19" t="s">
        <v>1875</v>
      </c>
      <c r="D596" s="19" t="s">
        <v>1862</v>
      </c>
      <c r="E596" s="19" t="s">
        <v>1858</v>
      </c>
      <c r="F596" s="19" t="s">
        <v>1865</v>
      </c>
      <c r="G596" s="19" t="s">
        <v>1890</v>
      </c>
      <c r="H596" s="19">
        <v>11</v>
      </c>
      <c r="I596" s="19">
        <v>2666.77</v>
      </c>
      <c r="J596" s="19">
        <v>29334.47</v>
      </c>
    </row>
    <row r="597" ht="15.25" spans="1:10">
      <c r="A597" s="18">
        <v>45201</v>
      </c>
      <c r="B597" s="19" t="s">
        <v>1867</v>
      </c>
      <c r="C597" s="19" t="s">
        <v>1849</v>
      </c>
      <c r="D597" s="19" t="s">
        <v>1850</v>
      </c>
      <c r="E597" s="19" t="s">
        <v>1851</v>
      </c>
      <c r="F597" s="19" t="s">
        <v>1876</v>
      </c>
      <c r="G597" s="19" t="s">
        <v>1877</v>
      </c>
      <c r="H597" s="19">
        <v>19</v>
      </c>
      <c r="I597" s="19">
        <v>2174.76</v>
      </c>
      <c r="J597" s="19">
        <v>41320.44</v>
      </c>
    </row>
    <row r="598" ht="15.25" spans="1:10">
      <c r="A598" s="18" t="s">
        <v>1954</v>
      </c>
      <c r="B598" s="19" t="s">
        <v>1867</v>
      </c>
      <c r="C598" s="19" t="s">
        <v>1941</v>
      </c>
      <c r="D598" s="19" t="s">
        <v>1879</v>
      </c>
      <c r="E598" s="19" t="s">
        <v>1851</v>
      </c>
      <c r="F598" s="19" t="s">
        <v>1859</v>
      </c>
      <c r="G598" s="19" t="s">
        <v>1947</v>
      </c>
      <c r="H598" s="19">
        <v>1</v>
      </c>
      <c r="I598" s="19">
        <v>1678.18</v>
      </c>
      <c r="J598" s="19">
        <v>1678.18</v>
      </c>
    </row>
    <row r="599" ht="15.25" spans="1:10">
      <c r="A599" s="18" t="s">
        <v>1936</v>
      </c>
      <c r="B599" s="19" t="s">
        <v>1874</v>
      </c>
      <c r="C599" s="19" t="s">
        <v>1849</v>
      </c>
      <c r="D599" s="19" t="s">
        <v>1850</v>
      </c>
      <c r="E599" s="19" t="s">
        <v>1851</v>
      </c>
      <c r="F599" s="19" t="s">
        <v>1876</v>
      </c>
      <c r="G599" s="19" t="s">
        <v>1926</v>
      </c>
      <c r="H599" s="19">
        <v>20</v>
      </c>
      <c r="I599" s="19">
        <v>2163.95</v>
      </c>
      <c r="J599" s="19">
        <v>43279</v>
      </c>
    </row>
    <row r="600" ht="15.25" spans="1:10">
      <c r="A600" s="18">
        <v>45058</v>
      </c>
      <c r="B600" s="19" t="s">
        <v>1867</v>
      </c>
      <c r="C600" s="19" t="s">
        <v>1849</v>
      </c>
      <c r="D600" s="19" t="s">
        <v>1850</v>
      </c>
      <c r="E600" s="19" t="s">
        <v>1851</v>
      </c>
      <c r="F600" s="19" t="s">
        <v>1852</v>
      </c>
      <c r="G600" s="19" t="s">
        <v>1853</v>
      </c>
      <c r="H600" s="19">
        <v>18</v>
      </c>
      <c r="I600" s="19">
        <v>3511.28</v>
      </c>
      <c r="J600" s="19">
        <v>63203.04</v>
      </c>
    </row>
    <row r="601" ht="15.25" spans="1:10">
      <c r="A601" s="18">
        <v>45047</v>
      </c>
      <c r="B601" s="19" t="s">
        <v>1855</v>
      </c>
      <c r="C601" s="19" t="s">
        <v>1875</v>
      </c>
      <c r="D601" s="19" t="s">
        <v>1862</v>
      </c>
      <c r="E601" s="19" t="s">
        <v>1858</v>
      </c>
      <c r="F601" s="19" t="s">
        <v>1859</v>
      </c>
      <c r="G601" s="19" t="s">
        <v>1922</v>
      </c>
      <c r="H601" s="19">
        <v>13</v>
      </c>
      <c r="I601" s="19">
        <v>2979.65</v>
      </c>
      <c r="J601" s="19">
        <v>38735.45</v>
      </c>
    </row>
    <row r="602" ht="15.25" spans="1:10">
      <c r="A602" s="18" t="s">
        <v>1951</v>
      </c>
      <c r="B602" s="19" t="s">
        <v>1892</v>
      </c>
      <c r="C602" s="19" t="s">
        <v>1849</v>
      </c>
      <c r="D602" s="19" t="s">
        <v>1850</v>
      </c>
      <c r="E602" s="19" t="s">
        <v>1851</v>
      </c>
      <c r="F602" s="19" t="s">
        <v>1865</v>
      </c>
      <c r="G602" s="19" t="s">
        <v>1886</v>
      </c>
      <c r="H602" s="19">
        <v>4</v>
      </c>
      <c r="I602" s="19">
        <v>2985.48</v>
      </c>
      <c r="J602" s="19">
        <v>11941.92</v>
      </c>
    </row>
    <row r="603" ht="15.25" spans="1:10">
      <c r="A603" s="18" t="s">
        <v>1940</v>
      </c>
      <c r="B603" s="19" t="s">
        <v>1871</v>
      </c>
      <c r="C603" s="19" t="s">
        <v>1875</v>
      </c>
      <c r="D603" s="19" t="s">
        <v>1862</v>
      </c>
      <c r="E603" s="19" t="s">
        <v>1858</v>
      </c>
      <c r="F603" s="19" t="s">
        <v>1859</v>
      </c>
      <c r="G603" s="19" t="s">
        <v>1872</v>
      </c>
      <c r="H603" s="19">
        <v>18</v>
      </c>
      <c r="I603" s="19">
        <v>3989.44</v>
      </c>
      <c r="J603" s="19">
        <v>71809.92</v>
      </c>
    </row>
    <row r="604" ht="15.25" spans="1:10">
      <c r="A604" s="18" t="s">
        <v>2068</v>
      </c>
      <c r="B604" s="19" t="s">
        <v>1871</v>
      </c>
      <c r="C604" s="19" t="s">
        <v>1610</v>
      </c>
      <c r="D604" s="19" t="s">
        <v>1879</v>
      </c>
      <c r="E604" s="19" t="s">
        <v>1851</v>
      </c>
      <c r="F604" s="19" t="s">
        <v>1876</v>
      </c>
      <c r="G604" s="19" t="s">
        <v>1930</v>
      </c>
      <c r="H604" s="19">
        <v>14</v>
      </c>
      <c r="I604" s="19">
        <v>2251.87</v>
      </c>
      <c r="J604" s="19">
        <v>31526.18</v>
      </c>
    </row>
    <row r="605" ht="15.25" spans="1:10">
      <c r="A605" s="18">
        <v>45173</v>
      </c>
      <c r="B605" s="19" t="s">
        <v>1902</v>
      </c>
      <c r="C605" s="19" t="s">
        <v>1898</v>
      </c>
      <c r="D605" s="19" t="s">
        <v>1879</v>
      </c>
      <c r="E605" s="19" t="s">
        <v>1851</v>
      </c>
      <c r="F605" s="19" t="s">
        <v>1868</v>
      </c>
      <c r="G605" s="19" t="s">
        <v>1917</v>
      </c>
      <c r="H605" s="19">
        <v>8</v>
      </c>
      <c r="I605" s="19">
        <v>2519.3</v>
      </c>
      <c r="J605" s="19">
        <v>20154.4</v>
      </c>
    </row>
    <row r="606" ht="15.25" spans="1:10">
      <c r="A606" s="18" t="s">
        <v>2067</v>
      </c>
      <c r="B606" s="19" t="s">
        <v>1861</v>
      </c>
      <c r="C606" s="19" t="s">
        <v>1875</v>
      </c>
      <c r="D606" s="19" t="s">
        <v>1862</v>
      </c>
      <c r="E606" s="19" t="s">
        <v>1858</v>
      </c>
      <c r="F606" s="19" t="s">
        <v>1865</v>
      </c>
      <c r="G606" s="19" t="s">
        <v>1866</v>
      </c>
      <c r="H606" s="19">
        <v>3</v>
      </c>
      <c r="I606" s="19">
        <v>1129.88</v>
      </c>
      <c r="J606" s="19">
        <v>3389.64</v>
      </c>
    </row>
    <row r="607" ht="15.25" spans="1:10">
      <c r="A607" s="18">
        <v>45087</v>
      </c>
      <c r="B607" s="19" t="s">
        <v>1848</v>
      </c>
      <c r="C607" s="19" t="s">
        <v>1610</v>
      </c>
      <c r="D607" s="19" t="s">
        <v>1879</v>
      </c>
      <c r="E607" s="19" t="s">
        <v>1851</v>
      </c>
      <c r="F607" s="19" t="s">
        <v>1852</v>
      </c>
      <c r="G607" s="19" t="s">
        <v>1934</v>
      </c>
      <c r="H607" s="19">
        <v>15</v>
      </c>
      <c r="I607" s="19">
        <v>4146.03</v>
      </c>
      <c r="J607" s="19">
        <v>62190.45</v>
      </c>
    </row>
    <row r="608" ht="15.25" spans="1:10">
      <c r="A608" s="18">
        <v>45113</v>
      </c>
      <c r="B608" s="19" t="s">
        <v>1892</v>
      </c>
      <c r="C608" s="19" t="s">
        <v>1849</v>
      </c>
      <c r="D608" s="19" t="s">
        <v>1850</v>
      </c>
      <c r="E608" s="19" t="s">
        <v>1851</v>
      </c>
      <c r="F608" s="19" t="s">
        <v>1852</v>
      </c>
      <c r="G608" s="19" t="s">
        <v>1910</v>
      </c>
      <c r="H608" s="19">
        <v>4</v>
      </c>
      <c r="I608" s="19">
        <v>3564.22</v>
      </c>
      <c r="J608" s="19">
        <v>14256.88</v>
      </c>
    </row>
    <row r="609" ht="15.25" spans="1:10">
      <c r="A609" s="18" t="s">
        <v>2072</v>
      </c>
      <c r="B609" s="19" t="s">
        <v>1892</v>
      </c>
      <c r="C609" s="19" t="s">
        <v>1856</v>
      </c>
      <c r="D609" s="19" t="s">
        <v>1857</v>
      </c>
      <c r="E609" s="19" t="s">
        <v>1858</v>
      </c>
      <c r="F609" s="19" t="s">
        <v>1852</v>
      </c>
      <c r="G609" s="19" t="s">
        <v>1934</v>
      </c>
      <c r="H609" s="19">
        <v>14</v>
      </c>
      <c r="I609" s="19">
        <v>414.51</v>
      </c>
      <c r="J609" s="19">
        <v>5803.14</v>
      </c>
    </row>
    <row r="610" ht="15.25" spans="1:10">
      <c r="A610" s="18" t="s">
        <v>2003</v>
      </c>
      <c r="B610" s="19" t="s">
        <v>1902</v>
      </c>
      <c r="C610" s="19" t="s">
        <v>1610</v>
      </c>
      <c r="D610" s="19" t="s">
        <v>1879</v>
      </c>
      <c r="E610" s="19" t="s">
        <v>1851</v>
      </c>
      <c r="F610" s="19" t="s">
        <v>1852</v>
      </c>
      <c r="G610" s="19" t="s">
        <v>1910</v>
      </c>
      <c r="H610" s="19">
        <v>11</v>
      </c>
      <c r="I610" s="19">
        <v>1788.39</v>
      </c>
      <c r="J610" s="19">
        <v>19672.29</v>
      </c>
    </row>
    <row r="611" ht="15.25" spans="1:10">
      <c r="A611" s="18" t="s">
        <v>1893</v>
      </c>
      <c r="B611" s="19" t="s">
        <v>1874</v>
      </c>
      <c r="C611" s="19" t="s">
        <v>1906</v>
      </c>
      <c r="D611" s="19" t="s">
        <v>1862</v>
      </c>
      <c r="E611" s="19" t="s">
        <v>1858</v>
      </c>
      <c r="F611" s="19" t="s">
        <v>1865</v>
      </c>
      <c r="G611" s="19" t="s">
        <v>1920</v>
      </c>
      <c r="H611" s="19">
        <v>6</v>
      </c>
      <c r="I611" s="19">
        <v>2867.98</v>
      </c>
      <c r="J611" s="19">
        <v>17207.88</v>
      </c>
    </row>
    <row r="612" ht="15.25" spans="1:10">
      <c r="A612" s="18" t="s">
        <v>2067</v>
      </c>
      <c r="B612" s="19" t="s">
        <v>1867</v>
      </c>
      <c r="C612" s="19" t="s">
        <v>1849</v>
      </c>
      <c r="D612" s="19" t="s">
        <v>1850</v>
      </c>
      <c r="E612" s="19" t="s">
        <v>1851</v>
      </c>
      <c r="F612" s="19" t="s">
        <v>1865</v>
      </c>
      <c r="G612" s="19" t="s">
        <v>1866</v>
      </c>
      <c r="H612" s="19">
        <v>6</v>
      </c>
      <c r="I612" s="19">
        <v>3566.53</v>
      </c>
      <c r="J612" s="19">
        <v>21399.18</v>
      </c>
    </row>
    <row r="613" ht="15.25" spans="1:10">
      <c r="A613" s="18">
        <v>45025</v>
      </c>
      <c r="B613" s="19" t="s">
        <v>1889</v>
      </c>
      <c r="C613" s="19" t="s">
        <v>1898</v>
      </c>
      <c r="D613" s="19" t="s">
        <v>1879</v>
      </c>
      <c r="E613" s="19" t="s">
        <v>1851</v>
      </c>
      <c r="F613" s="19" t="s">
        <v>1859</v>
      </c>
      <c r="G613" s="19" t="s">
        <v>1872</v>
      </c>
      <c r="H613" s="19">
        <v>13</v>
      </c>
      <c r="I613" s="19">
        <v>2669.5</v>
      </c>
      <c r="J613" s="19">
        <v>34703.5</v>
      </c>
    </row>
    <row r="614" ht="15.25" spans="1:10">
      <c r="A614" s="18">
        <v>45085</v>
      </c>
      <c r="B614" s="19" t="s">
        <v>1878</v>
      </c>
      <c r="C614" s="19" t="s">
        <v>1626</v>
      </c>
      <c r="D614" s="19" t="s">
        <v>1857</v>
      </c>
      <c r="E614" s="19" t="s">
        <v>1858</v>
      </c>
      <c r="F614" s="19" t="s">
        <v>1868</v>
      </c>
      <c r="G614" s="19" t="s">
        <v>1917</v>
      </c>
      <c r="H614" s="19">
        <v>6</v>
      </c>
      <c r="I614" s="19">
        <v>3842.46</v>
      </c>
      <c r="J614" s="19">
        <v>23054.76</v>
      </c>
    </row>
    <row r="615" ht="15.25" spans="1:10">
      <c r="A615" s="18" t="s">
        <v>1969</v>
      </c>
      <c r="B615" s="19" t="s">
        <v>1871</v>
      </c>
      <c r="C615" s="19" t="s">
        <v>1598</v>
      </c>
      <c r="D615" s="19" t="s">
        <v>1850</v>
      </c>
      <c r="E615" s="19" t="s">
        <v>1851</v>
      </c>
      <c r="F615" s="19" t="s">
        <v>1852</v>
      </c>
      <c r="G615" s="19" t="s">
        <v>1853</v>
      </c>
      <c r="H615" s="19">
        <v>13</v>
      </c>
      <c r="I615" s="19">
        <v>1419.3</v>
      </c>
      <c r="J615" s="19">
        <v>18450.9</v>
      </c>
    </row>
    <row r="616" ht="15.25" spans="1:10">
      <c r="A616" s="18">
        <v>44961</v>
      </c>
      <c r="B616" s="19" t="s">
        <v>1867</v>
      </c>
      <c r="C616" s="19" t="s">
        <v>1894</v>
      </c>
      <c r="D616" s="19" t="s">
        <v>1884</v>
      </c>
      <c r="E616" s="19" t="s">
        <v>1895</v>
      </c>
      <c r="F616" s="19" t="s">
        <v>1876</v>
      </c>
      <c r="G616" s="19" t="s">
        <v>1877</v>
      </c>
      <c r="H616" s="19">
        <v>1</v>
      </c>
      <c r="I616" s="19">
        <v>3187.31</v>
      </c>
      <c r="J616" s="19">
        <v>3187.31</v>
      </c>
    </row>
    <row r="617" ht="15.25" spans="1:10">
      <c r="A617" s="18">
        <v>44968</v>
      </c>
      <c r="B617" s="19" t="s">
        <v>1848</v>
      </c>
      <c r="C617" s="19" t="s">
        <v>1602</v>
      </c>
      <c r="D617" s="19" t="s">
        <v>1862</v>
      </c>
      <c r="E617" s="19" t="s">
        <v>1858</v>
      </c>
      <c r="F617" s="19" t="s">
        <v>1868</v>
      </c>
      <c r="G617" s="19" t="s">
        <v>1917</v>
      </c>
      <c r="H617" s="19">
        <v>12</v>
      </c>
      <c r="I617" s="19">
        <v>1837.2</v>
      </c>
      <c r="J617" s="19">
        <v>22046.4</v>
      </c>
    </row>
    <row r="618" ht="15.25" spans="1:10">
      <c r="A618" s="18" t="s">
        <v>2013</v>
      </c>
      <c r="B618" s="19" t="s">
        <v>1867</v>
      </c>
      <c r="C618" s="19" t="s">
        <v>1610</v>
      </c>
      <c r="D618" s="19" t="s">
        <v>1879</v>
      </c>
      <c r="E618" s="19" t="s">
        <v>1851</v>
      </c>
      <c r="F618" s="19" t="s">
        <v>1876</v>
      </c>
      <c r="G618" s="19" t="s">
        <v>1930</v>
      </c>
      <c r="H618" s="19">
        <v>2</v>
      </c>
      <c r="I618" s="19">
        <v>4081.92</v>
      </c>
      <c r="J618" s="19">
        <v>8163.84</v>
      </c>
    </row>
    <row r="619" ht="15.25" spans="1:10">
      <c r="A619" s="18" t="s">
        <v>2092</v>
      </c>
      <c r="B619" s="19" t="s">
        <v>1855</v>
      </c>
      <c r="C619" s="19" t="s">
        <v>1610</v>
      </c>
      <c r="D619" s="19" t="s">
        <v>1879</v>
      </c>
      <c r="E619" s="19" t="s">
        <v>1851</v>
      </c>
      <c r="F619" s="19" t="s">
        <v>1868</v>
      </c>
      <c r="G619" s="19" t="s">
        <v>1869</v>
      </c>
      <c r="H619" s="19">
        <v>20</v>
      </c>
      <c r="I619" s="19">
        <v>3184.86</v>
      </c>
      <c r="J619" s="19">
        <v>63697.2</v>
      </c>
    </row>
    <row r="620" ht="15.25" spans="1:10">
      <c r="A620" s="18" t="s">
        <v>2088</v>
      </c>
      <c r="B620" s="19" t="s">
        <v>1871</v>
      </c>
      <c r="C620" s="19" t="s">
        <v>1856</v>
      </c>
      <c r="D620" s="19" t="s">
        <v>1857</v>
      </c>
      <c r="E620" s="19" t="s">
        <v>1858</v>
      </c>
      <c r="F620" s="19" t="s">
        <v>1852</v>
      </c>
      <c r="G620" s="19" t="s">
        <v>1934</v>
      </c>
      <c r="H620" s="19">
        <v>8</v>
      </c>
      <c r="I620" s="19">
        <v>3402.24</v>
      </c>
      <c r="J620" s="19">
        <v>27217.92</v>
      </c>
    </row>
    <row r="621" ht="15.25" spans="1:10">
      <c r="A621" s="18">
        <v>44966</v>
      </c>
      <c r="B621" s="19" t="s">
        <v>1871</v>
      </c>
      <c r="C621" s="19" t="s">
        <v>1593</v>
      </c>
      <c r="D621" s="19" t="s">
        <v>1850</v>
      </c>
      <c r="E621" s="19" t="s">
        <v>1851</v>
      </c>
      <c r="F621" s="19" t="s">
        <v>1852</v>
      </c>
      <c r="G621" s="19" t="s">
        <v>1934</v>
      </c>
      <c r="H621" s="19">
        <v>10</v>
      </c>
      <c r="I621" s="19">
        <v>2750.69</v>
      </c>
      <c r="J621" s="19">
        <v>27506.9</v>
      </c>
    </row>
    <row r="622" ht="15.25" spans="1:10">
      <c r="A622" s="18">
        <v>45233</v>
      </c>
      <c r="B622" s="19" t="s">
        <v>1902</v>
      </c>
      <c r="C622" s="19" t="s">
        <v>1598</v>
      </c>
      <c r="D622" s="19" t="s">
        <v>1850</v>
      </c>
      <c r="E622" s="19" t="s">
        <v>1851</v>
      </c>
      <c r="F622" s="19" t="s">
        <v>1876</v>
      </c>
      <c r="G622" s="19" t="s">
        <v>1877</v>
      </c>
      <c r="H622" s="19">
        <v>13</v>
      </c>
      <c r="I622" s="19">
        <v>4090.9</v>
      </c>
      <c r="J622" s="19">
        <v>53181.7</v>
      </c>
    </row>
    <row r="623" ht="15.25" spans="1:10">
      <c r="A623" s="18">
        <v>45237</v>
      </c>
      <c r="B623" s="19" t="s">
        <v>1892</v>
      </c>
      <c r="C623" s="19" t="s">
        <v>1602</v>
      </c>
      <c r="D623" s="19" t="s">
        <v>1862</v>
      </c>
      <c r="E623" s="19" t="s">
        <v>1858</v>
      </c>
      <c r="F623" s="19" t="s">
        <v>1868</v>
      </c>
      <c r="G623" s="19" t="s">
        <v>1907</v>
      </c>
      <c r="H623" s="19">
        <v>3</v>
      </c>
      <c r="I623" s="19">
        <v>4234</v>
      </c>
      <c r="J623" s="19">
        <v>12702</v>
      </c>
    </row>
    <row r="624" ht="15.25" spans="1:10">
      <c r="A624" s="18">
        <v>45083</v>
      </c>
      <c r="B624" s="19" t="s">
        <v>1902</v>
      </c>
      <c r="C624" s="19" t="s">
        <v>1864</v>
      </c>
      <c r="D624" s="19" t="s">
        <v>1857</v>
      </c>
      <c r="E624" s="19" t="s">
        <v>1858</v>
      </c>
      <c r="F624" s="19" t="s">
        <v>1876</v>
      </c>
      <c r="G624" s="19" t="s">
        <v>1926</v>
      </c>
      <c r="H624" s="19">
        <v>12</v>
      </c>
      <c r="I624" s="19">
        <v>1701.3</v>
      </c>
      <c r="J624" s="19">
        <v>20415.6</v>
      </c>
    </row>
    <row r="625" ht="15.25" spans="1:10">
      <c r="A625" s="18">
        <v>45053</v>
      </c>
      <c r="B625" s="19" t="s">
        <v>1889</v>
      </c>
      <c r="C625" s="19" t="s">
        <v>1626</v>
      </c>
      <c r="D625" s="19" t="s">
        <v>1857</v>
      </c>
      <c r="E625" s="19" t="s">
        <v>1858</v>
      </c>
      <c r="F625" s="19" t="s">
        <v>1876</v>
      </c>
      <c r="G625" s="19" t="s">
        <v>1930</v>
      </c>
      <c r="H625" s="19">
        <v>18</v>
      </c>
      <c r="I625" s="19">
        <v>1599.01</v>
      </c>
      <c r="J625" s="19">
        <v>28782.18</v>
      </c>
    </row>
    <row r="626" ht="15.25" spans="1:10">
      <c r="A626" s="18" t="s">
        <v>1990</v>
      </c>
      <c r="B626" s="19" t="s">
        <v>1889</v>
      </c>
      <c r="C626" s="19" t="s">
        <v>1906</v>
      </c>
      <c r="D626" s="19" t="s">
        <v>1862</v>
      </c>
      <c r="E626" s="19" t="s">
        <v>1858</v>
      </c>
      <c r="F626" s="19" t="s">
        <v>1876</v>
      </c>
      <c r="G626" s="19" t="s">
        <v>1877</v>
      </c>
      <c r="H626" s="19">
        <v>11</v>
      </c>
      <c r="I626" s="19">
        <v>4564.73</v>
      </c>
      <c r="J626" s="19">
        <v>50212.03</v>
      </c>
    </row>
    <row r="627" ht="15.25" spans="1:10">
      <c r="A627" s="18">
        <v>44992</v>
      </c>
      <c r="B627" s="19" t="s">
        <v>1848</v>
      </c>
      <c r="C627" s="19" t="s">
        <v>1610</v>
      </c>
      <c r="D627" s="19" t="s">
        <v>1879</v>
      </c>
      <c r="E627" s="19" t="s">
        <v>1851</v>
      </c>
      <c r="F627" s="19" t="s">
        <v>1852</v>
      </c>
      <c r="G627" s="19" t="s">
        <v>1910</v>
      </c>
      <c r="H627" s="19">
        <v>14</v>
      </c>
      <c r="I627" s="19">
        <v>3507.75</v>
      </c>
      <c r="J627" s="19">
        <v>49108.5</v>
      </c>
    </row>
    <row r="628" ht="15.25" spans="1:10">
      <c r="A628" s="18" t="s">
        <v>1985</v>
      </c>
      <c r="B628" s="19" t="s">
        <v>1878</v>
      </c>
      <c r="C628" s="19" t="s">
        <v>1589</v>
      </c>
      <c r="D628" s="19" t="s">
        <v>1884</v>
      </c>
      <c r="E628" s="19" t="s">
        <v>1895</v>
      </c>
      <c r="F628" s="19" t="s">
        <v>1859</v>
      </c>
      <c r="G628" s="19" t="s">
        <v>1872</v>
      </c>
      <c r="H628" s="19">
        <v>4</v>
      </c>
      <c r="I628" s="19">
        <v>810.38</v>
      </c>
      <c r="J628" s="19">
        <v>3241.52</v>
      </c>
    </row>
    <row r="629" ht="15.25" spans="1:10">
      <c r="A629" s="18" t="s">
        <v>1916</v>
      </c>
      <c r="B629" s="19" t="s">
        <v>1848</v>
      </c>
      <c r="C629" s="19" t="s">
        <v>1598</v>
      </c>
      <c r="D629" s="19" t="s">
        <v>1850</v>
      </c>
      <c r="E629" s="19" t="s">
        <v>1851</v>
      </c>
      <c r="F629" s="19" t="s">
        <v>1876</v>
      </c>
      <c r="G629" s="19" t="s">
        <v>1926</v>
      </c>
      <c r="H629" s="19">
        <v>7</v>
      </c>
      <c r="I629" s="19">
        <v>698.8</v>
      </c>
      <c r="J629" s="19">
        <v>4891.6</v>
      </c>
    </row>
    <row r="630" ht="15.25" spans="1:10">
      <c r="A630" s="18">
        <v>45208</v>
      </c>
      <c r="B630" s="19" t="s">
        <v>1892</v>
      </c>
      <c r="C630" s="19" t="s">
        <v>1856</v>
      </c>
      <c r="D630" s="19" t="s">
        <v>1857</v>
      </c>
      <c r="E630" s="19" t="s">
        <v>1858</v>
      </c>
      <c r="F630" s="19" t="s">
        <v>1876</v>
      </c>
      <c r="G630" s="19" t="s">
        <v>1930</v>
      </c>
      <c r="H630" s="19">
        <v>14</v>
      </c>
      <c r="I630" s="19">
        <v>2833.44</v>
      </c>
      <c r="J630" s="19">
        <v>39668.16</v>
      </c>
    </row>
    <row r="631" ht="15.25" spans="1:10">
      <c r="A631" s="18" t="s">
        <v>1992</v>
      </c>
      <c r="B631" s="19" t="s">
        <v>1867</v>
      </c>
      <c r="C631" s="19" t="s">
        <v>1602</v>
      </c>
      <c r="D631" s="19" t="s">
        <v>1862</v>
      </c>
      <c r="E631" s="19" t="s">
        <v>1858</v>
      </c>
      <c r="F631" s="19" t="s">
        <v>1868</v>
      </c>
      <c r="G631" s="19" t="s">
        <v>1907</v>
      </c>
      <c r="H631" s="19">
        <v>20</v>
      </c>
      <c r="I631" s="19">
        <v>2409.68</v>
      </c>
      <c r="J631" s="19">
        <v>48193.6</v>
      </c>
    </row>
    <row r="632" ht="15.25" spans="1:10">
      <c r="A632" s="18">
        <v>45086</v>
      </c>
      <c r="B632" s="19" t="s">
        <v>1892</v>
      </c>
      <c r="C632" s="19" t="s">
        <v>1626</v>
      </c>
      <c r="D632" s="19" t="s">
        <v>1857</v>
      </c>
      <c r="E632" s="19" t="s">
        <v>1858</v>
      </c>
      <c r="F632" s="19" t="s">
        <v>1868</v>
      </c>
      <c r="G632" s="19" t="s">
        <v>1917</v>
      </c>
      <c r="H632" s="19">
        <v>17</v>
      </c>
      <c r="I632" s="19">
        <v>2448.51</v>
      </c>
      <c r="J632" s="19">
        <v>41624.67</v>
      </c>
    </row>
    <row r="633" ht="15.25" spans="1:10">
      <c r="A633" s="18">
        <v>45207</v>
      </c>
      <c r="B633" s="19" t="s">
        <v>1902</v>
      </c>
      <c r="C633" s="19" t="s">
        <v>1626</v>
      </c>
      <c r="D633" s="19" t="s">
        <v>1857</v>
      </c>
      <c r="E633" s="19" t="s">
        <v>1858</v>
      </c>
      <c r="F633" s="19" t="s">
        <v>1865</v>
      </c>
      <c r="G633" s="19" t="s">
        <v>1886</v>
      </c>
      <c r="H633" s="19">
        <v>7</v>
      </c>
      <c r="I633" s="19">
        <v>4029.58</v>
      </c>
      <c r="J633" s="19">
        <v>28207.06</v>
      </c>
    </row>
    <row r="634" ht="15.25" spans="1:10">
      <c r="A634" s="18" t="s">
        <v>2074</v>
      </c>
      <c r="B634" s="19" t="s">
        <v>1867</v>
      </c>
      <c r="C634" s="19" t="s">
        <v>1864</v>
      </c>
      <c r="D634" s="19" t="s">
        <v>1857</v>
      </c>
      <c r="E634" s="19" t="s">
        <v>1858</v>
      </c>
      <c r="F634" s="19" t="s">
        <v>1868</v>
      </c>
      <c r="G634" s="19" t="s">
        <v>1899</v>
      </c>
      <c r="H634" s="19">
        <v>15</v>
      </c>
      <c r="I634" s="19">
        <v>3999.29</v>
      </c>
      <c r="J634" s="19">
        <v>59989.35</v>
      </c>
    </row>
    <row r="635" ht="15.25" spans="1:10">
      <c r="A635" s="18" t="s">
        <v>2025</v>
      </c>
      <c r="B635" s="19" t="s">
        <v>1874</v>
      </c>
      <c r="C635" s="19" t="s">
        <v>1875</v>
      </c>
      <c r="D635" s="19" t="s">
        <v>1862</v>
      </c>
      <c r="E635" s="19" t="s">
        <v>1858</v>
      </c>
      <c r="F635" s="19" t="s">
        <v>1859</v>
      </c>
      <c r="G635" s="19" t="s">
        <v>1922</v>
      </c>
      <c r="H635" s="19">
        <v>17</v>
      </c>
      <c r="I635" s="19">
        <v>583.88</v>
      </c>
      <c r="J635" s="19">
        <v>9925.96</v>
      </c>
    </row>
    <row r="636" ht="15.25" spans="1:10">
      <c r="A636" s="18">
        <v>44965</v>
      </c>
      <c r="B636" s="19" t="s">
        <v>1902</v>
      </c>
      <c r="C636" s="19" t="s">
        <v>1898</v>
      </c>
      <c r="D636" s="19" t="s">
        <v>1879</v>
      </c>
      <c r="E636" s="19" t="s">
        <v>1851</v>
      </c>
      <c r="F636" s="19" t="s">
        <v>1865</v>
      </c>
      <c r="G636" s="19" t="s">
        <v>1890</v>
      </c>
      <c r="H636" s="19">
        <v>7</v>
      </c>
      <c r="I636" s="19">
        <v>1319.32</v>
      </c>
      <c r="J636" s="19">
        <v>9235.24</v>
      </c>
    </row>
    <row r="637" ht="15.25" spans="1:10">
      <c r="A637" s="18" t="s">
        <v>2016</v>
      </c>
      <c r="B637" s="19" t="s">
        <v>1871</v>
      </c>
      <c r="C637" s="19" t="s">
        <v>1849</v>
      </c>
      <c r="D637" s="19" t="s">
        <v>1850</v>
      </c>
      <c r="E637" s="19" t="s">
        <v>1851</v>
      </c>
      <c r="F637" s="19" t="s">
        <v>1852</v>
      </c>
      <c r="G637" s="19" t="s">
        <v>1950</v>
      </c>
      <c r="H637" s="19">
        <v>15</v>
      </c>
      <c r="I637" s="19">
        <v>2698.6</v>
      </c>
      <c r="J637" s="19">
        <v>40479</v>
      </c>
    </row>
    <row r="638" ht="15.25" spans="1:10">
      <c r="A638" s="18" t="s">
        <v>1959</v>
      </c>
      <c r="B638" s="19" t="s">
        <v>1861</v>
      </c>
      <c r="C638" s="19" t="s">
        <v>1602</v>
      </c>
      <c r="D638" s="19" t="s">
        <v>1862</v>
      </c>
      <c r="E638" s="19" t="s">
        <v>1858</v>
      </c>
      <c r="F638" s="19" t="s">
        <v>1859</v>
      </c>
      <c r="G638" s="19" t="s">
        <v>1922</v>
      </c>
      <c r="H638" s="19">
        <v>19</v>
      </c>
      <c r="I638" s="19">
        <v>4364.64</v>
      </c>
      <c r="J638" s="19">
        <v>82928.16</v>
      </c>
    </row>
    <row r="639" ht="15.25" spans="1:10">
      <c r="A639" s="18" t="s">
        <v>2042</v>
      </c>
      <c r="B639" s="19" t="s">
        <v>1889</v>
      </c>
      <c r="C639" s="19" t="s">
        <v>1864</v>
      </c>
      <c r="D639" s="19" t="s">
        <v>1857</v>
      </c>
      <c r="E639" s="19" t="s">
        <v>1858</v>
      </c>
      <c r="F639" s="19" t="s">
        <v>1852</v>
      </c>
      <c r="G639" s="19" t="s">
        <v>1910</v>
      </c>
      <c r="H639" s="19">
        <v>8</v>
      </c>
      <c r="I639" s="19">
        <v>4740.97</v>
      </c>
      <c r="J639" s="19">
        <v>37927.76</v>
      </c>
    </row>
    <row r="640" ht="15.25" spans="1:10">
      <c r="A640" s="18" t="s">
        <v>1980</v>
      </c>
      <c r="B640" s="19" t="s">
        <v>1871</v>
      </c>
      <c r="C640" s="19" t="s">
        <v>1875</v>
      </c>
      <c r="D640" s="19" t="s">
        <v>1862</v>
      </c>
      <c r="E640" s="19" t="s">
        <v>1858</v>
      </c>
      <c r="F640" s="19" t="s">
        <v>1859</v>
      </c>
      <c r="G640" s="19" t="s">
        <v>1922</v>
      </c>
      <c r="H640" s="19">
        <v>4</v>
      </c>
      <c r="I640" s="19">
        <v>917.97</v>
      </c>
      <c r="J640" s="19">
        <v>3671.88</v>
      </c>
    </row>
    <row r="641" ht="15.25" spans="1:10">
      <c r="A641" s="18">
        <v>45174</v>
      </c>
      <c r="B641" s="19" t="s">
        <v>1871</v>
      </c>
      <c r="C641" s="19" t="s">
        <v>1898</v>
      </c>
      <c r="D641" s="19" t="s">
        <v>1879</v>
      </c>
      <c r="E641" s="19" t="s">
        <v>1851</v>
      </c>
      <c r="F641" s="19" t="s">
        <v>1865</v>
      </c>
      <c r="G641" s="19" t="s">
        <v>1886</v>
      </c>
      <c r="H641" s="19">
        <v>10</v>
      </c>
      <c r="I641" s="19">
        <v>224.53</v>
      </c>
      <c r="J641" s="19">
        <v>2245.3</v>
      </c>
    </row>
    <row r="642" ht="15.25" spans="1:10">
      <c r="A642" s="18" t="s">
        <v>2093</v>
      </c>
      <c r="B642" s="19" t="s">
        <v>1855</v>
      </c>
      <c r="C642" s="19" t="s">
        <v>1589</v>
      </c>
      <c r="D642" s="19" t="s">
        <v>1884</v>
      </c>
      <c r="E642" s="19" t="s">
        <v>1895</v>
      </c>
      <c r="F642" s="19" t="s">
        <v>1859</v>
      </c>
      <c r="G642" s="19" t="s">
        <v>1922</v>
      </c>
      <c r="H642" s="19">
        <v>1</v>
      </c>
      <c r="I642" s="19">
        <v>3246.08</v>
      </c>
      <c r="J642" s="19">
        <v>3246.08</v>
      </c>
    </row>
    <row r="643" ht="15.25" spans="1:10">
      <c r="A643" s="18" t="s">
        <v>1982</v>
      </c>
      <c r="B643" s="19" t="s">
        <v>1861</v>
      </c>
      <c r="C643" s="19" t="s">
        <v>1849</v>
      </c>
      <c r="D643" s="19" t="s">
        <v>1850</v>
      </c>
      <c r="E643" s="19" t="s">
        <v>1851</v>
      </c>
      <c r="F643" s="19" t="s">
        <v>1852</v>
      </c>
      <c r="G643" s="19" t="s">
        <v>1950</v>
      </c>
      <c r="H643" s="19">
        <v>16</v>
      </c>
      <c r="I643" s="19">
        <v>1411.33</v>
      </c>
      <c r="J643" s="19">
        <v>22581.28</v>
      </c>
    </row>
    <row r="644" ht="15.25" spans="1:10">
      <c r="A644" s="18">
        <v>45051</v>
      </c>
      <c r="B644" s="19" t="s">
        <v>1848</v>
      </c>
      <c r="C644" s="19" t="s">
        <v>1626</v>
      </c>
      <c r="D644" s="19" t="s">
        <v>1857</v>
      </c>
      <c r="E644" s="19" t="s">
        <v>1858</v>
      </c>
      <c r="F644" s="19" t="s">
        <v>1865</v>
      </c>
      <c r="G644" s="19" t="s">
        <v>1920</v>
      </c>
      <c r="H644" s="19">
        <v>19</v>
      </c>
      <c r="I644" s="19">
        <v>2174.06</v>
      </c>
      <c r="J644" s="19">
        <v>41307.14</v>
      </c>
    </row>
    <row r="645" ht="15.25" spans="1:10">
      <c r="A645" s="18">
        <v>45203</v>
      </c>
      <c r="B645" s="19" t="s">
        <v>1848</v>
      </c>
      <c r="C645" s="19" t="s">
        <v>1864</v>
      </c>
      <c r="D645" s="19" t="s">
        <v>1857</v>
      </c>
      <c r="E645" s="19" t="s">
        <v>1858</v>
      </c>
      <c r="F645" s="19" t="s">
        <v>1868</v>
      </c>
      <c r="G645" s="19" t="s">
        <v>1899</v>
      </c>
      <c r="H645" s="19">
        <v>2</v>
      </c>
      <c r="I645" s="19">
        <v>1194.4</v>
      </c>
      <c r="J645" s="19">
        <v>2388.8</v>
      </c>
    </row>
    <row r="646" ht="15.25" spans="1:10">
      <c r="A646" s="18" t="s">
        <v>2090</v>
      </c>
      <c r="B646" s="19" t="s">
        <v>1892</v>
      </c>
      <c r="C646" s="19" t="s">
        <v>1898</v>
      </c>
      <c r="D646" s="19" t="s">
        <v>1879</v>
      </c>
      <c r="E646" s="19" t="s">
        <v>1851</v>
      </c>
      <c r="F646" s="19" t="s">
        <v>1865</v>
      </c>
      <c r="G646" s="19" t="s">
        <v>1886</v>
      </c>
      <c r="H646" s="19">
        <v>2</v>
      </c>
      <c r="I646" s="19">
        <v>3726.58</v>
      </c>
      <c r="J646" s="19">
        <v>7453.16</v>
      </c>
    </row>
    <row r="647" ht="15.25" spans="1:10">
      <c r="A647" s="18">
        <v>45144</v>
      </c>
      <c r="B647" s="19" t="s">
        <v>1874</v>
      </c>
      <c r="C647" s="19" t="s">
        <v>1626</v>
      </c>
      <c r="D647" s="19" t="s">
        <v>1857</v>
      </c>
      <c r="E647" s="19" t="s">
        <v>1858</v>
      </c>
      <c r="F647" s="19" t="s">
        <v>1852</v>
      </c>
      <c r="G647" s="19" t="s">
        <v>1934</v>
      </c>
      <c r="H647" s="19">
        <v>5</v>
      </c>
      <c r="I647" s="19">
        <v>1599.65</v>
      </c>
      <c r="J647" s="19">
        <v>7998.25</v>
      </c>
    </row>
    <row r="648" ht="15.25" spans="1:10">
      <c r="A648" s="18" t="s">
        <v>1893</v>
      </c>
      <c r="B648" s="19" t="s">
        <v>1889</v>
      </c>
      <c r="C648" s="19" t="s">
        <v>1903</v>
      </c>
      <c r="D648" s="19" t="s">
        <v>1884</v>
      </c>
      <c r="E648" s="19" t="s">
        <v>1895</v>
      </c>
      <c r="F648" s="19" t="s">
        <v>1852</v>
      </c>
      <c r="G648" s="19" t="s">
        <v>1853</v>
      </c>
      <c r="H648" s="19">
        <v>16</v>
      </c>
      <c r="I648" s="19">
        <v>1628.19</v>
      </c>
      <c r="J648" s="19">
        <v>26051.04</v>
      </c>
    </row>
    <row r="649" ht="15.25" spans="1:10">
      <c r="A649" s="18" t="s">
        <v>2032</v>
      </c>
      <c r="B649" s="19" t="s">
        <v>1889</v>
      </c>
      <c r="C649" s="19" t="s">
        <v>1602</v>
      </c>
      <c r="D649" s="19" t="s">
        <v>1862</v>
      </c>
      <c r="E649" s="19" t="s">
        <v>1858</v>
      </c>
      <c r="F649" s="19" t="s">
        <v>1865</v>
      </c>
      <c r="G649" s="19" t="s">
        <v>1890</v>
      </c>
      <c r="H649" s="19">
        <v>17</v>
      </c>
      <c r="I649" s="19">
        <v>3381.75</v>
      </c>
      <c r="J649" s="19">
        <v>57489.75</v>
      </c>
    </row>
    <row r="650" ht="15.25" spans="1:10">
      <c r="A650" s="18" t="s">
        <v>1952</v>
      </c>
      <c r="B650" s="19" t="s">
        <v>1855</v>
      </c>
      <c r="C650" s="19" t="s">
        <v>1875</v>
      </c>
      <c r="D650" s="19" t="s">
        <v>1862</v>
      </c>
      <c r="E650" s="19" t="s">
        <v>1858</v>
      </c>
      <c r="F650" s="19" t="s">
        <v>1859</v>
      </c>
      <c r="G650" s="19" t="s">
        <v>1860</v>
      </c>
      <c r="H650" s="19">
        <v>18</v>
      </c>
      <c r="I650" s="19">
        <v>3627.09</v>
      </c>
      <c r="J650" s="19">
        <v>65287.62</v>
      </c>
    </row>
    <row r="651" ht="15.25" spans="1:10">
      <c r="A651" s="18" t="s">
        <v>1972</v>
      </c>
      <c r="B651" s="19" t="s">
        <v>1848</v>
      </c>
      <c r="C651" s="19" t="s">
        <v>1898</v>
      </c>
      <c r="D651" s="19" t="s">
        <v>1879</v>
      </c>
      <c r="E651" s="19" t="s">
        <v>1851</v>
      </c>
      <c r="F651" s="19" t="s">
        <v>1868</v>
      </c>
      <c r="G651" s="19" t="s">
        <v>1869</v>
      </c>
      <c r="H651" s="19">
        <v>2</v>
      </c>
      <c r="I651" s="19">
        <v>3106.64</v>
      </c>
      <c r="J651" s="19">
        <v>6213.28</v>
      </c>
    </row>
    <row r="652" ht="15.25" spans="1:10">
      <c r="A652" s="18">
        <v>45202</v>
      </c>
      <c r="B652" s="19" t="s">
        <v>1848</v>
      </c>
      <c r="C652" s="19" t="s">
        <v>1598</v>
      </c>
      <c r="D652" s="19" t="s">
        <v>1850</v>
      </c>
      <c r="E652" s="19" t="s">
        <v>1851</v>
      </c>
      <c r="F652" s="19" t="s">
        <v>1876</v>
      </c>
      <c r="G652" s="19" t="s">
        <v>1883</v>
      </c>
      <c r="H652" s="19">
        <v>15</v>
      </c>
      <c r="I652" s="19">
        <v>4310.01</v>
      </c>
      <c r="J652" s="19">
        <v>64650.15</v>
      </c>
    </row>
    <row r="653" ht="15.25" spans="1:10">
      <c r="A653" s="18">
        <v>44988</v>
      </c>
      <c r="B653" s="19" t="s">
        <v>1878</v>
      </c>
      <c r="C653" s="19" t="s">
        <v>1941</v>
      </c>
      <c r="D653" s="19" t="s">
        <v>1879</v>
      </c>
      <c r="E653" s="19" t="s">
        <v>1851</v>
      </c>
      <c r="F653" s="19" t="s">
        <v>1852</v>
      </c>
      <c r="G653" s="19" t="s">
        <v>1853</v>
      </c>
      <c r="H653" s="19">
        <v>14</v>
      </c>
      <c r="I653" s="19">
        <v>3352.19</v>
      </c>
      <c r="J653" s="19">
        <v>46930.66</v>
      </c>
    </row>
    <row r="654" ht="15.25" spans="1:10">
      <c r="A654" s="18" t="s">
        <v>2054</v>
      </c>
      <c r="B654" s="19" t="s">
        <v>1867</v>
      </c>
      <c r="C654" s="19" t="s">
        <v>1903</v>
      </c>
      <c r="D654" s="19" t="s">
        <v>1884</v>
      </c>
      <c r="E654" s="19" t="s">
        <v>1895</v>
      </c>
      <c r="F654" s="19" t="s">
        <v>1876</v>
      </c>
      <c r="G654" s="19" t="s">
        <v>1926</v>
      </c>
      <c r="H654" s="19">
        <v>18</v>
      </c>
      <c r="I654" s="19">
        <v>214.47</v>
      </c>
      <c r="J654" s="19">
        <v>3860.46</v>
      </c>
    </row>
    <row r="655" ht="15.25" spans="1:10">
      <c r="A655" s="18" t="s">
        <v>1992</v>
      </c>
      <c r="B655" s="19" t="s">
        <v>1848</v>
      </c>
      <c r="C655" s="19" t="s">
        <v>1906</v>
      </c>
      <c r="D655" s="19" t="s">
        <v>1862</v>
      </c>
      <c r="E655" s="19" t="s">
        <v>1858</v>
      </c>
      <c r="F655" s="19" t="s">
        <v>1868</v>
      </c>
      <c r="G655" s="19" t="s">
        <v>1869</v>
      </c>
      <c r="H655" s="19">
        <v>3</v>
      </c>
      <c r="I655" s="19">
        <v>1810.87</v>
      </c>
      <c r="J655" s="19">
        <v>5432.61</v>
      </c>
    </row>
    <row r="656" ht="15.25" spans="1:10">
      <c r="A656" s="18" t="s">
        <v>1974</v>
      </c>
      <c r="B656" s="19" t="s">
        <v>1892</v>
      </c>
      <c r="C656" s="19" t="s">
        <v>1894</v>
      </c>
      <c r="D656" s="19" t="s">
        <v>1884</v>
      </c>
      <c r="E656" s="19" t="s">
        <v>1895</v>
      </c>
      <c r="F656" s="19" t="s">
        <v>1852</v>
      </c>
      <c r="G656" s="19" t="s">
        <v>1934</v>
      </c>
      <c r="H656" s="19">
        <v>3</v>
      </c>
      <c r="I656" s="19">
        <v>1105.46</v>
      </c>
      <c r="J656" s="19">
        <v>3316.38</v>
      </c>
    </row>
    <row r="657" ht="15.25" spans="1:10">
      <c r="A657" s="18" t="s">
        <v>2092</v>
      </c>
      <c r="B657" s="19" t="s">
        <v>1902</v>
      </c>
      <c r="C657" s="19" t="s">
        <v>1593</v>
      </c>
      <c r="D657" s="19" t="s">
        <v>1850</v>
      </c>
      <c r="E657" s="19" t="s">
        <v>1851</v>
      </c>
      <c r="F657" s="19" t="s">
        <v>1868</v>
      </c>
      <c r="G657" s="19" t="s">
        <v>1899</v>
      </c>
      <c r="H657" s="19">
        <v>10</v>
      </c>
      <c r="I657" s="19">
        <v>3707.43</v>
      </c>
      <c r="J657" s="19">
        <v>37074.3</v>
      </c>
    </row>
    <row r="658" ht="15.25" spans="1:10">
      <c r="A658" s="18">
        <v>45209</v>
      </c>
      <c r="B658" s="19" t="s">
        <v>1889</v>
      </c>
      <c r="C658" s="19" t="s">
        <v>1864</v>
      </c>
      <c r="D658" s="19" t="s">
        <v>1857</v>
      </c>
      <c r="E658" s="19" t="s">
        <v>1858</v>
      </c>
      <c r="F658" s="19" t="s">
        <v>1876</v>
      </c>
      <c r="G658" s="19" t="s">
        <v>1926</v>
      </c>
      <c r="H658" s="19">
        <v>18</v>
      </c>
      <c r="I658" s="19">
        <v>584.4</v>
      </c>
      <c r="J658" s="19">
        <v>10519.2</v>
      </c>
    </row>
    <row r="659" ht="15.25" spans="1:10">
      <c r="A659" s="18" t="s">
        <v>2076</v>
      </c>
      <c r="B659" s="19" t="s">
        <v>1855</v>
      </c>
      <c r="C659" s="19" t="s">
        <v>1906</v>
      </c>
      <c r="D659" s="19" t="s">
        <v>1862</v>
      </c>
      <c r="E659" s="19" t="s">
        <v>1858</v>
      </c>
      <c r="F659" s="19" t="s">
        <v>1852</v>
      </c>
      <c r="G659" s="19" t="s">
        <v>1934</v>
      </c>
      <c r="H659" s="19">
        <v>1</v>
      </c>
      <c r="I659" s="19">
        <v>2498.74</v>
      </c>
      <c r="J659" s="19">
        <v>2498.74</v>
      </c>
    </row>
    <row r="660" ht="15.25" spans="1:10">
      <c r="A660" s="18">
        <v>45110</v>
      </c>
      <c r="B660" s="19" t="s">
        <v>1871</v>
      </c>
      <c r="C660" s="19" t="s">
        <v>1602</v>
      </c>
      <c r="D660" s="19" t="s">
        <v>1862</v>
      </c>
      <c r="E660" s="19" t="s">
        <v>1858</v>
      </c>
      <c r="F660" s="19" t="s">
        <v>1876</v>
      </c>
      <c r="G660" s="19" t="s">
        <v>1926</v>
      </c>
      <c r="H660" s="19">
        <v>17</v>
      </c>
      <c r="I660" s="19">
        <v>2460.73</v>
      </c>
      <c r="J660" s="19">
        <v>41832.41</v>
      </c>
    </row>
    <row r="661" ht="15.25" spans="1:10">
      <c r="A661" s="18">
        <v>45261</v>
      </c>
      <c r="B661" s="19" t="s">
        <v>1892</v>
      </c>
      <c r="C661" s="19" t="s">
        <v>1849</v>
      </c>
      <c r="D661" s="19" t="s">
        <v>1850</v>
      </c>
      <c r="E661" s="19" t="s">
        <v>1851</v>
      </c>
      <c r="F661" s="19" t="s">
        <v>1852</v>
      </c>
      <c r="G661" s="19" t="s">
        <v>1853</v>
      </c>
      <c r="H661" s="19">
        <v>13</v>
      </c>
      <c r="I661" s="19">
        <v>4630.98</v>
      </c>
      <c r="J661" s="19">
        <v>60202.74</v>
      </c>
    </row>
    <row r="662" ht="15.25" spans="1:10">
      <c r="A662" s="18">
        <v>45241</v>
      </c>
      <c r="B662" s="19" t="s">
        <v>1867</v>
      </c>
      <c r="C662" s="19" t="s">
        <v>1602</v>
      </c>
      <c r="D662" s="19" t="s">
        <v>1862</v>
      </c>
      <c r="E662" s="19" t="s">
        <v>1858</v>
      </c>
      <c r="F662" s="19" t="s">
        <v>1876</v>
      </c>
      <c r="G662" s="19" t="s">
        <v>1930</v>
      </c>
      <c r="H662" s="19">
        <v>3</v>
      </c>
      <c r="I662" s="19">
        <v>4324.88</v>
      </c>
      <c r="J662" s="19">
        <v>12974.64</v>
      </c>
    </row>
    <row r="663" ht="15.25" spans="1:10">
      <c r="A663" s="18">
        <v>45270</v>
      </c>
      <c r="B663" s="19" t="s">
        <v>1848</v>
      </c>
      <c r="C663" s="19" t="s">
        <v>1894</v>
      </c>
      <c r="D663" s="19" t="s">
        <v>1884</v>
      </c>
      <c r="E663" s="19" t="s">
        <v>1895</v>
      </c>
      <c r="F663" s="19" t="s">
        <v>1876</v>
      </c>
      <c r="G663" s="19" t="s">
        <v>1930</v>
      </c>
      <c r="H663" s="19">
        <v>20</v>
      </c>
      <c r="I663" s="19">
        <v>4049.4</v>
      </c>
      <c r="J663" s="19">
        <v>80988</v>
      </c>
    </row>
    <row r="664" ht="15.25" spans="1:10">
      <c r="A664" s="18">
        <v>45148</v>
      </c>
      <c r="B664" s="19" t="s">
        <v>1855</v>
      </c>
      <c r="C664" s="19" t="s">
        <v>1941</v>
      </c>
      <c r="D664" s="19" t="s">
        <v>1879</v>
      </c>
      <c r="E664" s="19" t="s">
        <v>1851</v>
      </c>
      <c r="F664" s="19" t="s">
        <v>1868</v>
      </c>
      <c r="G664" s="19" t="s">
        <v>1917</v>
      </c>
      <c r="H664" s="19">
        <v>16</v>
      </c>
      <c r="I664" s="19">
        <v>2347.21</v>
      </c>
      <c r="J664" s="19">
        <v>37555.36</v>
      </c>
    </row>
    <row r="665" ht="15.25" spans="1:10">
      <c r="A665" s="18" t="s">
        <v>1939</v>
      </c>
      <c r="B665" s="19" t="s">
        <v>1855</v>
      </c>
      <c r="C665" s="19" t="s">
        <v>1598</v>
      </c>
      <c r="D665" s="19" t="s">
        <v>1850</v>
      </c>
      <c r="E665" s="19" t="s">
        <v>1851</v>
      </c>
      <c r="F665" s="19" t="s">
        <v>1865</v>
      </c>
      <c r="G665" s="19" t="s">
        <v>1920</v>
      </c>
      <c r="H665" s="19">
        <v>2</v>
      </c>
      <c r="I665" s="19">
        <v>3743.52</v>
      </c>
      <c r="J665" s="19">
        <v>7487.04</v>
      </c>
    </row>
    <row r="666" ht="15.25" spans="1:10">
      <c r="A666" s="18" t="s">
        <v>1962</v>
      </c>
      <c r="B666" s="19" t="s">
        <v>1861</v>
      </c>
      <c r="C666" s="19" t="s">
        <v>1875</v>
      </c>
      <c r="D666" s="19" t="s">
        <v>1862</v>
      </c>
      <c r="E666" s="19" t="s">
        <v>1858</v>
      </c>
      <c r="F666" s="19" t="s">
        <v>1868</v>
      </c>
      <c r="G666" s="19" t="s">
        <v>1907</v>
      </c>
      <c r="H666" s="19">
        <v>8</v>
      </c>
      <c r="I666" s="19">
        <v>303.48</v>
      </c>
      <c r="J666" s="19">
        <v>2427.84</v>
      </c>
    </row>
    <row r="667" ht="15.25" spans="1:10">
      <c r="A667" s="18" t="s">
        <v>2074</v>
      </c>
      <c r="B667" s="19" t="s">
        <v>1889</v>
      </c>
      <c r="C667" s="19" t="s">
        <v>1856</v>
      </c>
      <c r="D667" s="19" t="s">
        <v>1857</v>
      </c>
      <c r="E667" s="19" t="s">
        <v>1858</v>
      </c>
      <c r="F667" s="19" t="s">
        <v>1852</v>
      </c>
      <c r="G667" s="19" t="s">
        <v>1910</v>
      </c>
      <c r="H667" s="19">
        <v>7</v>
      </c>
      <c r="I667" s="19">
        <v>1373.41</v>
      </c>
      <c r="J667" s="19">
        <v>9613.87</v>
      </c>
    </row>
    <row r="668" ht="15.25" spans="1:10">
      <c r="A668" s="18" t="s">
        <v>2094</v>
      </c>
      <c r="B668" s="19" t="s">
        <v>1889</v>
      </c>
      <c r="C668" s="19" t="s">
        <v>1903</v>
      </c>
      <c r="D668" s="19" t="s">
        <v>1884</v>
      </c>
      <c r="E668" s="19" t="s">
        <v>1895</v>
      </c>
      <c r="F668" s="19" t="s">
        <v>1876</v>
      </c>
      <c r="G668" s="19" t="s">
        <v>1926</v>
      </c>
      <c r="H668" s="19">
        <v>10</v>
      </c>
      <c r="I668" s="19">
        <v>3048.2</v>
      </c>
      <c r="J668" s="19">
        <v>30482</v>
      </c>
    </row>
    <row r="669" ht="15.25" spans="1:10">
      <c r="A669" s="18" t="s">
        <v>2095</v>
      </c>
      <c r="B669" s="19" t="s">
        <v>1892</v>
      </c>
      <c r="C669" s="19" t="s">
        <v>1610</v>
      </c>
      <c r="D669" s="19" t="s">
        <v>1879</v>
      </c>
      <c r="E669" s="19" t="s">
        <v>1851</v>
      </c>
      <c r="F669" s="19" t="s">
        <v>1852</v>
      </c>
      <c r="G669" s="19" t="s">
        <v>1910</v>
      </c>
      <c r="H669" s="19">
        <v>20</v>
      </c>
      <c r="I669" s="19">
        <v>2818.78</v>
      </c>
      <c r="J669" s="19">
        <v>56375.6</v>
      </c>
    </row>
    <row r="670" ht="15.25" spans="1:10">
      <c r="A670" s="18">
        <v>45027</v>
      </c>
      <c r="B670" s="19" t="s">
        <v>1855</v>
      </c>
      <c r="C670" s="19" t="s">
        <v>1598</v>
      </c>
      <c r="D670" s="19" t="s">
        <v>1850</v>
      </c>
      <c r="E670" s="19" t="s">
        <v>1851</v>
      </c>
      <c r="F670" s="19" t="s">
        <v>1865</v>
      </c>
      <c r="G670" s="19" t="s">
        <v>1920</v>
      </c>
      <c r="H670" s="19">
        <v>1</v>
      </c>
      <c r="I670" s="19">
        <v>4647.3</v>
      </c>
      <c r="J670" s="19">
        <v>4647.3</v>
      </c>
    </row>
    <row r="671" ht="15.25" spans="1:10">
      <c r="A671" s="18">
        <v>45109</v>
      </c>
      <c r="B671" s="19" t="s">
        <v>1861</v>
      </c>
      <c r="C671" s="19" t="s">
        <v>1898</v>
      </c>
      <c r="D671" s="19" t="s">
        <v>1879</v>
      </c>
      <c r="E671" s="19" t="s">
        <v>1851</v>
      </c>
      <c r="F671" s="19" t="s">
        <v>1865</v>
      </c>
      <c r="G671" s="19" t="s">
        <v>1866</v>
      </c>
      <c r="H671" s="19">
        <v>20</v>
      </c>
      <c r="I671" s="19">
        <v>2302.47</v>
      </c>
      <c r="J671" s="19">
        <v>46049.4</v>
      </c>
    </row>
    <row r="672" ht="15.25" spans="1:10">
      <c r="A672" s="18" t="s">
        <v>1985</v>
      </c>
      <c r="B672" s="19" t="s">
        <v>1902</v>
      </c>
      <c r="C672" s="19" t="s">
        <v>1903</v>
      </c>
      <c r="D672" s="19" t="s">
        <v>1884</v>
      </c>
      <c r="E672" s="19" t="s">
        <v>1895</v>
      </c>
      <c r="F672" s="19" t="s">
        <v>1852</v>
      </c>
      <c r="G672" s="19" t="s">
        <v>1910</v>
      </c>
      <c r="H672" s="19">
        <v>17</v>
      </c>
      <c r="I672" s="19">
        <v>2805.45</v>
      </c>
      <c r="J672" s="19">
        <v>47692.65</v>
      </c>
    </row>
    <row r="673" ht="15.25" spans="1:10">
      <c r="A673" s="18" t="s">
        <v>2096</v>
      </c>
      <c r="B673" s="19" t="s">
        <v>1902</v>
      </c>
      <c r="C673" s="19" t="s">
        <v>1856</v>
      </c>
      <c r="D673" s="19" t="s">
        <v>1857</v>
      </c>
      <c r="E673" s="19" t="s">
        <v>1858</v>
      </c>
      <c r="F673" s="19" t="s">
        <v>1876</v>
      </c>
      <c r="G673" s="19" t="s">
        <v>1883</v>
      </c>
      <c r="H673" s="19">
        <v>3</v>
      </c>
      <c r="I673" s="19">
        <v>413.26</v>
      </c>
      <c r="J673" s="19">
        <v>1239.78</v>
      </c>
    </row>
    <row r="674" ht="15.25" spans="1:10">
      <c r="A674" s="18" t="s">
        <v>2089</v>
      </c>
      <c r="B674" s="19" t="s">
        <v>1871</v>
      </c>
      <c r="C674" s="19" t="s">
        <v>1898</v>
      </c>
      <c r="D674" s="19" t="s">
        <v>1879</v>
      </c>
      <c r="E674" s="19" t="s">
        <v>1851</v>
      </c>
      <c r="F674" s="19" t="s">
        <v>1865</v>
      </c>
      <c r="G674" s="19" t="s">
        <v>1886</v>
      </c>
      <c r="H674" s="19">
        <v>17</v>
      </c>
      <c r="I674" s="19">
        <v>3203.04</v>
      </c>
      <c r="J674" s="19">
        <v>54451.68</v>
      </c>
    </row>
    <row r="675" ht="15.25" spans="1:10">
      <c r="A675" s="18" t="s">
        <v>2096</v>
      </c>
      <c r="B675" s="19" t="s">
        <v>1874</v>
      </c>
      <c r="C675" s="19" t="s">
        <v>1610</v>
      </c>
      <c r="D675" s="19" t="s">
        <v>1879</v>
      </c>
      <c r="E675" s="19" t="s">
        <v>1851</v>
      </c>
      <c r="F675" s="19" t="s">
        <v>1865</v>
      </c>
      <c r="G675" s="19" t="s">
        <v>1866</v>
      </c>
      <c r="H675" s="19">
        <v>4</v>
      </c>
      <c r="I675" s="19">
        <v>1906.89</v>
      </c>
      <c r="J675" s="19">
        <v>7627.56</v>
      </c>
    </row>
    <row r="676" ht="15.25" spans="1:10">
      <c r="A676" s="18" t="s">
        <v>1948</v>
      </c>
      <c r="B676" s="19" t="s">
        <v>1892</v>
      </c>
      <c r="C676" s="19" t="s">
        <v>1894</v>
      </c>
      <c r="D676" s="19" t="s">
        <v>1884</v>
      </c>
      <c r="E676" s="19" t="s">
        <v>1895</v>
      </c>
      <c r="F676" s="19" t="s">
        <v>1868</v>
      </c>
      <c r="G676" s="19" t="s">
        <v>1917</v>
      </c>
      <c r="H676" s="19">
        <v>14</v>
      </c>
      <c r="I676" s="19">
        <v>3829.68</v>
      </c>
      <c r="J676" s="19">
        <v>53615.52</v>
      </c>
    </row>
    <row r="677" ht="15.25" spans="1:10">
      <c r="A677" s="18" t="s">
        <v>2097</v>
      </c>
      <c r="B677" s="19" t="s">
        <v>1855</v>
      </c>
      <c r="C677" s="19" t="s">
        <v>1626</v>
      </c>
      <c r="D677" s="19" t="s">
        <v>1857</v>
      </c>
      <c r="E677" s="19" t="s">
        <v>1858</v>
      </c>
      <c r="F677" s="19" t="s">
        <v>1859</v>
      </c>
      <c r="G677" s="19" t="s">
        <v>1860</v>
      </c>
      <c r="H677" s="19">
        <v>19</v>
      </c>
      <c r="I677" s="19">
        <v>2636.08</v>
      </c>
      <c r="J677" s="19">
        <v>50085.52</v>
      </c>
    </row>
    <row r="678" ht="15.25" spans="1:10">
      <c r="A678" s="18">
        <v>45238</v>
      </c>
      <c r="B678" s="19" t="s">
        <v>1848</v>
      </c>
      <c r="C678" s="19" t="s">
        <v>1856</v>
      </c>
      <c r="D678" s="19" t="s">
        <v>1857</v>
      </c>
      <c r="E678" s="19" t="s">
        <v>1858</v>
      </c>
      <c r="F678" s="19" t="s">
        <v>1876</v>
      </c>
      <c r="G678" s="19" t="s">
        <v>1877</v>
      </c>
      <c r="H678" s="19">
        <v>13</v>
      </c>
      <c r="I678" s="19">
        <v>3994.86</v>
      </c>
      <c r="J678" s="19">
        <v>51933.18</v>
      </c>
    </row>
    <row r="679" ht="15.25" spans="1:10">
      <c r="A679" s="18" t="s">
        <v>1847</v>
      </c>
      <c r="B679" s="19" t="s">
        <v>1871</v>
      </c>
      <c r="C679" s="19" t="s">
        <v>1610</v>
      </c>
      <c r="D679" s="19" t="s">
        <v>1879</v>
      </c>
      <c r="E679" s="19" t="s">
        <v>1851</v>
      </c>
      <c r="F679" s="19" t="s">
        <v>1859</v>
      </c>
      <c r="G679" s="19" t="s">
        <v>1872</v>
      </c>
      <c r="H679" s="19">
        <v>12</v>
      </c>
      <c r="I679" s="19">
        <v>1554.75</v>
      </c>
      <c r="J679" s="19">
        <v>18657</v>
      </c>
    </row>
    <row r="680" ht="15.25" spans="1:10">
      <c r="A680" s="18">
        <v>45108</v>
      </c>
      <c r="B680" s="19" t="s">
        <v>1874</v>
      </c>
      <c r="C680" s="19" t="s">
        <v>1875</v>
      </c>
      <c r="D680" s="19" t="s">
        <v>1862</v>
      </c>
      <c r="E680" s="19" t="s">
        <v>1858</v>
      </c>
      <c r="F680" s="19" t="s">
        <v>1859</v>
      </c>
      <c r="G680" s="19" t="s">
        <v>1947</v>
      </c>
      <c r="H680" s="19">
        <v>9</v>
      </c>
      <c r="I680" s="19">
        <v>4674.04</v>
      </c>
      <c r="J680" s="19">
        <v>42066.36</v>
      </c>
    </row>
    <row r="681" ht="15.25" spans="1:10">
      <c r="A681" s="18">
        <v>45018</v>
      </c>
      <c r="B681" s="19" t="s">
        <v>1874</v>
      </c>
      <c r="C681" s="19" t="s">
        <v>1941</v>
      </c>
      <c r="D681" s="19" t="s">
        <v>1879</v>
      </c>
      <c r="E681" s="19" t="s">
        <v>1851</v>
      </c>
      <c r="F681" s="19" t="s">
        <v>1852</v>
      </c>
      <c r="G681" s="19" t="s">
        <v>1853</v>
      </c>
      <c r="H681" s="19">
        <v>2</v>
      </c>
      <c r="I681" s="19">
        <v>1252.3</v>
      </c>
      <c r="J681" s="19">
        <v>2504.6</v>
      </c>
    </row>
    <row r="682" ht="15.25" spans="1:10">
      <c r="A682" s="18" t="s">
        <v>2098</v>
      </c>
      <c r="B682" s="19" t="s">
        <v>1867</v>
      </c>
      <c r="C682" s="19" t="s">
        <v>1906</v>
      </c>
      <c r="D682" s="19" t="s">
        <v>1862</v>
      </c>
      <c r="E682" s="19" t="s">
        <v>1858</v>
      </c>
      <c r="F682" s="19" t="s">
        <v>1859</v>
      </c>
      <c r="G682" s="19" t="s">
        <v>1872</v>
      </c>
      <c r="H682" s="19">
        <v>15</v>
      </c>
      <c r="I682" s="19">
        <v>1738.86</v>
      </c>
      <c r="J682" s="19">
        <v>26082.9</v>
      </c>
    </row>
    <row r="683" ht="15.25" spans="1:10">
      <c r="A683" s="18" t="s">
        <v>1952</v>
      </c>
      <c r="B683" s="19" t="s">
        <v>1855</v>
      </c>
      <c r="C683" s="19" t="s">
        <v>1898</v>
      </c>
      <c r="D683" s="19" t="s">
        <v>1879</v>
      </c>
      <c r="E683" s="19" t="s">
        <v>1851</v>
      </c>
      <c r="F683" s="19" t="s">
        <v>1865</v>
      </c>
      <c r="G683" s="19" t="s">
        <v>1886</v>
      </c>
      <c r="H683" s="19">
        <v>4</v>
      </c>
      <c r="I683" s="19">
        <v>2527.15</v>
      </c>
      <c r="J683" s="19">
        <v>10108.6</v>
      </c>
    </row>
    <row r="684" ht="15.25" spans="1:10">
      <c r="A684" s="18">
        <v>44928</v>
      </c>
      <c r="B684" s="19" t="s">
        <v>1867</v>
      </c>
      <c r="C684" s="19" t="s">
        <v>1610</v>
      </c>
      <c r="D684" s="19" t="s">
        <v>1879</v>
      </c>
      <c r="E684" s="19" t="s">
        <v>1851</v>
      </c>
      <c r="F684" s="19" t="s">
        <v>1865</v>
      </c>
      <c r="G684" s="19" t="s">
        <v>1866</v>
      </c>
      <c r="H684" s="19">
        <v>17</v>
      </c>
      <c r="I684" s="19">
        <v>4247.56</v>
      </c>
      <c r="J684" s="19">
        <v>72208.52</v>
      </c>
    </row>
    <row r="685" ht="15.25" spans="1:10">
      <c r="A685" s="18" t="s">
        <v>2006</v>
      </c>
      <c r="B685" s="19" t="s">
        <v>1892</v>
      </c>
      <c r="C685" s="19" t="s">
        <v>1626</v>
      </c>
      <c r="D685" s="19" t="s">
        <v>1857</v>
      </c>
      <c r="E685" s="19" t="s">
        <v>1858</v>
      </c>
      <c r="F685" s="19" t="s">
        <v>1868</v>
      </c>
      <c r="G685" s="19" t="s">
        <v>1869</v>
      </c>
      <c r="H685" s="19">
        <v>8</v>
      </c>
      <c r="I685" s="19">
        <v>978.4</v>
      </c>
      <c r="J685" s="19">
        <v>7827.2</v>
      </c>
    </row>
    <row r="686" ht="15.25" spans="1:10">
      <c r="A686" s="18">
        <v>44993</v>
      </c>
      <c r="B686" s="19" t="s">
        <v>1892</v>
      </c>
      <c r="C686" s="19" t="s">
        <v>1941</v>
      </c>
      <c r="D686" s="19" t="s">
        <v>1879</v>
      </c>
      <c r="E686" s="19" t="s">
        <v>1851</v>
      </c>
      <c r="F686" s="19" t="s">
        <v>1852</v>
      </c>
      <c r="G686" s="19" t="s">
        <v>1934</v>
      </c>
      <c r="H686" s="19">
        <v>5</v>
      </c>
      <c r="I686" s="19">
        <v>1530.16</v>
      </c>
      <c r="J686" s="19">
        <v>7650.8</v>
      </c>
    </row>
    <row r="687" ht="15.25" spans="1:10">
      <c r="A687" s="18">
        <v>45048</v>
      </c>
      <c r="B687" s="19" t="s">
        <v>1902</v>
      </c>
      <c r="C687" s="19" t="s">
        <v>1856</v>
      </c>
      <c r="D687" s="19" t="s">
        <v>1857</v>
      </c>
      <c r="E687" s="19" t="s">
        <v>1858</v>
      </c>
      <c r="F687" s="19" t="s">
        <v>1852</v>
      </c>
      <c r="G687" s="19" t="s">
        <v>1934</v>
      </c>
      <c r="H687" s="19">
        <v>15</v>
      </c>
      <c r="I687" s="19">
        <v>4748.62</v>
      </c>
      <c r="J687" s="19">
        <v>71229.3</v>
      </c>
    </row>
    <row r="688" ht="15.25" spans="1:10">
      <c r="A688" s="18" t="s">
        <v>2086</v>
      </c>
      <c r="B688" s="19" t="s">
        <v>1892</v>
      </c>
      <c r="C688" s="19" t="s">
        <v>1602</v>
      </c>
      <c r="D688" s="19" t="s">
        <v>1862</v>
      </c>
      <c r="E688" s="19" t="s">
        <v>1858</v>
      </c>
      <c r="F688" s="19" t="s">
        <v>1852</v>
      </c>
      <c r="G688" s="19" t="s">
        <v>1853</v>
      </c>
      <c r="H688" s="19">
        <v>5</v>
      </c>
      <c r="I688" s="19">
        <v>4402.72</v>
      </c>
      <c r="J688" s="19">
        <v>22013.6</v>
      </c>
    </row>
    <row r="689" ht="15.25" spans="1:10">
      <c r="A689" s="18">
        <v>45206</v>
      </c>
      <c r="B689" s="19" t="s">
        <v>1848</v>
      </c>
      <c r="C689" s="19" t="s">
        <v>1593</v>
      </c>
      <c r="D689" s="19" t="s">
        <v>1850</v>
      </c>
      <c r="E689" s="19" t="s">
        <v>1851</v>
      </c>
      <c r="F689" s="19" t="s">
        <v>1865</v>
      </c>
      <c r="G689" s="19" t="s">
        <v>1866</v>
      </c>
      <c r="H689" s="19">
        <v>16</v>
      </c>
      <c r="I689" s="19">
        <v>3858.12</v>
      </c>
      <c r="J689" s="19">
        <v>61729.92</v>
      </c>
    </row>
    <row r="690" ht="15.25" spans="1:10">
      <c r="A690" s="18" t="s">
        <v>1974</v>
      </c>
      <c r="B690" s="19" t="s">
        <v>1861</v>
      </c>
      <c r="C690" s="19" t="s">
        <v>1941</v>
      </c>
      <c r="D690" s="19" t="s">
        <v>1879</v>
      </c>
      <c r="E690" s="19" t="s">
        <v>1851</v>
      </c>
      <c r="F690" s="19" t="s">
        <v>1868</v>
      </c>
      <c r="G690" s="19" t="s">
        <v>1899</v>
      </c>
      <c r="H690" s="19">
        <v>10</v>
      </c>
      <c r="I690" s="19">
        <v>4939.99</v>
      </c>
      <c r="J690" s="19">
        <v>49399.9</v>
      </c>
    </row>
    <row r="691" ht="15.25" spans="1:10">
      <c r="A691" s="18" t="s">
        <v>1912</v>
      </c>
      <c r="B691" s="19" t="s">
        <v>1848</v>
      </c>
      <c r="C691" s="19" t="s">
        <v>1856</v>
      </c>
      <c r="D691" s="19" t="s">
        <v>1857</v>
      </c>
      <c r="E691" s="19" t="s">
        <v>1858</v>
      </c>
      <c r="F691" s="19" t="s">
        <v>1852</v>
      </c>
      <c r="G691" s="19" t="s">
        <v>1950</v>
      </c>
      <c r="H691" s="19">
        <v>8</v>
      </c>
      <c r="I691" s="19">
        <v>2394.87</v>
      </c>
      <c r="J691" s="19">
        <v>19158.96</v>
      </c>
    </row>
    <row r="692" ht="15.25" spans="1:10">
      <c r="A692" s="18" t="s">
        <v>2018</v>
      </c>
      <c r="B692" s="19" t="s">
        <v>1855</v>
      </c>
      <c r="C692" s="19" t="s">
        <v>1941</v>
      </c>
      <c r="D692" s="19" t="s">
        <v>1879</v>
      </c>
      <c r="E692" s="19" t="s">
        <v>1851</v>
      </c>
      <c r="F692" s="19" t="s">
        <v>1865</v>
      </c>
      <c r="G692" s="19" t="s">
        <v>1920</v>
      </c>
      <c r="H692" s="19">
        <v>11</v>
      </c>
      <c r="I692" s="19">
        <v>3277.74</v>
      </c>
      <c r="J692" s="19">
        <v>36055.14</v>
      </c>
    </row>
    <row r="693" ht="15.25" spans="1:10">
      <c r="A693" s="18" t="s">
        <v>1970</v>
      </c>
      <c r="B693" s="19" t="s">
        <v>1871</v>
      </c>
      <c r="C693" s="19" t="s">
        <v>1602</v>
      </c>
      <c r="D693" s="19" t="s">
        <v>1862</v>
      </c>
      <c r="E693" s="19" t="s">
        <v>1858</v>
      </c>
      <c r="F693" s="19" t="s">
        <v>1852</v>
      </c>
      <c r="G693" s="19" t="s">
        <v>1950</v>
      </c>
      <c r="H693" s="19">
        <v>5</v>
      </c>
      <c r="I693" s="19">
        <v>2411.33</v>
      </c>
      <c r="J693" s="19">
        <v>12056.65</v>
      </c>
    </row>
    <row r="694" ht="15.25" spans="1:10">
      <c r="A694" s="18" t="s">
        <v>1927</v>
      </c>
      <c r="B694" s="19" t="s">
        <v>1861</v>
      </c>
      <c r="C694" s="19" t="s">
        <v>1610</v>
      </c>
      <c r="D694" s="19" t="s">
        <v>1879</v>
      </c>
      <c r="E694" s="19" t="s">
        <v>1851</v>
      </c>
      <c r="F694" s="19" t="s">
        <v>1859</v>
      </c>
      <c r="G694" s="19" t="s">
        <v>1922</v>
      </c>
      <c r="H694" s="19">
        <v>17</v>
      </c>
      <c r="I694" s="19">
        <v>3844.7</v>
      </c>
      <c r="J694" s="19">
        <v>65359.9</v>
      </c>
    </row>
    <row r="695" ht="15.25" spans="1:10">
      <c r="A695" s="18" t="s">
        <v>2000</v>
      </c>
      <c r="B695" s="19" t="s">
        <v>1892</v>
      </c>
      <c r="C695" s="19" t="s">
        <v>1856</v>
      </c>
      <c r="D695" s="19" t="s">
        <v>1857</v>
      </c>
      <c r="E695" s="19" t="s">
        <v>1858</v>
      </c>
      <c r="F695" s="19" t="s">
        <v>1865</v>
      </c>
      <c r="G695" s="19" t="s">
        <v>1890</v>
      </c>
      <c r="H695" s="19">
        <v>14</v>
      </c>
      <c r="I695" s="19">
        <v>816.99</v>
      </c>
      <c r="J695" s="19">
        <v>11437.86</v>
      </c>
    </row>
    <row r="696" ht="15.25" spans="1:10">
      <c r="A696" s="18" t="s">
        <v>2077</v>
      </c>
      <c r="B696" s="19" t="s">
        <v>1878</v>
      </c>
      <c r="C696" s="19" t="s">
        <v>1626</v>
      </c>
      <c r="D696" s="19" t="s">
        <v>1857</v>
      </c>
      <c r="E696" s="19" t="s">
        <v>1858</v>
      </c>
      <c r="F696" s="19" t="s">
        <v>1876</v>
      </c>
      <c r="G696" s="19" t="s">
        <v>1930</v>
      </c>
      <c r="H696" s="19">
        <v>3</v>
      </c>
      <c r="I696" s="19">
        <v>3102.92</v>
      </c>
      <c r="J696" s="19">
        <v>9308.76</v>
      </c>
    </row>
    <row r="697" ht="15.25" spans="1:10">
      <c r="A697" s="18" t="s">
        <v>2011</v>
      </c>
      <c r="B697" s="19" t="s">
        <v>1867</v>
      </c>
      <c r="C697" s="19" t="s">
        <v>1610</v>
      </c>
      <c r="D697" s="19" t="s">
        <v>1879</v>
      </c>
      <c r="E697" s="19" t="s">
        <v>1851</v>
      </c>
      <c r="F697" s="19" t="s">
        <v>1876</v>
      </c>
      <c r="G697" s="19" t="s">
        <v>1883</v>
      </c>
      <c r="H697" s="19">
        <v>11</v>
      </c>
      <c r="I697" s="19">
        <v>490.34</v>
      </c>
      <c r="J697" s="19">
        <v>5393.74</v>
      </c>
    </row>
    <row r="698" ht="15.25" spans="1:10">
      <c r="A698" s="18" t="s">
        <v>2040</v>
      </c>
      <c r="B698" s="19" t="s">
        <v>1874</v>
      </c>
      <c r="C698" s="19" t="s">
        <v>1598</v>
      </c>
      <c r="D698" s="19" t="s">
        <v>1850</v>
      </c>
      <c r="E698" s="19" t="s">
        <v>1851</v>
      </c>
      <c r="F698" s="19" t="s">
        <v>1865</v>
      </c>
      <c r="G698" s="19" t="s">
        <v>1890</v>
      </c>
      <c r="H698" s="19">
        <v>6</v>
      </c>
      <c r="I698" s="19">
        <v>4079.26</v>
      </c>
      <c r="J698" s="19">
        <v>24475.56</v>
      </c>
    </row>
    <row r="699" ht="15.25" spans="1:10">
      <c r="A699" s="18">
        <v>44988</v>
      </c>
      <c r="B699" s="19" t="s">
        <v>1848</v>
      </c>
      <c r="C699" s="19" t="s">
        <v>1589</v>
      </c>
      <c r="D699" s="19" t="s">
        <v>1884</v>
      </c>
      <c r="E699" s="19" t="s">
        <v>1895</v>
      </c>
      <c r="F699" s="19" t="s">
        <v>1852</v>
      </c>
      <c r="G699" s="19" t="s">
        <v>1950</v>
      </c>
      <c r="H699" s="19">
        <v>12</v>
      </c>
      <c r="I699" s="19">
        <v>3229.61</v>
      </c>
      <c r="J699" s="19">
        <v>38755.32</v>
      </c>
    </row>
    <row r="700" ht="15.25" spans="1:10">
      <c r="A700" s="18">
        <v>45179</v>
      </c>
      <c r="B700" s="19" t="s">
        <v>1871</v>
      </c>
      <c r="C700" s="19" t="s">
        <v>1864</v>
      </c>
      <c r="D700" s="19" t="s">
        <v>1857</v>
      </c>
      <c r="E700" s="19" t="s">
        <v>1858</v>
      </c>
      <c r="F700" s="19" t="s">
        <v>1859</v>
      </c>
      <c r="G700" s="19" t="s">
        <v>1922</v>
      </c>
      <c r="H700" s="19">
        <v>16</v>
      </c>
      <c r="I700" s="19">
        <v>1873.12</v>
      </c>
      <c r="J700" s="19">
        <v>29969.92</v>
      </c>
    </row>
    <row r="701" ht="15.25" spans="1:10">
      <c r="A701" s="18">
        <v>45233</v>
      </c>
      <c r="B701" s="19" t="s">
        <v>1867</v>
      </c>
      <c r="C701" s="19" t="s">
        <v>1593</v>
      </c>
      <c r="D701" s="19" t="s">
        <v>1850</v>
      </c>
      <c r="E701" s="19" t="s">
        <v>1851</v>
      </c>
      <c r="F701" s="19" t="s">
        <v>1868</v>
      </c>
      <c r="G701" s="19" t="s">
        <v>1907</v>
      </c>
      <c r="H701" s="19">
        <v>7</v>
      </c>
      <c r="I701" s="19">
        <v>1640.58</v>
      </c>
      <c r="J701" s="19">
        <v>11484.06</v>
      </c>
    </row>
    <row r="702" ht="15.25" spans="1:10">
      <c r="A702" s="18" t="s">
        <v>2015</v>
      </c>
      <c r="B702" s="19" t="s">
        <v>1848</v>
      </c>
      <c r="C702" s="19" t="s">
        <v>1849</v>
      </c>
      <c r="D702" s="19" t="s">
        <v>1850</v>
      </c>
      <c r="E702" s="19" t="s">
        <v>1851</v>
      </c>
      <c r="F702" s="19" t="s">
        <v>1876</v>
      </c>
      <c r="G702" s="19" t="s">
        <v>1883</v>
      </c>
      <c r="H702" s="19">
        <v>13</v>
      </c>
      <c r="I702" s="19">
        <v>4843.21</v>
      </c>
      <c r="J702" s="19">
        <v>62961.73</v>
      </c>
    </row>
    <row r="703" ht="15.25" spans="1:10">
      <c r="A703" s="18" t="s">
        <v>1952</v>
      </c>
      <c r="B703" s="19" t="s">
        <v>1902</v>
      </c>
      <c r="C703" s="19" t="s">
        <v>1894</v>
      </c>
      <c r="D703" s="19" t="s">
        <v>1884</v>
      </c>
      <c r="E703" s="19" t="s">
        <v>1895</v>
      </c>
      <c r="F703" s="19" t="s">
        <v>1859</v>
      </c>
      <c r="G703" s="19" t="s">
        <v>1860</v>
      </c>
      <c r="H703" s="19">
        <v>13</v>
      </c>
      <c r="I703" s="19">
        <v>1782.01</v>
      </c>
      <c r="J703" s="19">
        <v>23166.13</v>
      </c>
    </row>
    <row r="704" ht="15.25" spans="1:10">
      <c r="A704" s="18" t="s">
        <v>2000</v>
      </c>
      <c r="B704" s="19" t="s">
        <v>1902</v>
      </c>
      <c r="C704" s="19" t="s">
        <v>1875</v>
      </c>
      <c r="D704" s="19" t="s">
        <v>1862</v>
      </c>
      <c r="E704" s="19" t="s">
        <v>1858</v>
      </c>
      <c r="F704" s="19" t="s">
        <v>1868</v>
      </c>
      <c r="G704" s="19" t="s">
        <v>1907</v>
      </c>
      <c r="H704" s="19">
        <v>19</v>
      </c>
      <c r="I704" s="19">
        <v>1120.6</v>
      </c>
      <c r="J704" s="19">
        <v>21291.4</v>
      </c>
    </row>
    <row r="705" ht="15.25" spans="1:10">
      <c r="A705" s="18" t="s">
        <v>1897</v>
      </c>
      <c r="B705" s="19" t="s">
        <v>1878</v>
      </c>
      <c r="C705" s="19" t="s">
        <v>1602</v>
      </c>
      <c r="D705" s="19" t="s">
        <v>1862</v>
      </c>
      <c r="E705" s="19" t="s">
        <v>1858</v>
      </c>
      <c r="F705" s="19" t="s">
        <v>1852</v>
      </c>
      <c r="G705" s="19" t="s">
        <v>1910</v>
      </c>
      <c r="H705" s="19">
        <v>2</v>
      </c>
      <c r="I705" s="19">
        <v>1927.02</v>
      </c>
      <c r="J705" s="19">
        <v>3854.04</v>
      </c>
    </row>
    <row r="706" ht="15.25" spans="1:10">
      <c r="A706" s="18" t="s">
        <v>2017</v>
      </c>
      <c r="B706" s="19" t="s">
        <v>1867</v>
      </c>
      <c r="C706" s="19" t="s">
        <v>1593</v>
      </c>
      <c r="D706" s="19" t="s">
        <v>1850</v>
      </c>
      <c r="E706" s="19" t="s">
        <v>1851</v>
      </c>
      <c r="F706" s="19" t="s">
        <v>1852</v>
      </c>
      <c r="G706" s="19" t="s">
        <v>1934</v>
      </c>
      <c r="H706" s="19">
        <v>15</v>
      </c>
      <c r="I706" s="19">
        <v>4642.69</v>
      </c>
      <c r="J706" s="19">
        <v>69640.35</v>
      </c>
    </row>
    <row r="707" ht="15.25" spans="1:10">
      <c r="A707" s="18" t="s">
        <v>2099</v>
      </c>
      <c r="B707" s="19" t="s">
        <v>1867</v>
      </c>
      <c r="C707" s="19" t="s">
        <v>1593</v>
      </c>
      <c r="D707" s="19" t="s">
        <v>1850</v>
      </c>
      <c r="E707" s="19" t="s">
        <v>1851</v>
      </c>
      <c r="F707" s="19" t="s">
        <v>1859</v>
      </c>
      <c r="G707" s="19" t="s">
        <v>1860</v>
      </c>
      <c r="H707" s="19">
        <v>19</v>
      </c>
      <c r="I707" s="19">
        <v>3316.87</v>
      </c>
      <c r="J707" s="19">
        <v>63020.53</v>
      </c>
    </row>
    <row r="708" ht="15.25" spans="1:10">
      <c r="A708" s="18">
        <v>45024</v>
      </c>
      <c r="B708" s="19" t="s">
        <v>1855</v>
      </c>
      <c r="C708" s="19" t="s">
        <v>1898</v>
      </c>
      <c r="D708" s="19" t="s">
        <v>1879</v>
      </c>
      <c r="E708" s="19" t="s">
        <v>1851</v>
      </c>
      <c r="F708" s="19" t="s">
        <v>1859</v>
      </c>
      <c r="G708" s="19" t="s">
        <v>1947</v>
      </c>
      <c r="H708" s="19">
        <v>19</v>
      </c>
      <c r="I708" s="19">
        <v>1372.28</v>
      </c>
      <c r="J708" s="19">
        <v>26073.32</v>
      </c>
    </row>
    <row r="709" ht="15.25" spans="1:10">
      <c r="A709" s="18">
        <v>45078</v>
      </c>
      <c r="B709" s="19" t="s">
        <v>1867</v>
      </c>
      <c r="C709" s="19" t="s">
        <v>1602</v>
      </c>
      <c r="D709" s="19" t="s">
        <v>1862</v>
      </c>
      <c r="E709" s="19" t="s">
        <v>1858</v>
      </c>
      <c r="F709" s="19" t="s">
        <v>1859</v>
      </c>
      <c r="G709" s="19" t="s">
        <v>1947</v>
      </c>
      <c r="H709" s="19">
        <v>8</v>
      </c>
      <c r="I709" s="19">
        <v>4786.48</v>
      </c>
      <c r="J709" s="19">
        <v>38291.84</v>
      </c>
    </row>
    <row r="710" ht="15.25" spans="1:10">
      <c r="A710" s="18" t="s">
        <v>1974</v>
      </c>
      <c r="B710" s="19" t="s">
        <v>1861</v>
      </c>
      <c r="C710" s="19" t="s">
        <v>1626</v>
      </c>
      <c r="D710" s="19" t="s">
        <v>1857</v>
      </c>
      <c r="E710" s="19" t="s">
        <v>1858</v>
      </c>
      <c r="F710" s="19" t="s">
        <v>1852</v>
      </c>
      <c r="G710" s="19" t="s">
        <v>1934</v>
      </c>
      <c r="H710" s="19">
        <v>18</v>
      </c>
      <c r="I710" s="19">
        <v>620.93</v>
      </c>
      <c r="J710" s="19">
        <v>11176.74</v>
      </c>
    </row>
    <row r="711" ht="15.25" spans="1:10">
      <c r="A711" s="18" t="s">
        <v>1863</v>
      </c>
      <c r="B711" s="19" t="s">
        <v>1902</v>
      </c>
      <c r="C711" s="19" t="s">
        <v>1626</v>
      </c>
      <c r="D711" s="19" t="s">
        <v>1857</v>
      </c>
      <c r="E711" s="19" t="s">
        <v>1858</v>
      </c>
      <c r="F711" s="19" t="s">
        <v>1876</v>
      </c>
      <c r="G711" s="19" t="s">
        <v>1930</v>
      </c>
      <c r="H711" s="19">
        <v>4</v>
      </c>
      <c r="I711" s="19">
        <v>1241.21</v>
      </c>
      <c r="J711" s="19">
        <v>4964.84</v>
      </c>
    </row>
    <row r="712" ht="15.25" spans="1:10">
      <c r="A712" s="18" t="s">
        <v>2044</v>
      </c>
      <c r="B712" s="19" t="s">
        <v>1848</v>
      </c>
      <c r="C712" s="19" t="s">
        <v>1598</v>
      </c>
      <c r="D712" s="19" t="s">
        <v>1850</v>
      </c>
      <c r="E712" s="19" t="s">
        <v>1851</v>
      </c>
      <c r="F712" s="19" t="s">
        <v>1876</v>
      </c>
      <c r="G712" s="19" t="s">
        <v>1930</v>
      </c>
      <c r="H712" s="19">
        <v>10</v>
      </c>
      <c r="I712" s="19">
        <v>1823.34</v>
      </c>
      <c r="J712" s="19">
        <v>18233.4</v>
      </c>
    </row>
    <row r="713" ht="15.25" spans="1:10">
      <c r="A713" s="18">
        <v>45146</v>
      </c>
      <c r="B713" s="19" t="s">
        <v>1892</v>
      </c>
      <c r="C713" s="19" t="s">
        <v>1598</v>
      </c>
      <c r="D713" s="19" t="s">
        <v>1850</v>
      </c>
      <c r="E713" s="19" t="s">
        <v>1851</v>
      </c>
      <c r="F713" s="19" t="s">
        <v>1865</v>
      </c>
      <c r="G713" s="19" t="s">
        <v>1886</v>
      </c>
      <c r="H713" s="19">
        <v>10</v>
      </c>
      <c r="I713" s="19">
        <v>4304.71</v>
      </c>
      <c r="J713" s="19">
        <v>43047.1</v>
      </c>
    </row>
    <row r="714" ht="15.25" spans="1:10">
      <c r="A714" s="18" t="s">
        <v>2100</v>
      </c>
      <c r="B714" s="19" t="s">
        <v>1902</v>
      </c>
      <c r="C714" s="19" t="s">
        <v>1856</v>
      </c>
      <c r="D714" s="19" t="s">
        <v>1857</v>
      </c>
      <c r="E714" s="19" t="s">
        <v>1858</v>
      </c>
      <c r="F714" s="19" t="s">
        <v>1868</v>
      </c>
      <c r="G714" s="19" t="s">
        <v>1907</v>
      </c>
      <c r="H714" s="19">
        <v>11</v>
      </c>
      <c r="I714" s="19">
        <v>4446.37</v>
      </c>
      <c r="J714" s="19">
        <v>48910.07</v>
      </c>
    </row>
    <row r="715" ht="15.25" spans="1:10">
      <c r="A715" s="18" t="s">
        <v>1991</v>
      </c>
      <c r="B715" s="19" t="s">
        <v>1861</v>
      </c>
      <c r="C715" s="19" t="s">
        <v>1593</v>
      </c>
      <c r="D715" s="19" t="s">
        <v>1850</v>
      </c>
      <c r="E715" s="19" t="s">
        <v>1851</v>
      </c>
      <c r="F715" s="19" t="s">
        <v>1868</v>
      </c>
      <c r="G715" s="19" t="s">
        <v>1869</v>
      </c>
      <c r="H715" s="19">
        <v>8</v>
      </c>
      <c r="I715" s="19">
        <v>465.32</v>
      </c>
      <c r="J715" s="19">
        <v>3722.56</v>
      </c>
    </row>
    <row r="716" ht="15.25" spans="1:10">
      <c r="A716" s="18" t="s">
        <v>1962</v>
      </c>
      <c r="B716" s="19" t="s">
        <v>1874</v>
      </c>
      <c r="C716" s="19" t="s">
        <v>1864</v>
      </c>
      <c r="D716" s="19" t="s">
        <v>1857</v>
      </c>
      <c r="E716" s="19" t="s">
        <v>1858</v>
      </c>
      <c r="F716" s="19" t="s">
        <v>1859</v>
      </c>
      <c r="G716" s="19" t="s">
        <v>1922</v>
      </c>
      <c r="H716" s="19">
        <v>1</v>
      </c>
      <c r="I716" s="19">
        <v>3431.7</v>
      </c>
      <c r="J716" s="19">
        <v>3431.7</v>
      </c>
    </row>
    <row r="717" ht="15.25" spans="1:10">
      <c r="A717" s="18" t="s">
        <v>2101</v>
      </c>
      <c r="B717" s="19" t="s">
        <v>1867</v>
      </c>
      <c r="C717" s="19" t="s">
        <v>1593</v>
      </c>
      <c r="D717" s="19" t="s">
        <v>1850</v>
      </c>
      <c r="E717" s="19" t="s">
        <v>1851</v>
      </c>
      <c r="F717" s="19" t="s">
        <v>1852</v>
      </c>
      <c r="G717" s="19" t="s">
        <v>1934</v>
      </c>
      <c r="H717" s="19">
        <v>20</v>
      </c>
      <c r="I717" s="19">
        <v>1365.33</v>
      </c>
      <c r="J717" s="19">
        <v>27306.6</v>
      </c>
    </row>
    <row r="718" ht="15.25" spans="1:10">
      <c r="A718" s="18" t="s">
        <v>2063</v>
      </c>
      <c r="B718" s="19" t="s">
        <v>1861</v>
      </c>
      <c r="C718" s="19" t="s">
        <v>1856</v>
      </c>
      <c r="D718" s="19" t="s">
        <v>1857</v>
      </c>
      <c r="E718" s="19" t="s">
        <v>1858</v>
      </c>
      <c r="F718" s="19" t="s">
        <v>1876</v>
      </c>
      <c r="G718" s="19" t="s">
        <v>1877</v>
      </c>
      <c r="H718" s="19">
        <v>14</v>
      </c>
      <c r="I718" s="19">
        <v>2343.4</v>
      </c>
      <c r="J718" s="19">
        <v>32807.6</v>
      </c>
    </row>
    <row r="719" ht="15.25" spans="1:10">
      <c r="A719" s="18">
        <v>45078</v>
      </c>
      <c r="B719" s="19" t="s">
        <v>1889</v>
      </c>
      <c r="C719" s="19" t="s">
        <v>1610</v>
      </c>
      <c r="D719" s="19" t="s">
        <v>1879</v>
      </c>
      <c r="E719" s="19" t="s">
        <v>1851</v>
      </c>
      <c r="F719" s="19" t="s">
        <v>1876</v>
      </c>
      <c r="G719" s="19" t="s">
        <v>1883</v>
      </c>
      <c r="H719" s="19">
        <v>15</v>
      </c>
      <c r="I719" s="19">
        <v>447.71</v>
      </c>
      <c r="J719" s="19">
        <v>6715.65</v>
      </c>
    </row>
    <row r="720" ht="15.25" spans="1:10">
      <c r="A720" s="18">
        <v>45047</v>
      </c>
      <c r="B720" s="19" t="s">
        <v>1889</v>
      </c>
      <c r="C720" s="19" t="s">
        <v>1941</v>
      </c>
      <c r="D720" s="19" t="s">
        <v>1879</v>
      </c>
      <c r="E720" s="19" t="s">
        <v>1851</v>
      </c>
      <c r="F720" s="19" t="s">
        <v>1868</v>
      </c>
      <c r="G720" s="19" t="s">
        <v>1917</v>
      </c>
      <c r="H720" s="19">
        <v>3</v>
      </c>
      <c r="I720" s="19">
        <v>2393.72</v>
      </c>
      <c r="J720" s="19">
        <v>7181.16</v>
      </c>
    </row>
    <row r="721" ht="15.25" spans="1:10">
      <c r="A721" s="18" t="s">
        <v>2018</v>
      </c>
      <c r="B721" s="19" t="s">
        <v>1902</v>
      </c>
      <c r="C721" s="19" t="s">
        <v>1894</v>
      </c>
      <c r="D721" s="19" t="s">
        <v>1884</v>
      </c>
      <c r="E721" s="19" t="s">
        <v>1895</v>
      </c>
      <c r="F721" s="19" t="s">
        <v>1865</v>
      </c>
      <c r="G721" s="19" t="s">
        <v>1886</v>
      </c>
      <c r="H721" s="19">
        <v>20</v>
      </c>
      <c r="I721" s="19">
        <v>138.6</v>
      </c>
      <c r="J721" s="19">
        <v>2772</v>
      </c>
    </row>
    <row r="722" ht="15.25" spans="1:10">
      <c r="A722" s="18" t="s">
        <v>2037</v>
      </c>
      <c r="B722" s="19" t="s">
        <v>1878</v>
      </c>
      <c r="C722" s="19" t="s">
        <v>1593</v>
      </c>
      <c r="D722" s="19" t="s">
        <v>1850</v>
      </c>
      <c r="E722" s="19" t="s">
        <v>1851</v>
      </c>
      <c r="F722" s="19" t="s">
        <v>1868</v>
      </c>
      <c r="G722" s="19" t="s">
        <v>1869</v>
      </c>
      <c r="H722" s="19">
        <v>6</v>
      </c>
      <c r="I722" s="19">
        <v>3119.62</v>
      </c>
      <c r="J722" s="19">
        <v>18717.72</v>
      </c>
    </row>
    <row r="723" ht="15.25" spans="1:10">
      <c r="A723" s="18" t="s">
        <v>2062</v>
      </c>
      <c r="B723" s="19" t="s">
        <v>1871</v>
      </c>
      <c r="C723" s="19" t="s">
        <v>1626</v>
      </c>
      <c r="D723" s="19" t="s">
        <v>1857</v>
      </c>
      <c r="E723" s="19" t="s">
        <v>1858</v>
      </c>
      <c r="F723" s="19" t="s">
        <v>1876</v>
      </c>
      <c r="G723" s="19" t="s">
        <v>1930</v>
      </c>
      <c r="H723" s="19">
        <v>1</v>
      </c>
      <c r="I723" s="19">
        <v>4175.7</v>
      </c>
      <c r="J723" s="19">
        <v>4175.7</v>
      </c>
    </row>
    <row r="724" ht="15.25" spans="1:10">
      <c r="A724" s="18" t="s">
        <v>1870</v>
      </c>
      <c r="B724" s="19" t="s">
        <v>1892</v>
      </c>
      <c r="C724" s="19" t="s">
        <v>1903</v>
      </c>
      <c r="D724" s="19" t="s">
        <v>1884</v>
      </c>
      <c r="E724" s="19" t="s">
        <v>1895</v>
      </c>
      <c r="F724" s="19" t="s">
        <v>1859</v>
      </c>
      <c r="G724" s="19" t="s">
        <v>1922</v>
      </c>
      <c r="H724" s="19">
        <v>17</v>
      </c>
      <c r="I724" s="19">
        <v>2655.23</v>
      </c>
      <c r="J724" s="19">
        <v>45138.91</v>
      </c>
    </row>
    <row r="725" ht="15.25" spans="1:10">
      <c r="A725" s="18">
        <v>44967</v>
      </c>
      <c r="B725" s="19" t="s">
        <v>1889</v>
      </c>
      <c r="C725" s="19" t="s">
        <v>1589</v>
      </c>
      <c r="D725" s="19" t="s">
        <v>1884</v>
      </c>
      <c r="E725" s="19" t="s">
        <v>1895</v>
      </c>
      <c r="F725" s="19" t="s">
        <v>1868</v>
      </c>
      <c r="G725" s="19" t="s">
        <v>1917</v>
      </c>
      <c r="H725" s="19">
        <v>14</v>
      </c>
      <c r="I725" s="19">
        <v>4235.22</v>
      </c>
      <c r="J725" s="19">
        <v>59293.08</v>
      </c>
    </row>
    <row r="726" ht="15.25" spans="1:10">
      <c r="A726" s="18" t="s">
        <v>2039</v>
      </c>
      <c r="B726" s="19" t="s">
        <v>1848</v>
      </c>
      <c r="C726" s="19" t="s">
        <v>1894</v>
      </c>
      <c r="D726" s="19" t="s">
        <v>1884</v>
      </c>
      <c r="E726" s="19" t="s">
        <v>1895</v>
      </c>
      <c r="F726" s="19" t="s">
        <v>1859</v>
      </c>
      <c r="G726" s="19" t="s">
        <v>1922</v>
      </c>
      <c r="H726" s="19">
        <v>20</v>
      </c>
      <c r="I726" s="19">
        <v>3393.01</v>
      </c>
      <c r="J726" s="19">
        <v>67860.2</v>
      </c>
    </row>
    <row r="727" ht="15.25" spans="1:10">
      <c r="A727" s="18">
        <v>44961</v>
      </c>
      <c r="B727" s="19" t="s">
        <v>1889</v>
      </c>
      <c r="C727" s="19" t="s">
        <v>1875</v>
      </c>
      <c r="D727" s="19" t="s">
        <v>1862</v>
      </c>
      <c r="E727" s="19" t="s">
        <v>1858</v>
      </c>
      <c r="F727" s="19" t="s">
        <v>1876</v>
      </c>
      <c r="G727" s="19" t="s">
        <v>1877</v>
      </c>
      <c r="H727" s="19">
        <v>14</v>
      </c>
      <c r="I727" s="19">
        <v>1247.48</v>
      </c>
      <c r="J727" s="19">
        <v>17464.72</v>
      </c>
    </row>
    <row r="728" ht="15.25" spans="1:10">
      <c r="A728" s="18">
        <v>45054</v>
      </c>
      <c r="B728" s="19" t="s">
        <v>1892</v>
      </c>
      <c r="C728" s="19" t="s">
        <v>1610</v>
      </c>
      <c r="D728" s="19" t="s">
        <v>1879</v>
      </c>
      <c r="E728" s="19" t="s">
        <v>1851</v>
      </c>
      <c r="F728" s="19" t="s">
        <v>1865</v>
      </c>
      <c r="G728" s="19" t="s">
        <v>1866</v>
      </c>
      <c r="H728" s="19">
        <v>20</v>
      </c>
      <c r="I728" s="19">
        <v>4428.59</v>
      </c>
      <c r="J728" s="19">
        <v>88571.8</v>
      </c>
    </row>
    <row r="729" ht="15.25" spans="1:10">
      <c r="A729" s="18">
        <v>45058</v>
      </c>
      <c r="B729" s="19" t="s">
        <v>1871</v>
      </c>
      <c r="C729" s="19" t="s">
        <v>1626</v>
      </c>
      <c r="D729" s="19" t="s">
        <v>1857</v>
      </c>
      <c r="E729" s="19" t="s">
        <v>1858</v>
      </c>
      <c r="F729" s="19" t="s">
        <v>1859</v>
      </c>
      <c r="G729" s="19" t="s">
        <v>1860</v>
      </c>
      <c r="H729" s="19">
        <v>9</v>
      </c>
      <c r="I729" s="19">
        <v>2251.19</v>
      </c>
      <c r="J729" s="19">
        <v>20260.71</v>
      </c>
    </row>
    <row r="730" ht="15.25" spans="1:10">
      <c r="A730" s="18" t="s">
        <v>2102</v>
      </c>
      <c r="B730" s="19" t="s">
        <v>1861</v>
      </c>
      <c r="C730" s="19" t="s">
        <v>1856</v>
      </c>
      <c r="D730" s="19" t="s">
        <v>1857</v>
      </c>
      <c r="E730" s="19" t="s">
        <v>1858</v>
      </c>
      <c r="F730" s="19" t="s">
        <v>1876</v>
      </c>
      <c r="G730" s="19" t="s">
        <v>1926</v>
      </c>
      <c r="H730" s="19">
        <v>19</v>
      </c>
      <c r="I730" s="19">
        <v>2240.89</v>
      </c>
      <c r="J730" s="19">
        <v>42576.91</v>
      </c>
    </row>
    <row r="731" ht="15.25" spans="1:10">
      <c r="A731" s="18">
        <v>45117</v>
      </c>
      <c r="B731" s="19" t="s">
        <v>1874</v>
      </c>
      <c r="C731" s="19" t="s">
        <v>1894</v>
      </c>
      <c r="D731" s="19" t="s">
        <v>1884</v>
      </c>
      <c r="E731" s="19" t="s">
        <v>1895</v>
      </c>
      <c r="F731" s="19" t="s">
        <v>1852</v>
      </c>
      <c r="G731" s="19" t="s">
        <v>1934</v>
      </c>
      <c r="H731" s="19">
        <v>19</v>
      </c>
      <c r="I731" s="19">
        <v>4089.21</v>
      </c>
      <c r="J731" s="19">
        <v>77694.99</v>
      </c>
    </row>
    <row r="732" ht="15.25" spans="1:10">
      <c r="A732" s="18" t="s">
        <v>1989</v>
      </c>
      <c r="B732" s="19" t="s">
        <v>1889</v>
      </c>
      <c r="C732" s="19" t="s">
        <v>1856</v>
      </c>
      <c r="D732" s="19" t="s">
        <v>1857</v>
      </c>
      <c r="E732" s="19" t="s">
        <v>1858</v>
      </c>
      <c r="F732" s="19" t="s">
        <v>1868</v>
      </c>
      <c r="G732" s="19" t="s">
        <v>1899</v>
      </c>
      <c r="H732" s="19">
        <v>6</v>
      </c>
      <c r="I732" s="19">
        <v>4286.28</v>
      </c>
      <c r="J732" s="19">
        <v>25717.68</v>
      </c>
    </row>
    <row r="733" ht="15.25" spans="1:10">
      <c r="A733" s="18" t="s">
        <v>1990</v>
      </c>
      <c r="B733" s="19" t="s">
        <v>1867</v>
      </c>
      <c r="C733" s="19" t="s">
        <v>1864</v>
      </c>
      <c r="D733" s="19" t="s">
        <v>1857</v>
      </c>
      <c r="E733" s="19" t="s">
        <v>1858</v>
      </c>
      <c r="F733" s="19" t="s">
        <v>1876</v>
      </c>
      <c r="G733" s="19" t="s">
        <v>1883</v>
      </c>
      <c r="H733" s="19">
        <v>20</v>
      </c>
      <c r="I733" s="19">
        <v>1316.67</v>
      </c>
      <c r="J733" s="19">
        <v>26333.4</v>
      </c>
    </row>
    <row r="734" ht="15.25" spans="1:10">
      <c r="A734" s="18" t="s">
        <v>2064</v>
      </c>
      <c r="B734" s="19" t="s">
        <v>1889</v>
      </c>
      <c r="C734" s="19" t="s">
        <v>1898</v>
      </c>
      <c r="D734" s="19" t="s">
        <v>1879</v>
      </c>
      <c r="E734" s="19" t="s">
        <v>1851</v>
      </c>
      <c r="F734" s="19" t="s">
        <v>1865</v>
      </c>
      <c r="G734" s="19" t="s">
        <v>1920</v>
      </c>
      <c r="H734" s="19">
        <v>17</v>
      </c>
      <c r="I734" s="19">
        <v>3145.73</v>
      </c>
      <c r="J734" s="19">
        <v>53477.41</v>
      </c>
    </row>
    <row r="735" ht="15.25" spans="1:10">
      <c r="A735" s="18" t="s">
        <v>2002</v>
      </c>
      <c r="B735" s="19" t="s">
        <v>1889</v>
      </c>
      <c r="C735" s="19" t="s">
        <v>1598</v>
      </c>
      <c r="D735" s="19" t="s">
        <v>1850</v>
      </c>
      <c r="E735" s="19" t="s">
        <v>1851</v>
      </c>
      <c r="F735" s="19" t="s">
        <v>1865</v>
      </c>
      <c r="G735" s="19" t="s">
        <v>1886</v>
      </c>
      <c r="H735" s="19">
        <v>10</v>
      </c>
      <c r="I735" s="19">
        <v>2523.59</v>
      </c>
      <c r="J735" s="19">
        <v>25235.9</v>
      </c>
    </row>
    <row r="736" ht="15.25" spans="1:10">
      <c r="A736" s="18" t="s">
        <v>2068</v>
      </c>
      <c r="B736" s="19" t="s">
        <v>1861</v>
      </c>
      <c r="C736" s="19" t="s">
        <v>1903</v>
      </c>
      <c r="D736" s="19" t="s">
        <v>1884</v>
      </c>
      <c r="E736" s="19" t="s">
        <v>1895</v>
      </c>
      <c r="F736" s="19" t="s">
        <v>1859</v>
      </c>
      <c r="G736" s="19" t="s">
        <v>1860</v>
      </c>
      <c r="H736" s="19">
        <v>2</v>
      </c>
      <c r="I736" s="19">
        <v>2851.64</v>
      </c>
      <c r="J736" s="19">
        <v>5703.28</v>
      </c>
    </row>
    <row r="737" ht="15.25" spans="1:10">
      <c r="A737" s="18" t="s">
        <v>2050</v>
      </c>
      <c r="B737" s="19" t="s">
        <v>1889</v>
      </c>
      <c r="C737" s="19" t="s">
        <v>1598</v>
      </c>
      <c r="D737" s="19" t="s">
        <v>1850</v>
      </c>
      <c r="E737" s="19" t="s">
        <v>1851</v>
      </c>
      <c r="F737" s="19" t="s">
        <v>1859</v>
      </c>
      <c r="G737" s="19" t="s">
        <v>1860</v>
      </c>
      <c r="H737" s="19">
        <v>20</v>
      </c>
      <c r="I737" s="19">
        <v>3193.18</v>
      </c>
      <c r="J737" s="19">
        <v>63863.6</v>
      </c>
    </row>
    <row r="738" ht="15.25" spans="1:10">
      <c r="A738" s="18" t="s">
        <v>2004</v>
      </c>
      <c r="B738" s="19" t="s">
        <v>1861</v>
      </c>
      <c r="C738" s="19" t="s">
        <v>1589</v>
      </c>
      <c r="D738" s="19" t="s">
        <v>1884</v>
      </c>
      <c r="E738" s="19" t="s">
        <v>1895</v>
      </c>
      <c r="F738" s="19" t="s">
        <v>1865</v>
      </c>
      <c r="G738" s="19" t="s">
        <v>1886</v>
      </c>
      <c r="H738" s="19">
        <v>8</v>
      </c>
      <c r="I738" s="19">
        <v>4663.82</v>
      </c>
      <c r="J738" s="19">
        <v>37310.56</v>
      </c>
    </row>
    <row r="739" ht="15.25" spans="1:10">
      <c r="A739" s="18">
        <v>44938</v>
      </c>
      <c r="B739" s="19" t="s">
        <v>1874</v>
      </c>
      <c r="C739" s="19" t="s">
        <v>1593</v>
      </c>
      <c r="D739" s="19" t="s">
        <v>1850</v>
      </c>
      <c r="E739" s="19" t="s">
        <v>1851</v>
      </c>
      <c r="F739" s="19" t="s">
        <v>1859</v>
      </c>
      <c r="G739" s="19" t="s">
        <v>1947</v>
      </c>
      <c r="H739" s="19">
        <v>13</v>
      </c>
      <c r="I739" s="19">
        <v>4263.79</v>
      </c>
      <c r="J739" s="19">
        <v>55429.27</v>
      </c>
    </row>
    <row r="740" ht="15.25" spans="1:10">
      <c r="A740" s="18" t="s">
        <v>2047</v>
      </c>
      <c r="B740" s="19" t="s">
        <v>1902</v>
      </c>
      <c r="C740" s="19" t="s">
        <v>1864</v>
      </c>
      <c r="D740" s="19" t="s">
        <v>1857</v>
      </c>
      <c r="E740" s="19" t="s">
        <v>1858</v>
      </c>
      <c r="F740" s="19" t="s">
        <v>1852</v>
      </c>
      <c r="G740" s="19" t="s">
        <v>1950</v>
      </c>
      <c r="H740" s="19">
        <v>11</v>
      </c>
      <c r="I740" s="19">
        <v>819.85</v>
      </c>
      <c r="J740" s="19">
        <v>9018.35</v>
      </c>
    </row>
    <row r="741" ht="15.25" spans="1:10">
      <c r="A741" s="18" t="s">
        <v>2103</v>
      </c>
      <c r="B741" s="19" t="s">
        <v>1892</v>
      </c>
      <c r="C741" s="19" t="s">
        <v>1864</v>
      </c>
      <c r="D741" s="19" t="s">
        <v>1857</v>
      </c>
      <c r="E741" s="19" t="s">
        <v>1858</v>
      </c>
      <c r="F741" s="19" t="s">
        <v>1876</v>
      </c>
      <c r="G741" s="19" t="s">
        <v>1930</v>
      </c>
      <c r="H741" s="19">
        <v>8</v>
      </c>
      <c r="I741" s="19">
        <v>2784.08</v>
      </c>
      <c r="J741" s="19">
        <v>22272.64</v>
      </c>
    </row>
    <row r="742" ht="15.25" spans="1:10">
      <c r="A742" s="18" t="s">
        <v>2008</v>
      </c>
      <c r="B742" s="19" t="s">
        <v>1889</v>
      </c>
      <c r="C742" s="19" t="s">
        <v>1626</v>
      </c>
      <c r="D742" s="19" t="s">
        <v>1857</v>
      </c>
      <c r="E742" s="19" t="s">
        <v>1858</v>
      </c>
      <c r="F742" s="19" t="s">
        <v>1865</v>
      </c>
      <c r="G742" s="19" t="s">
        <v>1890</v>
      </c>
      <c r="H742" s="19">
        <v>8</v>
      </c>
      <c r="I742" s="19">
        <v>2240.22</v>
      </c>
      <c r="J742" s="19">
        <v>17921.76</v>
      </c>
    </row>
    <row r="743" ht="15.25" spans="1:10">
      <c r="A743" s="18">
        <v>45089</v>
      </c>
      <c r="B743" s="19" t="s">
        <v>1855</v>
      </c>
      <c r="C743" s="19" t="s">
        <v>1626</v>
      </c>
      <c r="D743" s="19" t="s">
        <v>1857</v>
      </c>
      <c r="E743" s="19" t="s">
        <v>1858</v>
      </c>
      <c r="F743" s="19" t="s">
        <v>1876</v>
      </c>
      <c r="G743" s="19" t="s">
        <v>1877</v>
      </c>
      <c r="H743" s="19">
        <v>18</v>
      </c>
      <c r="I743" s="19">
        <v>1039.38</v>
      </c>
      <c r="J743" s="19">
        <v>18708.84</v>
      </c>
    </row>
    <row r="744" ht="15.25" spans="1:10">
      <c r="A744" s="18">
        <v>45118</v>
      </c>
      <c r="B744" s="19" t="s">
        <v>1867</v>
      </c>
      <c r="C744" s="19" t="s">
        <v>1898</v>
      </c>
      <c r="D744" s="19" t="s">
        <v>1879</v>
      </c>
      <c r="E744" s="19" t="s">
        <v>1851</v>
      </c>
      <c r="F744" s="19" t="s">
        <v>1868</v>
      </c>
      <c r="G744" s="19" t="s">
        <v>1899</v>
      </c>
      <c r="H744" s="19">
        <v>18</v>
      </c>
      <c r="I744" s="19">
        <v>1297.93</v>
      </c>
      <c r="J744" s="19">
        <v>23362.74</v>
      </c>
    </row>
    <row r="745" ht="15.25" spans="1:10">
      <c r="A745" s="18">
        <v>45047</v>
      </c>
      <c r="B745" s="19" t="s">
        <v>1902</v>
      </c>
      <c r="C745" s="19" t="s">
        <v>1593</v>
      </c>
      <c r="D745" s="19" t="s">
        <v>1850</v>
      </c>
      <c r="E745" s="19" t="s">
        <v>1851</v>
      </c>
      <c r="F745" s="19" t="s">
        <v>1852</v>
      </c>
      <c r="G745" s="19" t="s">
        <v>1934</v>
      </c>
      <c r="H745" s="19">
        <v>4</v>
      </c>
      <c r="I745" s="19">
        <v>4293.74</v>
      </c>
      <c r="J745" s="19">
        <v>17174.96</v>
      </c>
    </row>
    <row r="746" ht="15.25" spans="1:10">
      <c r="A746" s="18" t="s">
        <v>2104</v>
      </c>
      <c r="B746" s="19" t="s">
        <v>1871</v>
      </c>
      <c r="C746" s="19" t="s">
        <v>1589</v>
      </c>
      <c r="D746" s="19" t="s">
        <v>1884</v>
      </c>
      <c r="E746" s="19" t="s">
        <v>1895</v>
      </c>
      <c r="F746" s="19" t="s">
        <v>1876</v>
      </c>
      <c r="G746" s="19" t="s">
        <v>1877</v>
      </c>
      <c r="H746" s="19">
        <v>11</v>
      </c>
      <c r="I746" s="19">
        <v>2133.36</v>
      </c>
      <c r="J746" s="19">
        <v>23466.96</v>
      </c>
    </row>
    <row r="747" ht="15.25" spans="1:10">
      <c r="A747" s="18" t="s">
        <v>1962</v>
      </c>
      <c r="B747" s="19" t="s">
        <v>1848</v>
      </c>
      <c r="C747" s="19" t="s">
        <v>1602</v>
      </c>
      <c r="D747" s="19" t="s">
        <v>1862</v>
      </c>
      <c r="E747" s="19" t="s">
        <v>1858</v>
      </c>
      <c r="F747" s="19" t="s">
        <v>1868</v>
      </c>
      <c r="G747" s="19" t="s">
        <v>1907</v>
      </c>
      <c r="H747" s="19">
        <v>11</v>
      </c>
      <c r="I747" s="19">
        <v>735.74</v>
      </c>
      <c r="J747" s="19">
        <v>8093.14</v>
      </c>
    </row>
    <row r="748" ht="15.25" spans="1:10">
      <c r="A748" s="18">
        <v>45141</v>
      </c>
      <c r="B748" s="19" t="s">
        <v>1861</v>
      </c>
      <c r="C748" s="19" t="s">
        <v>1894</v>
      </c>
      <c r="D748" s="19" t="s">
        <v>1884</v>
      </c>
      <c r="E748" s="19" t="s">
        <v>1895</v>
      </c>
      <c r="F748" s="19" t="s">
        <v>1865</v>
      </c>
      <c r="G748" s="19" t="s">
        <v>1866</v>
      </c>
      <c r="H748" s="19">
        <v>14</v>
      </c>
      <c r="I748" s="19">
        <v>271.27</v>
      </c>
      <c r="J748" s="19">
        <v>3797.78</v>
      </c>
    </row>
    <row r="749" ht="15.25" spans="1:10">
      <c r="A749" s="18">
        <v>45210</v>
      </c>
      <c r="B749" s="19" t="s">
        <v>1861</v>
      </c>
      <c r="C749" s="19" t="s">
        <v>1602</v>
      </c>
      <c r="D749" s="19" t="s">
        <v>1862</v>
      </c>
      <c r="E749" s="19" t="s">
        <v>1858</v>
      </c>
      <c r="F749" s="19" t="s">
        <v>1852</v>
      </c>
      <c r="G749" s="19" t="s">
        <v>1853</v>
      </c>
      <c r="H749" s="19">
        <v>5</v>
      </c>
      <c r="I749" s="19">
        <v>4759.19</v>
      </c>
      <c r="J749" s="19">
        <v>23795.95</v>
      </c>
    </row>
    <row r="750" ht="15.25" spans="1:10">
      <c r="A750" s="18">
        <v>45211</v>
      </c>
      <c r="B750" s="19" t="s">
        <v>1855</v>
      </c>
      <c r="C750" s="19" t="s">
        <v>1610</v>
      </c>
      <c r="D750" s="19" t="s">
        <v>1879</v>
      </c>
      <c r="E750" s="19" t="s">
        <v>1851</v>
      </c>
      <c r="F750" s="19" t="s">
        <v>1876</v>
      </c>
      <c r="G750" s="19" t="s">
        <v>1883</v>
      </c>
      <c r="H750" s="19">
        <v>11</v>
      </c>
      <c r="I750" s="19">
        <v>941.97</v>
      </c>
      <c r="J750" s="19">
        <v>10361.67</v>
      </c>
    </row>
    <row r="751" ht="15.25" spans="1:10">
      <c r="A751" s="18">
        <v>45238</v>
      </c>
      <c r="B751" s="19" t="s">
        <v>1855</v>
      </c>
      <c r="C751" s="19" t="s">
        <v>1864</v>
      </c>
      <c r="D751" s="19" t="s">
        <v>1857</v>
      </c>
      <c r="E751" s="19" t="s">
        <v>1858</v>
      </c>
      <c r="F751" s="19" t="s">
        <v>1868</v>
      </c>
      <c r="G751" s="19" t="s">
        <v>1917</v>
      </c>
      <c r="H751" s="19">
        <v>11</v>
      </c>
      <c r="I751" s="19">
        <v>2182.46</v>
      </c>
      <c r="J751" s="19">
        <v>24007.06</v>
      </c>
    </row>
    <row r="752" ht="15.25" spans="1:10">
      <c r="A752" s="18" t="s">
        <v>2091</v>
      </c>
      <c r="B752" s="19" t="s">
        <v>1855</v>
      </c>
      <c r="C752" s="19" t="s">
        <v>1593</v>
      </c>
      <c r="D752" s="19" t="s">
        <v>1850</v>
      </c>
      <c r="E752" s="19" t="s">
        <v>1851</v>
      </c>
      <c r="F752" s="19" t="s">
        <v>1868</v>
      </c>
      <c r="G752" s="19" t="s">
        <v>1907</v>
      </c>
      <c r="H752" s="19">
        <v>10</v>
      </c>
      <c r="I752" s="19">
        <v>2112.91</v>
      </c>
      <c r="J752" s="19">
        <v>21129.1</v>
      </c>
    </row>
    <row r="753" ht="15.25" spans="1:10">
      <c r="A753" s="18">
        <v>45232</v>
      </c>
      <c r="B753" s="19" t="s">
        <v>1867</v>
      </c>
      <c r="C753" s="19" t="s">
        <v>1898</v>
      </c>
      <c r="D753" s="19" t="s">
        <v>1879</v>
      </c>
      <c r="E753" s="19" t="s">
        <v>1851</v>
      </c>
      <c r="F753" s="19" t="s">
        <v>1865</v>
      </c>
      <c r="G753" s="19" t="s">
        <v>1866</v>
      </c>
      <c r="H753" s="19">
        <v>13</v>
      </c>
      <c r="I753" s="19">
        <v>3495.08</v>
      </c>
      <c r="J753" s="19">
        <v>45436.04</v>
      </c>
    </row>
    <row r="754" ht="15.25" spans="1:10">
      <c r="A754" s="18">
        <v>44932</v>
      </c>
      <c r="B754" s="19" t="s">
        <v>1848</v>
      </c>
      <c r="C754" s="19" t="s">
        <v>1903</v>
      </c>
      <c r="D754" s="19" t="s">
        <v>1884</v>
      </c>
      <c r="E754" s="19" t="s">
        <v>1895</v>
      </c>
      <c r="F754" s="19" t="s">
        <v>1868</v>
      </c>
      <c r="G754" s="19" t="s">
        <v>1869</v>
      </c>
      <c r="H754" s="19">
        <v>2</v>
      </c>
      <c r="I754" s="19">
        <v>3439.47</v>
      </c>
      <c r="J754" s="19">
        <v>6878.94</v>
      </c>
    </row>
    <row r="755" ht="15.25" spans="1:10">
      <c r="A755" s="18">
        <v>45231</v>
      </c>
      <c r="B755" s="19" t="s">
        <v>1861</v>
      </c>
      <c r="C755" s="19" t="s">
        <v>1941</v>
      </c>
      <c r="D755" s="19" t="s">
        <v>1879</v>
      </c>
      <c r="E755" s="19" t="s">
        <v>1851</v>
      </c>
      <c r="F755" s="19" t="s">
        <v>1852</v>
      </c>
      <c r="G755" s="19" t="s">
        <v>1853</v>
      </c>
      <c r="H755" s="19">
        <v>20</v>
      </c>
      <c r="I755" s="19">
        <v>3279.25</v>
      </c>
      <c r="J755" s="19">
        <v>65585</v>
      </c>
    </row>
    <row r="756" ht="15.25" spans="1:10">
      <c r="A756" s="18">
        <v>44928</v>
      </c>
      <c r="B756" s="19" t="s">
        <v>1861</v>
      </c>
      <c r="C756" s="19" t="s">
        <v>1589</v>
      </c>
      <c r="D756" s="19" t="s">
        <v>1884</v>
      </c>
      <c r="E756" s="19" t="s">
        <v>1895</v>
      </c>
      <c r="F756" s="19" t="s">
        <v>1852</v>
      </c>
      <c r="G756" s="19" t="s">
        <v>1910</v>
      </c>
      <c r="H756" s="19">
        <v>16</v>
      </c>
      <c r="I756" s="19">
        <v>3320.8</v>
      </c>
      <c r="J756" s="19">
        <v>53132.8</v>
      </c>
    </row>
    <row r="757" ht="15.25" spans="1:10">
      <c r="A757" s="18" t="s">
        <v>2037</v>
      </c>
      <c r="B757" s="19" t="s">
        <v>1861</v>
      </c>
      <c r="C757" s="19" t="s">
        <v>1598</v>
      </c>
      <c r="D757" s="19" t="s">
        <v>1850</v>
      </c>
      <c r="E757" s="19" t="s">
        <v>1851</v>
      </c>
      <c r="F757" s="19" t="s">
        <v>1865</v>
      </c>
      <c r="G757" s="19" t="s">
        <v>1920</v>
      </c>
      <c r="H757" s="19">
        <v>6</v>
      </c>
      <c r="I757" s="19">
        <v>4105.19</v>
      </c>
      <c r="J757" s="19">
        <v>24631.14</v>
      </c>
    </row>
    <row r="758" ht="15.25" spans="1:10">
      <c r="A758" s="18" t="s">
        <v>2099</v>
      </c>
      <c r="B758" s="19" t="s">
        <v>1878</v>
      </c>
      <c r="C758" s="19" t="s">
        <v>1903</v>
      </c>
      <c r="D758" s="19" t="s">
        <v>1884</v>
      </c>
      <c r="E758" s="19" t="s">
        <v>1895</v>
      </c>
      <c r="F758" s="19" t="s">
        <v>1868</v>
      </c>
      <c r="G758" s="19" t="s">
        <v>1899</v>
      </c>
      <c r="H758" s="19">
        <v>7</v>
      </c>
      <c r="I758" s="19">
        <v>1830.46</v>
      </c>
      <c r="J758" s="19">
        <v>12813.22</v>
      </c>
    </row>
    <row r="759" ht="15.25" spans="1:10">
      <c r="A759" s="18" t="s">
        <v>2105</v>
      </c>
      <c r="B759" s="19" t="s">
        <v>1855</v>
      </c>
      <c r="C759" s="19" t="s">
        <v>1903</v>
      </c>
      <c r="D759" s="19" t="s">
        <v>1884</v>
      </c>
      <c r="E759" s="19" t="s">
        <v>1895</v>
      </c>
      <c r="F759" s="19" t="s">
        <v>1859</v>
      </c>
      <c r="G759" s="19" t="s">
        <v>1947</v>
      </c>
      <c r="H759" s="19">
        <v>19</v>
      </c>
      <c r="I759" s="19">
        <v>3901.75</v>
      </c>
      <c r="J759" s="19">
        <v>74133.25</v>
      </c>
    </row>
    <row r="760" ht="15.25" spans="1:10">
      <c r="A760" s="18" t="s">
        <v>2106</v>
      </c>
      <c r="B760" s="19" t="s">
        <v>1855</v>
      </c>
      <c r="C760" s="19" t="s">
        <v>1856</v>
      </c>
      <c r="D760" s="19" t="s">
        <v>1857</v>
      </c>
      <c r="E760" s="19" t="s">
        <v>1858</v>
      </c>
      <c r="F760" s="19" t="s">
        <v>1868</v>
      </c>
      <c r="G760" s="19" t="s">
        <v>1869</v>
      </c>
      <c r="H760" s="19">
        <v>10</v>
      </c>
      <c r="I760" s="19">
        <v>3031.91</v>
      </c>
      <c r="J760" s="19">
        <v>30319.1</v>
      </c>
    </row>
    <row r="761" ht="15.25" spans="1:10">
      <c r="A761" s="18">
        <v>45116</v>
      </c>
      <c r="B761" s="19" t="s">
        <v>1874</v>
      </c>
      <c r="C761" s="19" t="s">
        <v>1849</v>
      </c>
      <c r="D761" s="19" t="s">
        <v>1850</v>
      </c>
      <c r="E761" s="19" t="s">
        <v>1851</v>
      </c>
      <c r="F761" s="19" t="s">
        <v>1859</v>
      </c>
      <c r="G761" s="19" t="s">
        <v>1860</v>
      </c>
      <c r="H761" s="19">
        <v>18</v>
      </c>
      <c r="I761" s="19">
        <v>3575.04</v>
      </c>
      <c r="J761" s="19">
        <v>64350.72</v>
      </c>
    </row>
    <row r="762" ht="15.25" spans="1:10">
      <c r="A762" s="18">
        <v>44935</v>
      </c>
      <c r="B762" s="19" t="s">
        <v>1878</v>
      </c>
      <c r="C762" s="19" t="s">
        <v>1602</v>
      </c>
      <c r="D762" s="19" t="s">
        <v>1862</v>
      </c>
      <c r="E762" s="19" t="s">
        <v>1858</v>
      </c>
      <c r="F762" s="19" t="s">
        <v>1868</v>
      </c>
      <c r="G762" s="19" t="s">
        <v>1907</v>
      </c>
      <c r="H762" s="19">
        <v>17</v>
      </c>
      <c r="I762" s="19">
        <v>2920.06</v>
      </c>
      <c r="J762" s="19">
        <v>49641.02</v>
      </c>
    </row>
    <row r="763" ht="15.25" spans="1:10">
      <c r="A763" s="18" t="s">
        <v>2096</v>
      </c>
      <c r="B763" s="19" t="s">
        <v>1889</v>
      </c>
      <c r="C763" s="19" t="s">
        <v>1593</v>
      </c>
      <c r="D763" s="19" t="s">
        <v>1850</v>
      </c>
      <c r="E763" s="19" t="s">
        <v>1851</v>
      </c>
      <c r="F763" s="19" t="s">
        <v>1876</v>
      </c>
      <c r="G763" s="19" t="s">
        <v>1930</v>
      </c>
      <c r="H763" s="19">
        <v>15</v>
      </c>
      <c r="I763" s="19">
        <v>2796.48</v>
      </c>
      <c r="J763" s="19">
        <v>41947.2</v>
      </c>
    </row>
    <row r="764" ht="15.25" spans="1:10">
      <c r="A764" s="18" t="s">
        <v>2107</v>
      </c>
      <c r="B764" s="19" t="s">
        <v>1871</v>
      </c>
      <c r="C764" s="19" t="s">
        <v>1626</v>
      </c>
      <c r="D764" s="19" t="s">
        <v>1857</v>
      </c>
      <c r="E764" s="19" t="s">
        <v>1858</v>
      </c>
      <c r="F764" s="19" t="s">
        <v>1876</v>
      </c>
      <c r="G764" s="19" t="s">
        <v>1883</v>
      </c>
      <c r="H764" s="19">
        <v>1</v>
      </c>
      <c r="I764" s="19">
        <v>2918.29</v>
      </c>
      <c r="J764" s="19">
        <v>2918.29</v>
      </c>
    </row>
    <row r="765" ht="15.25" spans="1:10">
      <c r="A765" s="18" t="s">
        <v>2108</v>
      </c>
      <c r="B765" s="19" t="s">
        <v>1878</v>
      </c>
      <c r="C765" s="19" t="s">
        <v>1610</v>
      </c>
      <c r="D765" s="19" t="s">
        <v>1879</v>
      </c>
      <c r="E765" s="19" t="s">
        <v>1851</v>
      </c>
      <c r="F765" s="19" t="s">
        <v>1852</v>
      </c>
      <c r="G765" s="19" t="s">
        <v>1910</v>
      </c>
      <c r="H765" s="19">
        <v>10</v>
      </c>
      <c r="I765" s="19">
        <v>1097.83</v>
      </c>
      <c r="J765" s="19">
        <v>10978.3</v>
      </c>
    </row>
    <row r="766" ht="15.25" spans="1:10">
      <c r="A766" s="18">
        <v>45262</v>
      </c>
      <c r="B766" s="19" t="s">
        <v>1848</v>
      </c>
      <c r="C766" s="19" t="s">
        <v>1593</v>
      </c>
      <c r="D766" s="19" t="s">
        <v>1850</v>
      </c>
      <c r="E766" s="19" t="s">
        <v>1851</v>
      </c>
      <c r="F766" s="19" t="s">
        <v>1865</v>
      </c>
      <c r="G766" s="19" t="s">
        <v>1890</v>
      </c>
      <c r="H766" s="19">
        <v>10</v>
      </c>
      <c r="I766" s="19">
        <v>3391.5</v>
      </c>
      <c r="J766" s="19">
        <v>33915</v>
      </c>
    </row>
    <row r="767" ht="15.25" spans="1:10">
      <c r="A767" s="18">
        <v>45176</v>
      </c>
      <c r="B767" s="19" t="s">
        <v>1892</v>
      </c>
      <c r="C767" s="19" t="s">
        <v>1589</v>
      </c>
      <c r="D767" s="19" t="s">
        <v>1884</v>
      </c>
      <c r="E767" s="19" t="s">
        <v>1895</v>
      </c>
      <c r="F767" s="19" t="s">
        <v>1868</v>
      </c>
      <c r="G767" s="19" t="s">
        <v>1907</v>
      </c>
      <c r="H767" s="19">
        <v>13</v>
      </c>
      <c r="I767" s="19">
        <v>2225.88</v>
      </c>
      <c r="J767" s="19">
        <v>28936.44</v>
      </c>
    </row>
    <row r="768" ht="15.25" spans="1:10">
      <c r="A768" s="18">
        <v>45058</v>
      </c>
      <c r="B768" s="19" t="s">
        <v>1874</v>
      </c>
      <c r="C768" s="19" t="s">
        <v>1598</v>
      </c>
      <c r="D768" s="19" t="s">
        <v>1850</v>
      </c>
      <c r="E768" s="19" t="s">
        <v>1851</v>
      </c>
      <c r="F768" s="19" t="s">
        <v>1865</v>
      </c>
      <c r="G768" s="19" t="s">
        <v>1890</v>
      </c>
      <c r="H768" s="19">
        <v>2</v>
      </c>
      <c r="I768" s="19">
        <v>1559.76</v>
      </c>
      <c r="J768" s="19">
        <v>3119.52</v>
      </c>
    </row>
    <row r="769" ht="15.25" spans="1:10">
      <c r="A769" s="18" t="s">
        <v>1987</v>
      </c>
      <c r="B769" s="19" t="s">
        <v>1861</v>
      </c>
      <c r="C769" s="19" t="s">
        <v>1941</v>
      </c>
      <c r="D769" s="19" t="s">
        <v>1879</v>
      </c>
      <c r="E769" s="19" t="s">
        <v>1851</v>
      </c>
      <c r="F769" s="19" t="s">
        <v>1868</v>
      </c>
      <c r="G769" s="19" t="s">
        <v>1899</v>
      </c>
      <c r="H769" s="19">
        <v>13</v>
      </c>
      <c r="I769" s="19">
        <v>4719.96</v>
      </c>
      <c r="J769" s="19">
        <v>61359.48</v>
      </c>
    </row>
    <row r="770" ht="15.25" spans="1:10">
      <c r="A770" s="18" t="s">
        <v>2109</v>
      </c>
      <c r="B770" s="19" t="s">
        <v>1902</v>
      </c>
      <c r="C770" s="19" t="s">
        <v>1602</v>
      </c>
      <c r="D770" s="19" t="s">
        <v>1862</v>
      </c>
      <c r="E770" s="19" t="s">
        <v>1858</v>
      </c>
      <c r="F770" s="19" t="s">
        <v>1859</v>
      </c>
      <c r="G770" s="19" t="s">
        <v>1872</v>
      </c>
      <c r="H770" s="19">
        <v>5</v>
      </c>
      <c r="I770" s="19">
        <v>1593.02</v>
      </c>
      <c r="J770" s="19">
        <v>7965.1</v>
      </c>
    </row>
    <row r="771" ht="15.25" spans="1:10">
      <c r="A771" s="18" t="s">
        <v>1928</v>
      </c>
      <c r="B771" s="19" t="s">
        <v>1871</v>
      </c>
      <c r="C771" s="19" t="s">
        <v>1626</v>
      </c>
      <c r="D771" s="19" t="s">
        <v>1857</v>
      </c>
      <c r="E771" s="19" t="s">
        <v>1858</v>
      </c>
      <c r="F771" s="19" t="s">
        <v>1865</v>
      </c>
      <c r="G771" s="19" t="s">
        <v>1866</v>
      </c>
      <c r="H771" s="19">
        <v>7</v>
      </c>
      <c r="I771" s="19">
        <v>1233.63</v>
      </c>
      <c r="J771" s="19">
        <v>8635.41</v>
      </c>
    </row>
    <row r="772" ht="15.25" spans="1:10">
      <c r="A772" s="18" t="s">
        <v>1980</v>
      </c>
      <c r="B772" s="19" t="s">
        <v>1867</v>
      </c>
      <c r="C772" s="19" t="s">
        <v>1864</v>
      </c>
      <c r="D772" s="19" t="s">
        <v>1857</v>
      </c>
      <c r="E772" s="19" t="s">
        <v>1858</v>
      </c>
      <c r="F772" s="19" t="s">
        <v>1876</v>
      </c>
      <c r="G772" s="19" t="s">
        <v>1926</v>
      </c>
      <c r="H772" s="19">
        <v>2</v>
      </c>
      <c r="I772" s="19">
        <v>2261.69</v>
      </c>
      <c r="J772" s="19">
        <v>4523.38</v>
      </c>
    </row>
    <row r="773" ht="15.25" spans="1:10">
      <c r="A773" s="18">
        <v>45235</v>
      </c>
      <c r="B773" s="19" t="s">
        <v>1878</v>
      </c>
      <c r="C773" s="19" t="s">
        <v>1856</v>
      </c>
      <c r="D773" s="19" t="s">
        <v>1857</v>
      </c>
      <c r="E773" s="19" t="s">
        <v>1858</v>
      </c>
      <c r="F773" s="19" t="s">
        <v>1868</v>
      </c>
      <c r="G773" s="19" t="s">
        <v>1907</v>
      </c>
      <c r="H773" s="19">
        <v>15</v>
      </c>
      <c r="I773" s="19">
        <v>1197.31</v>
      </c>
      <c r="J773" s="19">
        <v>17959.65</v>
      </c>
    </row>
    <row r="774" ht="15.25" spans="1:10">
      <c r="A774" s="18">
        <v>45173</v>
      </c>
      <c r="B774" s="19" t="s">
        <v>1855</v>
      </c>
      <c r="C774" s="19" t="s">
        <v>1875</v>
      </c>
      <c r="D774" s="19" t="s">
        <v>1862</v>
      </c>
      <c r="E774" s="19" t="s">
        <v>1858</v>
      </c>
      <c r="F774" s="19" t="s">
        <v>1859</v>
      </c>
      <c r="G774" s="19" t="s">
        <v>1872</v>
      </c>
      <c r="H774" s="19">
        <v>9</v>
      </c>
      <c r="I774" s="19">
        <v>3441.09</v>
      </c>
      <c r="J774" s="19">
        <v>30969.81</v>
      </c>
    </row>
    <row r="775" ht="15.25" spans="1:10">
      <c r="A775" s="18" t="s">
        <v>2053</v>
      </c>
      <c r="B775" s="19" t="s">
        <v>1855</v>
      </c>
      <c r="C775" s="19" t="s">
        <v>1589</v>
      </c>
      <c r="D775" s="19" t="s">
        <v>1884</v>
      </c>
      <c r="E775" s="19" t="s">
        <v>1895</v>
      </c>
      <c r="F775" s="19" t="s">
        <v>1852</v>
      </c>
      <c r="G775" s="19" t="s">
        <v>1934</v>
      </c>
      <c r="H775" s="19">
        <v>2</v>
      </c>
      <c r="I775" s="19">
        <v>3325.99</v>
      </c>
      <c r="J775" s="19">
        <v>6651.98</v>
      </c>
    </row>
    <row r="776" ht="15.25" spans="1:10">
      <c r="A776" s="18" t="s">
        <v>2075</v>
      </c>
      <c r="B776" s="19" t="s">
        <v>1902</v>
      </c>
      <c r="C776" s="19" t="s">
        <v>1593</v>
      </c>
      <c r="D776" s="19" t="s">
        <v>1850</v>
      </c>
      <c r="E776" s="19" t="s">
        <v>1851</v>
      </c>
      <c r="F776" s="19" t="s">
        <v>1865</v>
      </c>
      <c r="G776" s="19" t="s">
        <v>1866</v>
      </c>
      <c r="H776" s="19">
        <v>2</v>
      </c>
      <c r="I776" s="19">
        <v>991.8</v>
      </c>
      <c r="J776" s="19">
        <v>1983.6</v>
      </c>
    </row>
    <row r="777" ht="15.25" spans="1:10">
      <c r="A777" s="18" t="s">
        <v>2097</v>
      </c>
      <c r="B777" s="19" t="s">
        <v>1892</v>
      </c>
      <c r="C777" s="19" t="s">
        <v>1589</v>
      </c>
      <c r="D777" s="19" t="s">
        <v>1884</v>
      </c>
      <c r="E777" s="19" t="s">
        <v>1895</v>
      </c>
      <c r="F777" s="19" t="s">
        <v>1868</v>
      </c>
      <c r="G777" s="19" t="s">
        <v>1869</v>
      </c>
      <c r="H777" s="19">
        <v>9</v>
      </c>
      <c r="I777" s="19">
        <v>4763.01</v>
      </c>
      <c r="J777" s="19">
        <v>42867.09</v>
      </c>
    </row>
    <row r="778" ht="15.25" spans="1:10">
      <c r="A778" s="18" t="s">
        <v>1983</v>
      </c>
      <c r="B778" s="19" t="s">
        <v>1889</v>
      </c>
      <c r="C778" s="19" t="s">
        <v>1941</v>
      </c>
      <c r="D778" s="19" t="s">
        <v>1879</v>
      </c>
      <c r="E778" s="19" t="s">
        <v>1851</v>
      </c>
      <c r="F778" s="19" t="s">
        <v>1865</v>
      </c>
      <c r="G778" s="19" t="s">
        <v>1920</v>
      </c>
      <c r="H778" s="19">
        <v>8</v>
      </c>
      <c r="I778" s="19">
        <v>826.71</v>
      </c>
      <c r="J778" s="19">
        <v>6613.68</v>
      </c>
    </row>
    <row r="779" ht="15.25" spans="1:10">
      <c r="A779" s="18" t="s">
        <v>1880</v>
      </c>
      <c r="B779" s="19" t="s">
        <v>1848</v>
      </c>
      <c r="C779" s="19" t="s">
        <v>1602</v>
      </c>
      <c r="D779" s="19" t="s">
        <v>1862</v>
      </c>
      <c r="E779" s="19" t="s">
        <v>1858</v>
      </c>
      <c r="F779" s="19" t="s">
        <v>1868</v>
      </c>
      <c r="G779" s="19" t="s">
        <v>1917</v>
      </c>
      <c r="H779" s="19">
        <v>9</v>
      </c>
      <c r="I779" s="19">
        <v>209.57</v>
      </c>
      <c r="J779" s="19">
        <v>1886.13</v>
      </c>
    </row>
    <row r="780" ht="15.25" spans="1:10">
      <c r="A780" s="18" t="s">
        <v>2024</v>
      </c>
      <c r="B780" s="19" t="s">
        <v>1871</v>
      </c>
      <c r="C780" s="19" t="s">
        <v>1602</v>
      </c>
      <c r="D780" s="19" t="s">
        <v>1862</v>
      </c>
      <c r="E780" s="19" t="s">
        <v>1858</v>
      </c>
      <c r="F780" s="19" t="s">
        <v>1876</v>
      </c>
      <c r="G780" s="19" t="s">
        <v>1877</v>
      </c>
      <c r="H780" s="19">
        <v>7</v>
      </c>
      <c r="I780" s="19">
        <v>2538.43</v>
      </c>
      <c r="J780" s="19">
        <v>17769.01</v>
      </c>
    </row>
    <row r="781" ht="15.25" spans="1:10">
      <c r="A781" s="18" t="s">
        <v>2065</v>
      </c>
      <c r="B781" s="19" t="s">
        <v>1867</v>
      </c>
      <c r="C781" s="19" t="s">
        <v>1898</v>
      </c>
      <c r="D781" s="19" t="s">
        <v>1879</v>
      </c>
      <c r="E781" s="19" t="s">
        <v>1851</v>
      </c>
      <c r="F781" s="19" t="s">
        <v>1868</v>
      </c>
      <c r="G781" s="19" t="s">
        <v>1907</v>
      </c>
      <c r="H781" s="19">
        <v>7</v>
      </c>
      <c r="I781" s="19">
        <v>4116.98</v>
      </c>
      <c r="J781" s="19">
        <v>28818.86</v>
      </c>
    </row>
    <row r="782" ht="15.25" spans="1:10">
      <c r="A782" s="18">
        <v>44933</v>
      </c>
      <c r="B782" s="19" t="s">
        <v>1855</v>
      </c>
      <c r="C782" s="19" t="s">
        <v>1598</v>
      </c>
      <c r="D782" s="19" t="s">
        <v>1850</v>
      </c>
      <c r="E782" s="19" t="s">
        <v>1851</v>
      </c>
      <c r="F782" s="19" t="s">
        <v>1876</v>
      </c>
      <c r="G782" s="19" t="s">
        <v>1883</v>
      </c>
      <c r="H782" s="19">
        <v>20</v>
      </c>
      <c r="I782" s="19">
        <v>3638.01</v>
      </c>
      <c r="J782" s="19">
        <v>72760.2</v>
      </c>
    </row>
    <row r="783" ht="15.25" spans="1:10">
      <c r="A783" s="18" t="s">
        <v>2105</v>
      </c>
      <c r="B783" s="19" t="s">
        <v>1902</v>
      </c>
      <c r="C783" s="19" t="s">
        <v>1894</v>
      </c>
      <c r="D783" s="19" t="s">
        <v>1884</v>
      </c>
      <c r="E783" s="19" t="s">
        <v>1895</v>
      </c>
      <c r="F783" s="19" t="s">
        <v>1852</v>
      </c>
      <c r="G783" s="19" t="s">
        <v>1934</v>
      </c>
      <c r="H783" s="19">
        <v>8</v>
      </c>
      <c r="I783" s="19">
        <v>4523.44</v>
      </c>
      <c r="J783" s="19">
        <v>36187.52</v>
      </c>
    </row>
    <row r="784" ht="15.25" spans="1:10">
      <c r="A784" s="18" t="s">
        <v>2101</v>
      </c>
      <c r="B784" s="19" t="s">
        <v>1867</v>
      </c>
      <c r="C784" s="19" t="s">
        <v>1589</v>
      </c>
      <c r="D784" s="19" t="s">
        <v>1884</v>
      </c>
      <c r="E784" s="19" t="s">
        <v>1895</v>
      </c>
      <c r="F784" s="19" t="s">
        <v>1852</v>
      </c>
      <c r="G784" s="19" t="s">
        <v>1910</v>
      </c>
      <c r="H784" s="19">
        <v>17</v>
      </c>
      <c r="I784" s="19">
        <v>2042</v>
      </c>
      <c r="J784" s="19">
        <v>34714</v>
      </c>
    </row>
    <row r="785" ht="15.25" spans="1:10">
      <c r="A785" s="18" t="s">
        <v>1975</v>
      </c>
      <c r="B785" s="19" t="s">
        <v>1902</v>
      </c>
      <c r="C785" s="19" t="s">
        <v>1864</v>
      </c>
      <c r="D785" s="19" t="s">
        <v>1857</v>
      </c>
      <c r="E785" s="19" t="s">
        <v>1858</v>
      </c>
      <c r="F785" s="19" t="s">
        <v>1859</v>
      </c>
      <c r="G785" s="19" t="s">
        <v>1860</v>
      </c>
      <c r="H785" s="19">
        <v>19</v>
      </c>
      <c r="I785" s="19">
        <v>2357.62</v>
      </c>
      <c r="J785" s="19">
        <v>44794.78</v>
      </c>
    </row>
    <row r="786" ht="15.25" spans="1:10">
      <c r="A786" s="18">
        <v>45079</v>
      </c>
      <c r="B786" s="19" t="s">
        <v>1861</v>
      </c>
      <c r="C786" s="19" t="s">
        <v>1875</v>
      </c>
      <c r="D786" s="19" t="s">
        <v>1862</v>
      </c>
      <c r="E786" s="19" t="s">
        <v>1858</v>
      </c>
      <c r="F786" s="19" t="s">
        <v>1865</v>
      </c>
      <c r="G786" s="19" t="s">
        <v>1866</v>
      </c>
      <c r="H786" s="19">
        <v>18</v>
      </c>
      <c r="I786" s="19">
        <v>941.19</v>
      </c>
      <c r="J786" s="19">
        <v>16941.42</v>
      </c>
    </row>
    <row r="787" ht="15.25" spans="1:10">
      <c r="A787" s="18">
        <v>45021</v>
      </c>
      <c r="B787" s="19" t="s">
        <v>1892</v>
      </c>
      <c r="C787" s="19" t="s">
        <v>1856</v>
      </c>
      <c r="D787" s="19" t="s">
        <v>1857</v>
      </c>
      <c r="E787" s="19" t="s">
        <v>1858</v>
      </c>
      <c r="F787" s="19" t="s">
        <v>1865</v>
      </c>
      <c r="G787" s="19" t="s">
        <v>1890</v>
      </c>
      <c r="H787" s="19">
        <v>9</v>
      </c>
      <c r="I787" s="19">
        <v>3927.83</v>
      </c>
      <c r="J787" s="19">
        <v>35350.47</v>
      </c>
    </row>
    <row r="788" ht="15.25" spans="1:10">
      <c r="A788" s="18" t="s">
        <v>1998</v>
      </c>
      <c r="B788" s="19" t="s">
        <v>1855</v>
      </c>
      <c r="C788" s="19" t="s">
        <v>1602</v>
      </c>
      <c r="D788" s="19" t="s">
        <v>1862</v>
      </c>
      <c r="E788" s="19" t="s">
        <v>1858</v>
      </c>
      <c r="F788" s="19" t="s">
        <v>1868</v>
      </c>
      <c r="G788" s="19" t="s">
        <v>1907</v>
      </c>
      <c r="H788" s="19">
        <v>1</v>
      </c>
      <c r="I788" s="19">
        <v>4555.42</v>
      </c>
      <c r="J788" s="19">
        <v>4555.42</v>
      </c>
    </row>
    <row r="789" ht="15.25" spans="1:10">
      <c r="A789" s="18" t="s">
        <v>2036</v>
      </c>
      <c r="B789" s="19" t="s">
        <v>1871</v>
      </c>
      <c r="C789" s="19" t="s">
        <v>1849</v>
      </c>
      <c r="D789" s="19" t="s">
        <v>1850</v>
      </c>
      <c r="E789" s="19" t="s">
        <v>1851</v>
      </c>
      <c r="F789" s="19" t="s">
        <v>1865</v>
      </c>
      <c r="G789" s="19" t="s">
        <v>1890</v>
      </c>
      <c r="H789" s="19">
        <v>18</v>
      </c>
      <c r="I789" s="19">
        <v>3271.29</v>
      </c>
      <c r="J789" s="19">
        <v>58883.22</v>
      </c>
    </row>
    <row r="790" ht="15.25" spans="1:10">
      <c r="A790" s="18" t="s">
        <v>1954</v>
      </c>
      <c r="B790" s="19" t="s">
        <v>1848</v>
      </c>
      <c r="C790" s="19" t="s">
        <v>1941</v>
      </c>
      <c r="D790" s="19" t="s">
        <v>1879</v>
      </c>
      <c r="E790" s="19" t="s">
        <v>1851</v>
      </c>
      <c r="F790" s="19" t="s">
        <v>1876</v>
      </c>
      <c r="G790" s="19" t="s">
        <v>1926</v>
      </c>
      <c r="H790" s="19">
        <v>15</v>
      </c>
      <c r="I790" s="19">
        <v>4406.31</v>
      </c>
      <c r="J790" s="19">
        <v>66094.65</v>
      </c>
    </row>
    <row r="791" ht="15.25" spans="1:10">
      <c r="A791" s="18">
        <v>44997</v>
      </c>
      <c r="B791" s="19" t="s">
        <v>1889</v>
      </c>
      <c r="C791" s="19" t="s">
        <v>1898</v>
      </c>
      <c r="D791" s="19" t="s">
        <v>1879</v>
      </c>
      <c r="E791" s="19" t="s">
        <v>1851</v>
      </c>
      <c r="F791" s="19" t="s">
        <v>1859</v>
      </c>
      <c r="G791" s="19" t="s">
        <v>1947</v>
      </c>
      <c r="H791" s="19">
        <v>19</v>
      </c>
      <c r="I791" s="19">
        <v>2016.56</v>
      </c>
      <c r="J791" s="19">
        <v>38314.64</v>
      </c>
    </row>
    <row r="792" ht="15.25" spans="1:10">
      <c r="A792" s="18" t="s">
        <v>2090</v>
      </c>
      <c r="B792" s="19" t="s">
        <v>1889</v>
      </c>
      <c r="C792" s="19" t="s">
        <v>1941</v>
      </c>
      <c r="D792" s="19" t="s">
        <v>1879</v>
      </c>
      <c r="E792" s="19" t="s">
        <v>1851</v>
      </c>
      <c r="F792" s="19" t="s">
        <v>1852</v>
      </c>
      <c r="G792" s="19" t="s">
        <v>1950</v>
      </c>
      <c r="H792" s="19">
        <v>13</v>
      </c>
      <c r="I792" s="19">
        <v>3531.03</v>
      </c>
      <c r="J792" s="19">
        <v>45903.39</v>
      </c>
    </row>
    <row r="793" ht="15.25" spans="1:10">
      <c r="A793" s="18" t="s">
        <v>2110</v>
      </c>
      <c r="B793" s="19" t="s">
        <v>1874</v>
      </c>
      <c r="C793" s="19" t="s">
        <v>1856</v>
      </c>
      <c r="D793" s="19" t="s">
        <v>1857</v>
      </c>
      <c r="E793" s="19" t="s">
        <v>1858</v>
      </c>
      <c r="F793" s="19" t="s">
        <v>1852</v>
      </c>
      <c r="G793" s="19" t="s">
        <v>1853</v>
      </c>
      <c r="H793" s="19">
        <v>7</v>
      </c>
      <c r="I793" s="19">
        <v>4077.95</v>
      </c>
      <c r="J793" s="19">
        <v>28545.65</v>
      </c>
    </row>
    <row r="794" ht="15.25" spans="1:10">
      <c r="A794" s="18" t="s">
        <v>2051</v>
      </c>
      <c r="B794" s="19" t="s">
        <v>1871</v>
      </c>
      <c r="C794" s="19" t="s">
        <v>1875</v>
      </c>
      <c r="D794" s="19" t="s">
        <v>1862</v>
      </c>
      <c r="E794" s="19" t="s">
        <v>1858</v>
      </c>
      <c r="F794" s="19" t="s">
        <v>1868</v>
      </c>
      <c r="G794" s="19" t="s">
        <v>1917</v>
      </c>
      <c r="H794" s="19">
        <v>1</v>
      </c>
      <c r="I794" s="19">
        <v>1628.88</v>
      </c>
      <c r="J794" s="19">
        <v>1628.88</v>
      </c>
    </row>
    <row r="795" ht="15.25" spans="1:10">
      <c r="A795" s="18" t="s">
        <v>1901</v>
      </c>
      <c r="B795" s="19" t="s">
        <v>1855</v>
      </c>
      <c r="C795" s="19" t="s">
        <v>1602</v>
      </c>
      <c r="D795" s="19" t="s">
        <v>1862</v>
      </c>
      <c r="E795" s="19" t="s">
        <v>1858</v>
      </c>
      <c r="F795" s="19" t="s">
        <v>1865</v>
      </c>
      <c r="G795" s="19" t="s">
        <v>1866</v>
      </c>
      <c r="H795" s="19">
        <v>15</v>
      </c>
      <c r="I795" s="19">
        <v>2093.03</v>
      </c>
      <c r="J795" s="19">
        <v>31395.45</v>
      </c>
    </row>
    <row r="796" ht="15.25" spans="1:10">
      <c r="A796" s="18">
        <v>44992</v>
      </c>
      <c r="B796" s="19" t="s">
        <v>1892</v>
      </c>
      <c r="C796" s="19" t="s">
        <v>1903</v>
      </c>
      <c r="D796" s="19" t="s">
        <v>1884</v>
      </c>
      <c r="E796" s="19" t="s">
        <v>1895</v>
      </c>
      <c r="F796" s="19" t="s">
        <v>1865</v>
      </c>
      <c r="G796" s="19" t="s">
        <v>1890</v>
      </c>
      <c r="H796" s="19">
        <v>14</v>
      </c>
      <c r="I796" s="19">
        <v>2441.07</v>
      </c>
      <c r="J796" s="19">
        <v>34174.98</v>
      </c>
    </row>
    <row r="797" ht="15.25" spans="1:10">
      <c r="A797" s="18">
        <v>45266</v>
      </c>
      <c r="B797" s="19" t="s">
        <v>1902</v>
      </c>
      <c r="C797" s="19" t="s">
        <v>1598</v>
      </c>
      <c r="D797" s="19" t="s">
        <v>1850</v>
      </c>
      <c r="E797" s="19" t="s">
        <v>1851</v>
      </c>
      <c r="F797" s="19" t="s">
        <v>1852</v>
      </c>
      <c r="G797" s="19" t="s">
        <v>1934</v>
      </c>
      <c r="H797" s="19">
        <v>18</v>
      </c>
      <c r="I797" s="19">
        <v>134.67</v>
      </c>
      <c r="J797" s="19">
        <v>2424.06</v>
      </c>
    </row>
    <row r="798" ht="15.25" spans="1:10">
      <c r="A798" s="18">
        <v>45207</v>
      </c>
      <c r="B798" s="19" t="s">
        <v>1855</v>
      </c>
      <c r="C798" s="19" t="s">
        <v>1875</v>
      </c>
      <c r="D798" s="19" t="s">
        <v>1862</v>
      </c>
      <c r="E798" s="19" t="s">
        <v>1858</v>
      </c>
      <c r="F798" s="19" t="s">
        <v>1876</v>
      </c>
      <c r="G798" s="19" t="s">
        <v>1877</v>
      </c>
      <c r="H798" s="19">
        <v>8</v>
      </c>
      <c r="I798" s="19">
        <v>2518.13</v>
      </c>
      <c r="J798" s="19">
        <v>20145.04</v>
      </c>
    </row>
    <row r="799" ht="15.25" spans="1:10">
      <c r="A799" s="18">
        <v>45054</v>
      </c>
      <c r="B799" s="19" t="s">
        <v>1861</v>
      </c>
      <c r="C799" s="19" t="s">
        <v>1903</v>
      </c>
      <c r="D799" s="19" t="s">
        <v>1884</v>
      </c>
      <c r="E799" s="19" t="s">
        <v>1895</v>
      </c>
      <c r="F799" s="19" t="s">
        <v>1859</v>
      </c>
      <c r="G799" s="19" t="s">
        <v>1922</v>
      </c>
      <c r="H799" s="19">
        <v>1</v>
      </c>
      <c r="I799" s="19">
        <v>2366.64</v>
      </c>
      <c r="J799" s="19">
        <v>2366.64</v>
      </c>
    </row>
    <row r="800" ht="15.25" spans="1:10">
      <c r="A800" s="18">
        <v>45028</v>
      </c>
      <c r="B800" s="19" t="s">
        <v>1855</v>
      </c>
      <c r="C800" s="19" t="s">
        <v>1593</v>
      </c>
      <c r="D800" s="19" t="s">
        <v>1850</v>
      </c>
      <c r="E800" s="19" t="s">
        <v>1851</v>
      </c>
      <c r="F800" s="19" t="s">
        <v>1859</v>
      </c>
      <c r="G800" s="19" t="s">
        <v>1860</v>
      </c>
      <c r="H800" s="19">
        <v>14</v>
      </c>
      <c r="I800" s="19">
        <v>3167.49</v>
      </c>
      <c r="J800" s="19">
        <v>44344.86</v>
      </c>
    </row>
    <row r="801" ht="15.25" spans="1:10">
      <c r="A801" s="18">
        <v>45265</v>
      </c>
      <c r="B801" s="19" t="s">
        <v>1871</v>
      </c>
      <c r="C801" s="19" t="s">
        <v>1593</v>
      </c>
      <c r="D801" s="19" t="s">
        <v>1850</v>
      </c>
      <c r="E801" s="19" t="s">
        <v>1851</v>
      </c>
      <c r="F801" s="19" t="s">
        <v>1876</v>
      </c>
      <c r="G801" s="19" t="s">
        <v>1883</v>
      </c>
      <c r="H801" s="19">
        <v>9</v>
      </c>
      <c r="I801" s="19">
        <v>109.56</v>
      </c>
      <c r="J801" s="19">
        <v>986.04</v>
      </c>
    </row>
    <row r="802" ht="15.25" spans="1:10">
      <c r="A802" s="18">
        <v>44963</v>
      </c>
      <c r="B802" s="19" t="s">
        <v>1874</v>
      </c>
      <c r="C802" s="19" t="s">
        <v>1903</v>
      </c>
      <c r="D802" s="19" t="s">
        <v>1884</v>
      </c>
      <c r="E802" s="19" t="s">
        <v>1895</v>
      </c>
      <c r="F802" s="19" t="s">
        <v>1876</v>
      </c>
      <c r="G802" s="19" t="s">
        <v>1930</v>
      </c>
      <c r="H802" s="19">
        <v>20</v>
      </c>
      <c r="I802" s="19">
        <v>652.87</v>
      </c>
      <c r="J802" s="19">
        <v>13057.4</v>
      </c>
    </row>
    <row r="803" ht="15.25" spans="1:10">
      <c r="A803" s="18" t="s">
        <v>1992</v>
      </c>
      <c r="B803" s="19" t="s">
        <v>1871</v>
      </c>
      <c r="C803" s="19" t="s">
        <v>1602</v>
      </c>
      <c r="D803" s="19" t="s">
        <v>1862</v>
      </c>
      <c r="E803" s="19" t="s">
        <v>1858</v>
      </c>
      <c r="F803" s="19" t="s">
        <v>1865</v>
      </c>
      <c r="G803" s="19" t="s">
        <v>1890</v>
      </c>
      <c r="H803" s="19">
        <v>4</v>
      </c>
      <c r="I803" s="19">
        <v>2563.65</v>
      </c>
      <c r="J803" s="19">
        <v>10254.6</v>
      </c>
    </row>
    <row r="804" ht="15.25" spans="1:10">
      <c r="A804" s="18" t="s">
        <v>1968</v>
      </c>
      <c r="B804" s="19" t="s">
        <v>1867</v>
      </c>
      <c r="C804" s="19" t="s">
        <v>1626</v>
      </c>
      <c r="D804" s="19" t="s">
        <v>1857</v>
      </c>
      <c r="E804" s="19" t="s">
        <v>1858</v>
      </c>
      <c r="F804" s="19" t="s">
        <v>1868</v>
      </c>
      <c r="G804" s="19" t="s">
        <v>1899</v>
      </c>
      <c r="H804" s="19">
        <v>2</v>
      </c>
      <c r="I804" s="19">
        <v>771.23</v>
      </c>
      <c r="J804" s="19">
        <v>1542.46</v>
      </c>
    </row>
    <row r="805" ht="15.25" spans="1:10">
      <c r="A805" s="18" t="s">
        <v>2020</v>
      </c>
      <c r="B805" s="19" t="s">
        <v>1878</v>
      </c>
      <c r="C805" s="19" t="s">
        <v>1864</v>
      </c>
      <c r="D805" s="19" t="s">
        <v>1857</v>
      </c>
      <c r="E805" s="19" t="s">
        <v>1858</v>
      </c>
      <c r="F805" s="19" t="s">
        <v>1865</v>
      </c>
      <c r="G805" s="19" t="s">
        <v>1890</v>
      </c>
      <c r="H805" s="19">
        <v>19</v>
      </c>
      <c r="I805" s="19">
        <v>2290.68</v>
      </c>
      <c r="J805" s="19">
        <v>43522.92</v>
      </c>
    </row>
    <row r="806" ht="15.25" spans="1:10">
      <c r="A806" s="18" t="s">
        <v>1921</v>
      </c>
      <c r="B806" s="19" t="s">
        <v>1871</v>
      </c>
      <c r="C806" s="19" t="s">
        <v>1906</v>
      </c>
      <c r="D806" s="19" t="s">
        <v>1862</v>
      </c>
      <c r="E806" s="19" t="s">
        <v>1858</v>
      </c>
      <c r="F806" s="19" t="s">
        <v>1859</v>
      </c>
      <c r="G806" s="19" t="s">
        <v>1872</v>
      </c>
      <c r="H806" s="19">
        <v>9</v>
      </c>
      <c r="I806" s="19">
        <v>4965.3</v>
      </c>
      <c r="J806" s="19">
        <v>44687.7</v>
      </c>
    </row>
    <row r="807" ht="15.25" spans="1:10">
      <c r="A807" s="18" t="s">
        <v>2068</v>
      </c>
      <c r="B807" s="19" t="s">
        <v>1867</v>
      </c>
      <c r="C807" s="19" t="s">
        <v>1849</v>
      </c>
      <c r="D807" s="19" t="s">
        <v>1850</v>
      </c>
      <c r="E807" s="19" t="s">
        <v>1851</v>
      </c>
      <c r="F807" s="19" t="s">
        <v>1876</v>
      </c>
      <c r="G807" s="19" t="s">
        <v>1883</v>
      </c>
      <c r="H807" s="19">
        <v>4</v>
      </c>
      <c r="I807" s="19">
        <v>3684.5</v>
      </c>
      <c r="J807" s="19">
        <v>14738</v>
      </c>
    </row>
    <row r="808" ht="15.25" spans="1:10">
      <c r="A808" s="18">
        <v>45237</v>
      </c>
      <c r="B808" s="19" t="s">
        <v>1861</v>
      </c>
      <c r="C808" s="19" t="s">
        <v>1610</v>
      </c>
      <c r="D808" s="19" t="s">
        <v>1879</v>
      </c>
      <c r="E808" s="19" t="s">
        <v>1851</v>
      </c>
      <c r="F808" s="19" t="s">
        <v>1868</v>
      </c>
      <c r="G808" s="19" t="s">
        <v>1917</v>
      </c>
      <c r="H808" s="19">
        <v>14</v>
      </c>
      <c r="I808" s="19">
        <v>4566.12</v>
      </c>
      <c r="J808" s="19">
        <v>63925.68</v>
      </c>
    </row>
    <row r="809" ht="15.25" spans="1:10">
      <c r="A809" s="18" t="s">
        <v>1939</v>
      </c>
      <c r="B809" s="19" t="s">
        <v>1874</v>
      </c>
      <c r="C809" s="19" t="s">
        <v>1626</v>
      </c>
      <c r="D809" s="19" t="s">
        <v>1857</v>
      </c>
      <c r="E809" s="19" t="s">
        <v>1858</v>
      </c>
      <c r="F809" s="19" t="s">
        <v>1852</v>
      </c>
      <c r="G809" s="19" t="s">
        <v>1950</v>
      </c>
      <c r="H809" s="19">
        <v>17</v>
      </c>
      <c r="I809" s="19">
        <v>2246.82</v>
      </c>
      <c r="J809" s="19">
        <v>38195.94</v>
      </c>
    </row>
    <row r="810" ht="15.25" spans="1:10">
      <c r="A810" s="18">
        <v>45266</v>
      </c>
      <c r="B810" s="19" t="s">
        <v>1861</v>
      </c>
      <c r="C810" s="19" t="s">
        <v>1589</v>
      </c>
      <c r="D810" s="19" t="s">
        <v>1884</v>
      </c>
      <c r="E810" s="19" t="s">
        <v>1895</v>
      </c>
      <c r="F810" s="19" t="s">
        <v>1859</v>
      </c>
      <c r="G810" s="19" t="s">
        <v>1860</v>
      </c>
      <c r="H810" s="19">
        <v>3</v>
      </c>
      <c r="I810" s="19">
        <v>215.21</v>
      </c>
      <c r="J810" s="19">
        <v>645.63</v>
      </c>
    </row>
    <row r="811" ht="15.25" spans="1:10">
      <c r="A811" s="18" t="s">
        <v>2106</v>
      </c>
      <c r="B811" s="19" t="s">
        <v>1902</v>
      </c>
      <c r="C811" s="19" t="s">
        <v>1602</v>
      </c>
      <c r="D811" s="19" t="s">
        <v>1862</v>
      </c>
      <c r="E811" s="19" t="s">
        <v>1858</v>
      </c>
      <c r="F811" s="19" t="s">
        <v>1876</v>
      </c>
      <c r="G811" s="19" t="s">
        <v>1877</v>
      </c>
      <c r="H811" s="19">
        <v>7</v>
      </c>
      <c r="I811" s="19">
        <v>1294.31</v>
      </c>
      <c r="J811" s="19">
        <v>9060.17</v>
      </c>
    </row>
    <row r="812" ht="15.25" spans="1:10">
      <c r="A812" s="18" t="s">
        <v>2038</v>
      </c>
      <c r="B812" s="19" t="s">
        <v>1871</v>
      </c>
      <c r="C812" s="19" t="s">
        <v>1941</v>
      </c>
      <c r="D812" s="19" t="s">
        <v>1879</v>
      </c>
      <c r="E812" s="19" t="s">
        <v>1851</v>
      </c>
      <c r="F812" s="19" t="s">
        <v>1868</v>
      </c>
      <c r="G812" s="19" t="s">
        <v>1917</v>
      </c>
      <c r="H812" s="19">
        <v>9</v>
      </c>
      <c r="I812" s="19">
        <v>1558.74</v>
      </c>
      <c r="J812" s="19">
        <v>14028.66</v>
      </c>
    </row>
    <row r="813" ht="15.25" spans="1:10">
      <c r="A813" s="18" t="s">
        <v>1970</v>
      </c>
      <c r="B813" s="19" t="s">
        <v>1889</v>
      </c>
      <c r="C813" s="19" t="s">
        <v>1856</v>
      </c>
      <c r="D813" s="19" t="s">
        <v>1857</v>
      </c>
      <c r="E813" s="19" t="s">
        <v>1858</v>
      </c>
      <c r="F813" s="19" t="s">
        <v>1859</v>
      </c>
      <c r="G813" s="19" t="s">
        <v>1947</v>
      </c>
      <c r="H813" s="19">
        <v>11</v>
      </c>
      <c r="I813" s="19">
        <v>4382.91</v>
      </c>
      <c r="J813" s="19">
        <v>48212.01</v>
      </c>
    </row>
    <row r="814" ht="15.25" spans="1:10">
      <c r="A814" s="18" t="s">
        <v>2078</v>
      </c>
      <c r="B814" s="19" t="s">
        <v>1871</v>
      </c>
      <c r="C814" s="19" t="s">
        <v>1589</v>
      </c>
      <c r="D814" s="19" t="s">
        <v>1884</v>
      </c>
      <c r="E814" s="19" t="s">
        <v>1895</v>
      </c>
      <c r="F814" s="19" t="s">
        <v>1876</v>
      </c>
      <c r="G814" s="19" t="s">
        <v>1926</v>
      </c>
      <c r="H814" s="19">
        <v>6</v>
      </c>
      <c r="I814" s="19">
        <v>4197.59</v>
      </c>
      <c r="J814" s="19">
        <v>25185.54</v>
      </c>
    </row>
    <row r="815" ht="15.25" spans="1:10">
      <c r="A815" s="18">
        <v>45018</v>
      </c>
      <c r="B815" s="19" t="s">
        <v>1848</v>
      </c>
      <c r="C815" s="19" t="s">
        <v>1626</v>
      </c>
      <c r="D815" s="19" t="s">
        <v>1857</v>
      </c>
      <c r="E815" s="19" t="s">
        <v>1858</v>
      </c>
      <c r="F815" s="19" t="s">
        <v>1859</v>
      </c>
      <c r="G815" s="19" t="s">
        <v>1947</v>
      </c>
      <c r="H815" s="19">
        <v>2</v>
      </c>
      <c r="I815" s="19">
        <v>4137.49</v>
      </c>
      <c r="J815" s="19">
        <v>8274.98</v>
      </c>
    </row>
    <row r="816" ht="15.25" spans="1:10">
      <c r="A816" s="18">
        <v>45271</v>
      </c>
      <c r="B816" s="19" t="s">
        <v>1878</v>
      </c>
      <c r="C816" s="19" t="s">
        <v>1903</v>
      </c>
      <c r="D816" s="19" t="s">
        <v>1884</v>
      </c>
      <c r="E816" s="19" t="s">
        <v>1895</v>
      </c>
      <c r="F816" s="19" t="s">
        <v>1876</v>
      </c>
      <c r="G816" s="19" t="s">
        <v>1926</v>
      </c>
      <c r="H816" s="19">
        <v>16</v>
      </c>
      <c r="I816" s="19">
        <v>1598.06</v>
      </c>
      <c r="J816" s="19">
        <v>25568.96</v>
      </c>
    </row>
    <row r="817" ht="15.25" spans="1:10">
      <c r="A817" s="18" t="s">
        <v>2109</v>
      </c>
      <c r="B817" s="19" t="s">
        <v>1855</v>
      </c>
      <c r="C817" s="19" t="s">
        <v>1589</v>
      </c>
      <c r="D817" s="19" t="s">
        <v>1884</v>
      </c>
      <c r="E817" s="19" t="s">
        <v>1895</v>
      </c>
      <c r="F817" s="19" t="s">
        <v>1852</v>
      </c>
      <c r="G817" s="19" t="s">
        <v>1950</v>
      </c>
      <c r="H817" s="19">
        <v>3</v>
      </c>
      <c r="I817" s="19">
        <v>3044.02</v>
      </c>
      <c r="J817" s="19">
        <v>9132.06</v>
      </c>
    </row>
    <row r="818" ht="15.25" spans="1:10">
      <c r="A818" s="18">
        <v>45170</v>
      </c>
      <c r="B818" s="19" t="s">
        <v>1848</v>
      </c>
      <c r="C818" s="19" t="s">
        <v>1598</v>
      </c>
      <c r="D818" s="19" t="s">
        <v>1850</v>
      </c>
      <c r="E818" s="19" t="s">
        <v>1851</v>
      </c>
      <c r="F818" s="19" t="s">
        <v>1865</v>
      </c>
      <c r="G818" s="19" t="s">
        <v>1920</v>
      </c>
      <c r="H818" s="19">
        <v>6</v>
      </c>
      <c r="I818" s="19">
        <v>4270.03</v>
      </c>
      <c r="J818" s="19">
        <v>25620.18</v>
      </c>
    </row>
    <row r="819" ht="15.25" spans="1:10">
      <c r="A819" s="18">
        <v>45208</v>
      </c>
      <c r="B819" s="19" t="s">
        <v>1855</v>
      </c>
      <c r="C819" s="19" t="s">
        <v>1598</v>
      </c>
      <c r="D819" s="19" t="s">
        <v>1850</v>
      </c>
      <c r="E819" s="19" t="s">
        <v>1851</v>
      </c>
      <c r="F819" s="19" t="s">
        <v>1852</v>
      </c>
      <c r="G819" s="19" t="s">
        <v>1950</v>
      </c>
      <c r="H819" s="19">
        <v>13</v>
      </c>
      <c r="I819" s="19">
        <v>298.09</v>
      </c>
      <c r="J819" s="19">
        <v>3875.17</v>
      </c>
    </row>
    <row r="820" ht="15.25" spans="1:10">
      <c r="A820" s="18" t="s">
        <v>1965</v>
      </c>
      <c r="B820" s="19" t="s">
        <v>1878</v>
      </c>
      <c r="C820" s="19" t="s">
        <v>1941</v>
      </c>
      <c r="D820" s="19" t="s">
        <v>1879</v>
      </c>
      <c r="E820" s="19" t="s">
        <v>1851</v>
      </c>
      <c r="F820" s="19" t="s">
        <v>1876</v>
      </c>
      <c r="G820" s="19" t="s">
        <v>1883</v>
      </c>
      <c r="H820" s="19">
        <v>3</v>
      </c>
      <c r="I820" s="19">
        <v>1453.68</v>
      </c>
      <c r="J820" s="19">
        <v>4361.04</v>
      </c>
    </row>
    <row r="821" ht="15.25" spans="1:10">
      <c r="A821" s="18" t="s">
        <v>1981</v>
      </c>
      <c r="B821" s="19" t="s">
        <v>1892</v>
      </c>
      <c r="C821" s="19" t="s">
        <v>1903</v>
      </c>
      <c r="D821" s="19" t="s">
        <v>1884</v>
      </c>
      <c r="E821" s="19" t="s">
        <v>1895</v>
      </c>
      <c r="F821" s="19" t="s">
        <v>1859</v>
      </c>
      <c r="G821" s="19" t="s">
        <v>1922</v>
      </c>
      <c r="H821" s="19">
        <v>4</v>
      </c>
      <c r="I821" s="19">
        <v>1009.78</v>
      </c>
      <c r="J821" s="19">
        <v>4039.12</v>
      </c>
    </row>
    <row r="822" ht="15.25" spans="1:10">
      <c r="A822" s="18">
        <v>45026</v>
      </c>
      <c r="B822" s="19" t="s">
        <v>1848</v>
      </c>
      <c r="C822" s="19" t="s">
        <v>1864</v>
      </c>
      <c r="D822" s="19" t="s">
        <v>1857</v>
      </c>
      <c r="E822" s="19" t="s">
        <v>1858</v>
      </c>
      <c r="F822" s="19" t="s">
        <v>1876</v>
      </c>
      <c r="G822" s="19" t="s">
        <v>1877</v>
      </c>
      <c r="H822" s="19">
        <v>12</v>
      </c>
      <c r="I822" s="19">
        <v>231.07</v>
      </c>
      <c r="J822" s="19">
        <v>2772.84</v>
      </c>
    </row>
    <row r="823" ht="15.25" spans="1:10">
      <c r="A823" s="18">
        <v>45079</v>
      </c>
      <c r="B823" s="19" t="s">
        <v>1848</v>
      </c>
      <c r="C823" s="19" t="s">
        <v>1849</v>
      </c>
      <c r="D823" s="19" t="s">
        <v>1850</v>
      </c>
      <c r="E823" s="19" t="s">
        <v>1851</v>
      </c>
      <c r="F823" s="19" t="s">
        <v>1876</v>
      </c>
      <c r="G823" s="19" t="s">
        <v>1883</v>
      </c>
      <c r="H823" s="19">
        <v>12</v>
      </c>
      <c r="I823" s="19">
        <v>1410.03</v>
      </c>
      <c r="J823" s="19">
        <v>16920.36</v>
      </c>
    </row>
    <row r="824" ht="15.25" spans="1:10">
      <c r="A824" s="18">
        <v>45171</v>
      </c>
      <c r="B824" s="19" t="s">
        <v>1878</v>
      </c>
      <c r="C824" s="19" t="s">
        <v>1598</v>
      </c>
      <c r="D824" s="19" t="s">
        <v>1850</v>
      </c>
      <c r="E824" s="19" t="s">
        <v>1851</v>
      </c>
      <c r="F824" s="19" t="s">
        <v>1859</v>
      </c>
      <c r="G824" s="19" t="s">
        <v>1872</v>
      </c>
      <c r="H824" s="19">
        <v>6</v>
      </c>
      <c r="I824" s="19">
        <v>1610.91</v>
      </c>
      <c r="J824" s="19">
        <v>9665.46</v>
      </c>
    </row>
    <row r="825" ht="15.25" spans="1:10">
      <c r="A825" s="18">
        <v>45109</v>
      </c>
      <c r="B825" s="19" t="s">
        <v>1889</v>
      </c>
      <c r="C825" s="19" t="s">
        <v>1906</v>
      </c>
      <c r="D825" s="19" t="s">
        <v>1862</v>
      </c>
      <c r="E825" s="19" t="s">
        <v>1858</v>
      </c>
      <c r="F825" s="19" t="s">
        <v>1859</v>
      </c>
      <c r="G825" s="19" t="s">
        <v>1872</v>
      </c>
      <c r="H825" s="19">
        <v>7</v>
      </c>
      <c r="I825" s="19">
        <v>3396.62</v>
      </c>
      <c r="J825" s="19">
        <v>23776.34</v>
      </c>
    </row>
    <row r="826" ht="15.25" spans="1:10">
      <c r="A826" s="18">
        <v>45145</v>
      </c>
      <c r="B826" s="19" t="s">
        <v>1902</v>
      </c>
      <c r="C826" s="19" t="s">
        <v>1906</v>
      </c>
      <c r="D826" s="19" t="s">
        <v>1862</v>
      </c>
      <c r="E826" s="19" t="s">
        <v>1858</v>
      </c>
      <c r="F826" s="19" t="s">
        <v>1859</v>
      </c>
      <c r="G826" s="19" t="s">
        <v>1922</v>
      </c>
      <c r="H826" s="19">
        <v>14</v>
      </c>
      <c r="I826" s="19">
        <v>4164.33</v>
      </c>
      <c r="J826" s="19">
        <v>58300.62</v>
      </c>
    </row>
    <row r="827" ht="15.25" spans="1:10">
      <c r="A827" s="18" t="s">
        <v>1915</v>
      </c>
      <c r="B827" s="19" t="s">
        <v>1902</v>
      </c>
      <c r="C827" s="19" t="s">
        <v>1849</v>
      </c>
      <c r="D827" s="19" t="s">
        <v>1850</v>
      </c>
      <c r="E827" s="19" t="s">
        <v>1851</v>
      </c>
      <c r="F827" s="19" t="s">
        <v>1852</v>
      </c>
      <c r="G827" s="19" t="s">
        <v>1910</v>
      </c>
      <c r="H827" s="19">
        <v>12</v>
      </c>
      <c r="I827" s="19">
        <v>4414.27</v>
      </c>
      <c r="J827" s="19">
        <v>52971.24</v>
      </c>
    </row>
    <row r="828" ht="15.25" spans="1:10">
      <c r="A828" s="18" t="s">
        <v>2083</v>
      </c>
      <c r="B828" s="19" t="s">
        <v>1889</v>
      </c>
      <c r="C828" s="19" t="s">
        <v>1626</v>
      </c>
      <c r="D828" s="19" t="s">
        <v>1857</v>
      </c>
      <c r="E828" s="19" t="s">
        <v>1858</v>
      </c>
      <c r="F828" s="19" t="s">
        <v>1865</v>
      </c>
      <c r="G828" s="19" t="s">
        <v>1920</v>
      </c>
      <c r="H828" s="19">
        <v>13</v>
      </c>
      <c r="I828" s="19">
        <v>3101.42</v>
      </c>
      <c r="J828" s="19">
        <v>40318.46</v>
      </c>
    </row>
    <row r="829" ht="15.25" spans="1:10">
      <c r="A829" s="18" t="s">
        <v>2038</v>
      </c>
      <c r="B829" s="19" t="s">
        <v>1892</v>
      </c>
      <c r="C829" s="19" t="s">
        <v>1864</v>
      </c>
      <c r="D829" s="19" t="s">
        <v>1857</v>
      </c>
      <c r="E829" s="19" t="s">
        <v>1858</v>
      </c>
      <c r="F829" s="19" t="s">
        <v>1859</v>
      </c>
      <c r="G829" s="19" t="s">
        <v>1947</v>
      </c>
      <c r="H829" s="19">
        <v>18</v>
      </c>
      <c r="I829" s="19">
        <v>3002.55</v>
      </c>
      <c r="J829" s="19">
        <v>54045.9</v>
      </c>
    </row>
    <row r="830" ht="15.25" spans="1:10">
      <c r="A830" s="18">
        <v>45048</v>
      </c>
      <c r="B830" s="19" t="s">
        <v>1848</v>
      </c>
      <c r="C830" s="19" t="s">
        <v>1894</v>
      </c>
      <c r="D830" s="19" t="s">
        <v>1884</v>
      </c>
      <c r="E830" s="19" t="s">
        <v>1895</v>
      </c>
      <c r="F830" s="19" t="s">
        <v>1852</v>
      </c>
      <c r="G830" s="19" t="s">
        <v>1853</v>
      </c>
      <c r="H830" s="19">
        <v>13</v>
      </c>
      <c r="I830" s="19">
        <v>2098.65</v>
      </c>
      <c r="J830" s="19">
        <v>27282.45</v>
      </c>
    </row>
    <row r="831" ht="15.25" spans="1:10">
      <c r="A831" s="18">
        <v>45087</v>
      </c>
      <c r="B831" s="19" t="s">
        <v>1889</v>
      </c>
      <c r="C831" s="19" t="s">
        <v>1898</v>
      </c>
      <c r="D831" s="19" t="s">
        <v>1879</v>
      </c>
      <c r="E831" s="19" t="s">
        <v>1851</v>
      </c>
      <c r="F831" s="19" t="s">
        <v>1876</v>
      </c>
      <c r="G831" s="19" t="s">
        <v>1926</v>
      </c>
      <c r="H831" s="19">
        <v>5</v>
      </c>
      <c r="I831" s="19">
        <v>4106.79</v>
      </c>
      <c r="J831" s="19">
        <v>20533.95</v>
      </c>
    </row>
    <row r="832" ht="15.25" spans="1:10">
      <c r="A832" s="18" t="s">
        <v>1972</v>
      </c>
      <c r="B832" s="19" t="s">
        <v>1867</v>
      </c>
      <c r="C832" s="19" t="s">
        <v>1903</v>
      </c>
      <c r="D832" s="19" t="s">
        <v>1884</v>
      </c>
      <c r="E832" s="19" t="s">
        <v>1895</v>
      </c>
      <c r="F832" s="19" t="s">
        <v>1865</v>
      </c>
      <c r="G832" s="19" t="s">
        <v>1866</v>
      </c>
      <c r="H832" s="19">
        <v>1</v>
      </c>
      <c r="I832" s="19">
        <v>3041.26</v>
      </c>
      <c r="J832" s="19">
        <v>3041.26</v>
      </c>
    </row>
    <row r="833" ht="15.25" spans="1:10">
      <c r="A833" s="18" t="s">
        <v>1982</v>
      </c>
      <c r="B833" s="19" t="s">
        <v>1867</v>
      </c>
      <c r="C833" s="19" t="s">
        <v>1593</v>
      </c>
      <c r="D833" s="19" t="s">
        <v>1850</v>
      </c>
      <c r="E833" s="19" t="s">
        <v>1851</v>
      </c>
      <c r="F833" s="19" t="s">
        <v>1859</v>
      </c>
      <c r="G833" s="19" t="s">
        <v>1872</v>
      </c>
      <c r="H833" s="19">
        <v>7</v>
      </c>
      <c r="I833" s="19">
        <v>4514.21</v>
      </c>
      <c r="J833" s="19">
        <v>31599.47</v>
      </c>
    </row>
    <row r="834" ht="15.25" spans="1:10">
      <c r="A834" s="18" t="s">
        <v>2094</v>
      </c>
      <c r="B834" s="19" t="s">
        <v>1902</v>
      </c>
      <c r="C834" s="19" t="s">
        <v>1626</v>
      </c>
      <c r="D834" s="19" t="s">
        <v>1857</v>
      </c>
      <c r="E834" s="19" t="s">
        <v>1858</v>
      </c>
      <c r="F834" s="19" t="s">
        <v>1865</v>
      </c>
      <c r="G834" s="19" t="s">
        <v>1866</v>
      </c>
      <c r="H834" s="19">
        <v>18</v>
      </c>
      <c r="I834" s="19">
        <v>2971.68</v>
      </c>
      <c r="J834" s="19">
        <v>53490.24</v>
      </c>
    </row>
    <row r="835" ht="15.25" spans="1:10">
      <c r="A835" s="18" t="s">
        <v>1923</v>
      </c>
      <c r="B835" s="19" t="s">
        <v>1878</v>
      </c>
      <c r="C835" s="19" t="s">
        <v>1875</v>
      </c>
      <c r="D835" s="19" t="s">
        <v>1862</v>
      </c>
      <c r="E835" s="19" t="s">
        <v>1858</v>
      </c>
      <c r="F835" s="19" t="s">
        <v>1868</v>
      </c>
      <c r="G835" s="19" t="s">
        <v>1869</v>
      </c>
      <c r="H835" s="19">
        <v>6</v>
      </c>
      <c r="I835" s="19">
        <v>2263.36</v>
      </c>
      <c r="J835" s="19">
        <v>13580.16</v>
      </c>
    </row>
    <row r="836" ht="15.25" spans="1:10">
      <c r="A836" s="18" t="s">
        <v>2111</v>
      </c>
      <c r="B836" s="19" t="s">
        <v>1848</v>
      </c>
      <c r="C836" s="19" t="s">
        <v>1856</v>
      </c>
      <c r="D836" s="19" t="s">
        <v>1857</v>
      </c>
      <c r="E836" s="19" t="s">
        <v>1858</v>
      </c>
      <c r="F836" s="19" t="s">
        <v>1852</v>
      </c>
      <c r="G836" s="19" t="s">
        <v>1934</v>
      </c>
      <c r="H836" s="19">
        <v>8</v>
      </c>
      <c r="I836" s="19">
        <v>3859.28</v>
      </c>
      <c r="J836" s="19">
        <v>30874.24</v>
      </c>
    </row>
    <row r="837" ht="15.25" spans="1:10">
      <c r="A837" s="18" t="s">
        <v>2054</v>
      </c>
      <c r="B837" s="19" t="s">
        <v>1889</v>
      </c>
      <c r="C837" s="19" t="s">
        <v>1849</v>
      </c>
      <c r="D837" s="19" t="s">
        <v>1850</v>
      </c>
      <c r="E837" s="19" t="s">
        <v>1851</v>
      </c>
      <c r="F837" s="19" t="s">
        <v>1852</v>
      </c>
      <c r="G837" s="19" t="s">
        <v>1950</v>
      </c>
      <c r="H837" s="19">
        <v>14</v>
      </c>
      <c r="I837" s="19">
        <v>3044.71</v>
      </c>
      <c r="J837" s="19">
        <v>42625.94</v>
      </c>
    </row>
    <row r="838" ht="15.25" spans="1:10">
      <c r="A838" s="18" t="s">
        <v>2057</v>
      </c>
      <c r="B838" s="19" t="s">
        <v>1867</v>
      </c>
      <c r="C838" s="19" t="s">
        <v>1906</v>
      </c>
      <c r="D838" s="19" t="s">
        <v>1862</v>
      </c>
      <c r="E838" s="19" t="s">
        <v>1858</v>
      </c>
      <c r="F838" s="19" t="s">
        <v>1859</v>
      </c>
      <c r="G838" s="19" t="s">
        <v>1922</v>
      </c>
      <c r="H838" s="19">
        <v>11</v>
      </c>
      <c r="I838" s="19">
        <v>4653.38</v>
      </c>
      <c r="J838" s="19">
        <v>51187.18</v>
      </c>
    </row>
    <row r="839" ht="15.25" spans="1:10">
      <c r="A839" s="18">
        <v>45109</v>
      </c>
      <c r="B839" s="19" t="s">
        <v>1878</v>
      </c>
      <c r="C839" s="19" t="s">
        <v>1875</v>
      </c>
      <c r="D839" s="19" t="s">
        <v>1862</v>
      </c>
      <c r="E839" s="19" t="s">
        <v>1858</v>
      </c>
      <c r="F839" s="19" t="s">
        <v>1852</v>
      </c>
      <c r="G839" s="19" t="s">
        <v>1950</v>
      </c>
      <c r="H839" s="19">
        <v>9</v>
      </c>
      <c r="I839" s="19">
        <v>3425.59</v>
      </c>
      <c r="J839" s="19">
        <v>30830.31</v>
      </c>
    </row>
    <row r="840" ht="15.25" spans="1:10">
      <c r="A840" s="18" t="s">
        <v>2065</v>
      </c>
      <c r="B840" s="19" t="s">
        <v>1848</v>
      </c>
      <c r="C840" s="19" t="s">
        <v>1593</v>
      </c>
      <c r="D840" s="19" t="s">
        <v>1850</v>
      </c>
      <c r="E840" s="19" t="s">
        <v>1851</v>
      </c>
      <c r="F840" s="19" t="s">
        <v>1865</v>
      </c>
      <c r="G840" s="19" t="s">
        <v>1866</v>
      </c>
      <c r="H840" s="19">
        <v>15</v>
      </c>
      <c r="I840" s="19">
        <v>4671.69</v>
      </c>
      <c r="J840" s="19">
        <v>70075.35</v>
      </c>
    </row>
    <row r="841" ht="15.25" spans="1:10">
      <c r="A841" s="18" t="s">
        <v>2040</v>
      </c>
      <c r="B841" s="19" t="s">
        <v>1855</v>
      </c>
      <c r="C841" s="19" t="s">
        <v>1598</v>
      </c>
      <c r="D841" s="19" t="s">
        <v>1850</v>
      </c>
      <c r="E841" s="19" t="s">
        <v>1851</v>
      </c>
      <c r="F841" s="19" t="s">
        <v>1859</v>
      </c>
      <c r="G841" s="19" t="s">
        <v>1947</v>
      </c>
      <c r="H841" s="19">
        <v>5</v>
      </c>
      <c r="I841" s="19">
        <v>4600.38</v>
      </c>
      <c r="J841" s="19">
        <v>23001.9</v>
      </c>
    </row>
    <row r="842" ht="15.25" spans="1:10">
      <c r="A842" s="18">
        <v>45236</v>
      </c>
      <c r="B842" s="19" t="s">
        <v>1892</v>
      </c>
      <c r="C842" s="19" t="s">
        <v>1626</v>
      </c>
      <c r="D842" s="19" t="s">
        <v>1857</v>
      </c>
      <c r="E842" s="19" t="s">
        <v>1858</v>
      </c>
      <c r="F842" s="19" t="s">
        <v>1868</v>
      </c>
      <c r="G842" s="19" t="s">
        <v>1917</v>
      </c>
      <c r="H842" s="19">
        <v>19</v>
      </c>
      <c r="I842" s="19">
        <v>2183.09</v>
      </c>
      <c r="J842" s="19">
        <v>41478.71</v>
      </c>
    </row>
    <row r="843" ht="15.25" spans="1:10">
      <c r="A843" s="18" t="s">
        <v>2045</v>
      </c>
      <c r="B843" s="19" t="s">
        <v>1878</v>
      </c>
      <c r="C843" s="19" t="s">
        <v>1864</v>
      </c>
      <c r="D843" s="19" t="s">
        <v>1857</v>
      </c>
      <c r="E843" s="19" t="s">
        <v>1858</v>
      </c>
      <c r="F843" s="19" t="s">
        <v>1876</v>
      </c>
      <c r="G843" s="19" t="s">
        <v>1883</v>
      </c>
      <c r="H843" s="19">
        <v>8</v>
      </c>
      <c r="I843" s="19">
        <v>1850.8</v>
      </c>
      <c r="J843" s="19">
        <v>14806.4</v>
      </c>
    </row>
    <row r="844" ht="15.25" spans="1:10">
      <c r="A844" s="18">
        <v>45272</v>
      </c>
      <c r="B844" s="19" t="s">
        <v>1855</v>
      </c>
      <c r="C844" s="19" t="s">
        <v>1903</v>
      </c>
      <c r="D844" s="19" t="s">
        <v>1884</v>
      </c>
      <c r="E844" s="19" t="s">
        <v>1895</v>
      </c>
      <c r="F844" s="19" t="s">
        <v>1876</v>
      </c>
      <c r="G844" s="19" t="s">
        <v>1926</v>
      </c>
      <c r="H844" s="19">
        <v>12</v>
      </c>
      <c r="I844" s="19">
        <v>3695.68</v>
      </c>
      <c r="J844" s="19">
        <v>44348.16</v>
      </c>
    </row>
    <row r="845" ht="15.25" spans="1:10">
      <c r="A845" s="18">
        <v>45267</v>
      </c>
      <c r="B845" s="19" t="s">
        <v>1848</v>
      </c>
      <c r="C845" s="19" t="s">
        <v>1610</v>
      </c>
      <c r="D845" s="19" t="s">
        <v>1879</v>
      </c>
      <c r="E845" s="19" t="s">
        <v>1851</v>
      </c>
      <c r="F845" s="19" t="s">
        <v>1852</v>
      </c>
      <c r="G845" s="19" t="s">
        <v>1950</v>
      </c>
      <c r="H845" s="19">
        <v>14</v>
      </c>
      <c r="I845" s="19">
        <v>3099.57</v>
      </c>
      <c r="J845" s="19">
        <v>43393.98</v>
      </c>
    </row>
    <row r="846" ht="15.25" spans="1:10">
      <c r="A846" s="18" t="s">
        <v>1880</v>
      </c>
      <c r="B846" s="19" t="s">
        <v>1874</v>
      </c>
      <c r="C846" s="19" t="s">
        <v>1849</v>
      </c>
      <c r="D846" s="19" t="s">
        <v>1850</v>
      </c>
      <c r="E846" s="19" t="s">
        <v>1851</v>
      </c>
      <c r="F846" s="19" t="s">
        <v>1865</v>
      </c>
      <c r="G846" s="19" t="s">
        <v>1886</v>
      </c>
      <c r="H846" s="19">
        <v>1</v>
      </c>
      <c r="I846" s="19">
        <v>3758.07</v>
      </c>
      <c r="J846" s="19">
        <v>3758.07</v>
      </c>
    </row>
    <row r="847" ht="15.25" spans="1:10">
      <c r="A847" s="18" t="s">
        <v>1954</v>
      </c>
      <c r="B847" s="19" t="s">
        <v>1871</v>
      </c>
      <c r="C847" s="19" t="s">
        <v>1894</v>
      </c>
      <c r="D847" s="19" t="s">
        <v>1884</v>
      </c>
      <c r="E847" s="19" t="s">
        <v>1895</v>
      </c>
      <c r="F847" s="19" t="s">
        <v>1852</v>
      </c>
      <c r="G847" s="19" t="s">
        <v>1910</v>
      </c>
      <c r="H847" s="19">
        <v>5</v>
      </c>
      <c r="I847" s="19">
        <v>2536.65</v>
      </c>
      <c r="J847" s="19">
        <v>12683.25</v>
      </c>
    </row>
    <row r="848" ht="15.25" spans="1:10">
      <c r="A848" s="18" t="s">
        <v>2048</v>
      </c>
      <c r="B848" s="19" t="s">
        <v>1874</v>
      </c>
      <c r="C848" s="19" t="s">
        <v>1593</v>
      </c>
      <c r="D848" s="19" t="s">
        <v>1850</v>
      </c>
      <c r="E848" s="19" t="s">
        <v>1851</v>
      </c>
      <c r="F848" s="19" t="s">
        <v>1868</v>
      </c>
      <c r="G848" s="19" t="s">
        <v>1907</v>
      </c>
      <c r="H848" s="19">
        <v>9</v>
      </c>
      <c r="I848" s="19">
        <v>564.08</v>
      </c>
      <c r="J848" s="19">
        <v>5076.72</v>
      </c>
    </row>
    <row r="849" ht="15.25" spans="1:10">
      <c r="A849" s="18" t="s">
        <v>2018</v>
      </c>
      <c r="B849" s="19" t="s">
        <v>1848</v>
      </c>
      <c r="C849" s="19" t="s">
        <v>1602</v>
      </c>
      <c r="D849" s="19" t="s">
        <v>1862</v>
      </c>
      <c r="E849" s="19" t="s">
        <v>1858</v>
      </c>
      <c r="F849" s="19" t="s">
        <v>1868</v>
      </c>
      <c r="G849" s="19" t="s">
        <v>1899</v>
      </c>
      <c r="H849" s="19">
        <v>4</v>
      </c>
      <c r="I849" s="19">
        <v>3762.47</v>
      </c>
      <c r="J849" s="19">
        <v>15049.88</v>
      </c>
    </row>
    <row r="850" ht="15.25" spans="1:10">
      <c r="A850" s="18" t="s">
        <v>1952</v>
      </c>
      <c r="B850" s="19" t="s">
        <v>1861</v>
      </c>
      <c r="C850" s="19" t="s">
        <v>1941</v>
      </c>
      <c r="D850" s="19" t="s">
        <v>1879</v>
      </c>
      <c r="E850" s="19" t="s">
        <v>1851</v>
      </c>
      <c r="F850" s="19" t="s">
        <v>1868</v>
      </c>
      <c r="G850" s="19" t="s">
        <v>1917</v>
      </c>
      <c r="H850" s="19">
        <v>5</v>
      </c>
      <c r="I850" s="19">
        <v>4180.57</v>
      </c>
      <c r="J850" s="19">
        <v>20902.85</v>
      </c>
    </row>
    <row r="851" ht="15.25" spans="1:10">
      <c r="A851" s="18" t="s">
        <v>1987</v>
      </c>
      <c r="B851" s="19" t="s">
        <v>1878</v>
      </c>
      <c r="C851" s="19" t="s">
        <v>1906</v>
      </c>
      <c r="D851" s="19" t="s">
        <v>1862</v>
      </c>
      <c r="E851" s="19" t="s">
        <v>1858</v>
      </c>
      <c r="F851" s="19" t="s">
        <v>1852</v>
      </c>
      <c r="G851" s="19" t="s">
        <v>1910</v>
      </c>
      <c r="H851" s="19">
        <v>5</v>
      </c>
      <c r="I851" s="19">
        <v>1947.01</v>
      </c>
      <c r="J851" s="19">
        <v>9735.05</v>
      </c>
    </row>
    <row r="852" ht="15.25" spans="1:10">
      <c r="A852" s="18" t="s">
        <v>1981</v>
      </c>
      <c r="B852" s="19" t="s">
        <v>1848</v>
      </c>
      <c r="C852" s="19" t="s">
        <v>1849</v>
      </c>
      <c r="D852" s="19" t="s">
        <v>1850</v>
      </c>
      <c r="E852" s="19" t="s">
        <v>1851</v>
      </c>
      <c r="F852" s="19" t="s">
        <v>1865</v>
      </c>
      <c r="G852" s="19" t="s">
        <v>1890</v>
      </c>
      <c r="H852" s="19">
        <v>13</v>
      </c>
      <c r="I852" s="19">
        <v>4686.21</v>
      </c>
      <c r="J852" s="19">
        <v>60920.73</v>
      </c>
    </row>
    <row r="853" ht="15.25" spans="1:10">
      <c r="A853" s="18" t="s">
        <v>1968</v>
      </c>
      <c r="B853" s="19" t="s">
        <v>1861</v>
      </c>
      <c r="C853" s="19" t="s">
        <v>1849</v>
      </c>
      <c r="D853" s="19" t="s">
        <v>1850</v>
      </c>
      <c r="E853" s="19" t="s">
        <v>1851</v>
      </c>
      <c r="F853" s="19" t="s">
        <v>1852</v>
      </c>
      <c r="G853" s="19" t="s">
        <v>1853</v>
      </c>
      <c r="H853" s="19">
        <v>7</v>
      </c>
      <c r="I853" s="19">
        <v>4418.17</v>
      </c>
      <c r="J853" s="19">
        <v>30927.19</v>
      </c>
    </row>
    <row r="854" ht="15.25" spans="1:10">
      <c r="A854" s="18">
        <v>45179</v>
      </c>
      <c r="B854" s="19" t="s">
        <v>1878</v>
      </c>
      <c r="C854" s="19" t="s">
        <v>1598</v>
      </c>
      <c r="D854" s="19" t="s">
        <v>1850</v>
      </c>
      <c r="E854" s="19" t="s">
        <v>1851</v>
      </c>
      <c r="F854" s="19" t="s">
        <v>1865</v>
      </c>
      <c r="G854" s="19" t="s">
        <v>1920</v>
      </c>
      <c r="H854" s="19">
        <v>19</v>
      </c>
      <c r="I854" s="19">
        <v>4186.64</v>
      </c>
      <c r="J854" s="19">
        <v>79546.16</v>
      </c>
    </row>
    <row r="855" ht="15.25" spans="1:10">
      <c r="A855" s="18">
        <v>45084</v>
      </c>
      <c r="B855" s="19" t="s">
        <v>1855</v>
      </c>
      <c r="C855" s="19" t="s">
        <v>1898</v>
      </c>
      <c r="D855" s="19" t="s">
        <v>1879</v>
      </c>
      <c r="E855" s="19" t="s">
        <v>1851</v>
      </c>
      <c r="F855" s="19" t="s">
        <v>1852</v>
      </c>
      <c r="G855" s="19" t="s">
        <v>1853</v>
      </c>
      <c r="H855" s="19">
        <v>6</v>
      </c>
      <c r="I855" s="19">
        <v>1003.96</v>
      </c>
      <c r="J855" s="19">
        <v>6023.76</v>
      </c>
    </row>
    <row r="856" ht="15.25" spans="1:10">
      <c r="A856" s="18" t="s">
        <v>2112</v>
      </c>
      <c r="B856" s="19" t="s">
        <v>1889</v>
      </c>
      <c r="C856" s="19" t="s">
        <v>1864</v>
      </c>
      <c r="D856" s="19" t="s">
        <v>1857</v>
      </c>
      <c r="E856" s="19" t="s">
        <v>1858</v>
      </c>
      <c r="F856" s="19" t="s">
        <v>1876</v>
      </c>
      <c r="G856" s="19" t="s">
        <v>1883</v>
      </c>
      <c r="H856" s="19">
        <v>13</v>
      </c>
      <c r="I856" s="19">
        <v>1028.74</v>
      </c>
      <c r="J856" s="19">
        <v>13373.62</v>
      </c>
    </row>
    <row r="857" ht="15.25" spans="1:10">
      <c r="A857" s="18" t="s">
        <v>2025</v>
      </c>
      <c r="B857" s="19" t="s">
        <v>1871</v>
      </c>
      <c r="C857" s="19" t="s">
        <v>1856</v>
      </c>
      <c r="D857" s="19" t="s">
        <v>1857</v>
      </c>
      <c r="E857" s="19" t="s">
        <v>1858</v>
      </c>
      <c r="F857" s="19" t="s">
        <v>1865</v>
      </c>
      <c r="G857" s="19" t="s">
        <v>1920</v>
      </c>
      <c r="H857" s="19">
        <v>20</v>
      </c>
      <c r="I857" s="19">
        <v>4751.14</v>
      </c>
      <c r="J857" s="19">
        <v>95022.8</v>
      </c>
    </row>
    <row r="858" ht="15.25" spans="1:10">
      <c r="A858" s="18" t="s">
        <v>2066</v>
      </c>
      <c r="B858" s="19" t="s">
        <v>1848</v>
      </c>
      <c r="C858" s="19" t="s">
        <v>1875</v>
      </c>
      <c r="D858" s="19" t="s">
        <v>1862</v>
      </c>
      <c r="E858" s="19" t="s">
        <v>1858</v>
      </c>
      <c r="F858" s="19" t="s">
        <v>1865</v>
      </c>
      <c r="G858" s="19" t="s">
        <v>1890</v>
      </c>
      <c r="H858" s="19">
        <v>8</v>
      </c>
      <c r="I858" s="19">
        <v>565.82</v>
      </c>
      <c r="J858" s="19">
        <v>4526.56</v>
      </c>
    </row>
    <row r="859" ht="15.25" spans="1:10">
      <c r="A859" s="18" t="s">
        <v>2052</v>
      </c>
      <c r="B859" s="19" t="s">
        <v>1861</v>
      </c>
      <c r="C859" s="19" t="s">
        <v>1598</v>
      </c>
      <c r="D859" s="19" t="s">
        <v>1850</v>
      </c>
      <c r="E859" s="19" t="s">
        <v>1851</v>
      </c>
      <c r="F859" s="19" t="s">
        <v>1876</v>
      </c>
      <c r="G859" s="19" t="s">
        <v>1926</v>
      </c>
      <c r="H859" s="19">
        <v>1</v>
      </c>
      <c r="I859" s="19">
        <v>1903.53</v>
      </c>
      <c r="J859" s="19">
        <v>1903.53</v>
      </c>
    </row>
    <row r="860" ht="15.25" spans="1:10">
      <c r="A860" s="18">
        <v>45149</v>
      </c>
      <c r="B860" s="19" t="s">
        <v>1871</v>
      </c>
      <c r="C860" s="19" t="s">
        <v>1941</v>
      </c>
      <c r="D860" s="19" t="s">
        <v>1879</v>
      </c>
      <c r="E860" s="19" t="s">
        <v>1851</v>
      </c>
      <c r="F860" s="19" t="s">
        <v>1859</v>
      </c>
      <c r="G860" s="19" t="s">
        <v>1860</v>
      </c>
      <c r="H860" s="19">
        <v>20</v>
      </c>
      <c r="I860" s="19">
        <v>3286.69</v>
      </c>
      <c r="J860" s="19">
        <v>65733.8</v>
      </c>
    </row>
    <row r="861" ht="15.25" spans="1:10">
      <c r="A861" s="18" t="s">
        <v>2111</v>
      </c>
      <c r="B861" s="19" t="s">
        <v>1848</v>
      </c>
      <c r="C861" s="19" t="s">
        <v>1589</v>
      </c>
      <c r="D861" s="19" t="s">
        <v>1884</v>
      </c>
      <c r="E861" s="19" t="s">
        <v>1895</v>
      </c>
      <c r="F861" s="19" t="s">
        <v>1859</v>
      </c>
      <c r="G861" s="19" t="s">
        <v>1922</v>
      </c>
      <c r="H861" s="19">
        <v>20</v>
      </c>
      <c r="I861" s="19">
        <v>1176.4</v>
      </c>
      <c r="J861" s="19">
        <v>23528</v>
      </c>
    </row>
    <row r="862" ht="15.25" spans="1:10">
      <c r="A862" s="18" t="s">
        <v>2006</v>
      </c>
      <c r="B862" s="19" t="s">
        <v>1848</v>
      </c>
      <c r="C862" s="19" t="s">
        <v>1898</v>
      </c>
      <c r="D862" s="19" t="s">
        <v>1879</v>
      </c>
      <c r="E862" s="19" t="s">
        <v>1851</v>
      </c>
      <c r="F862" s="19" t="s">
        <v>1859</v>
      </c>
      <c r="G862" s="19" t="s">
        <v>1860</v>
      </c>
      <c r="H862" s="19">
        <v>11</v>
      </c>
      <c r="I862" s="19">
        <v>2038.9</v>
      </c>
      <c r="J862" s="19">
        <v>22427.9</v>
      </c>
    </row>
    <row r="863" ht="15.25" spans="1:10">
      <c r="A863" s="18">
        <v>44929</v>
      </c>
      <c r="B863" s="19" t="s">
        <v>1861</v>
      </c>
      <c r="C863" s="19" t="s">
        <v>1856</v>
      </c>
      <c r="D863" s="19" t="s">
        <v>1857</v>
      </c>
      <c r="E863" s="19" t="s">
        <v>1858</v>
      </c>
      <c r="F863" s="19" t="s">
        <v>1859</v>
      </c>
      <c r="G863" s="19" t="s">
        <v>1947</v>
      </c>
      <c r="H863" s="19">
        <v>19</v>
      </c>
      <c r="I863" s="19">
        <v>3990.16</v>
      </c>
      <c r="J863" s="19">
        <v>75813.04</v>
      </c>
    </row>
    <row r="864" ht="15.25" spans="1:10">
      <c r="A864" s="18" t="s">
        <v>2033</v>
      </c>
      <c r="B864" s="19" t="s">
        <v>1902</v>
      </c>
      <c r="C864" s="19" t="s">
        <v>1894</v>
      </c>
      <c r="D864" s="19" t="s">
        <v>1884</v>
      </c>
      <c r="E864" s="19" t="s">
        <v>1895</v>
      </c>
      <c r="F864" s="19" t="s">
        <v>1865</v>
      </c>
      <c r="G864" s="19" t="s">
        <v>1886</v>
      </c>
      <c r="H864" s="19">
        <v>15</v>
      </c>
      <c r="I864" s="19">
        <v>3765.36</v>
      </c>
      <c r="J864" s="19">
        <v>56480.4</v>
      </c>
    </row>
    <row r="865" ht="15.25" spans="1:10">
      <c r="A865" s="18" t="s">
        <v>2113</v>
      </c>
      <c r="B865" s="19" t="s">
        <v>1867</v>
      </c>
      <c r="C865" s="19" t="s">
        <v>1626</v>
      </c>
      <c r="D865" s="19" t="s">
        <v>1857</v>
      </c>
      <c r="E865" s="19" t="s">
        <v>1858</v>
      </c>
      <c r="F865" s="19" t="s">
        <v>1865</v>
      </c>
      <c r="G865" s="19" t="s">
        <v>1890</v>
      </c>
      <c r="H865" s="19">
        <v>12</v>
      </c>
      <c r="I865" s="19">
        <v>1794.88</v>
      </c>
      <c r="J865" s="19">
        <v>21538.56</v>
      </c>
    </row>
    <row r="866" ht="15.25" spans="1:10">
      <c r="A866" s="18" t="s">
        <v>2114</v>
      </c>
      <c r="B866" s="19" t="s">
        <v>1874</v>
      </c>
      <c r="C866" s="19" t="s">
        <v>1602</v>
      </c>
      <c r="D866" s="19" t="s">
        <v>1862</v>
      </c>
      <c r="E866" s="19" t="s">
        <v>1858</v>
      </c>
      <c r="F866" s="19" t="s">
        <v>1876</v>
      </c>
      <c r="G866" s="19" t="s">
        <v>1926</v>
      </c>
      <c r="H866" s="19">
        <v>19</v>
      </c>
      <c r="I866" s="19">
        <v>2750.97</v>
      </c>
      <c r="J866" s="19">
        <v>52268.43</v>
      </c>
    </row>
    <row r="867" ht="15.25" spans="1:10">
      <c r="A867" s="18" t="s">
        <v>1923</v>
      </c>
      <c r="B867" s="19" t="s">
        <v>1902</v>
      </c>
      <c r="C867" s="19" t="s">
        <v>1849</v>
      </c>
      <c r="D867" s="19" t="s">
        <v>1850</v>
      </c>
      <c r="E867" s="19" t="s">
        <v>1851</v>
      </c>
      <c r="F867" s="19" t="s">
        <v>1859</v>
      </c>
      <c r="G867" s="19" t="s">
        <v>1860</v>
      </c>
      <c r="H867" s="19">
        <v>17</v>
      </c>
      <c r="I867" s="19">
        <v>3677.4</v>
      </c>
      <c r="J867" s="19">
        <v>62515.8</v>
      </c>
    </row>
    <row r="868" ht="15.25" spans="1:10">
      <c r="A868" s="18" t="s">
        <v>1909</v>
      </c>
      <c r="B868" s="19" t="s">
        <v>1902</v>
      </c>
      <c r="C868" s="19" t="s">
        <v>1598</v>
      </c>
      <c r="D868" s="19" t="s">
        <v>1850</v>
      </c>
      <c r="E868" s="19" t="s">
        <v>1851</v>
      </c>
      <c r="F868" s="19" t="s">
        <v>1859</v>
      </c>
      <c r="G868" s="19" t="s">
        <v>1860</v>
      </c>
      <c r="H868" s="19">
        <v>7</v>
      </c>
      <c r="I868" s="19">
        <v>2253.94</v>
      </c>
      <c r="J868" s="19">
        <v>15777.58</v>
      </c>
    </row>
    <row r="869" ht="15.25" spans="1:10">
      <c r="A869" s="18" t="s">
        <v>2021</v>
      </c>
      <c r="B869" s="19" t="s">
        <v>1861</v>
      </c>
      <c r="C869" s="19" t="s">
        <v>1602</v>
      </c>
      <c r="D869" s="19" t="s">
        <v>1862</v>
      </c>
      <c r="E869" s="19" t="s">
        <v>1858</v>
      </c>
      <c r="F869" s="19" t="s">
        <v>1868</v>
      </c>
      <c r="G869" s="19" t="s">
        <v>1907</v>
      </c>
      <c r="H869" s="19">
        <v>8</v>
      </c>
      <c r="I869" s="19">
        <v>1762.43</v>
      </c>
      <c r="J869" s="19">
        <v>14099.44</v>
      </c>
    </row>
    <row r="870" ht="15.25" spans="1:10">
      <c r="A870" s="18" t="s">
        <v>1904</v>
      </c>
      <c r="B870" s="19" t="s">
        <v>1861</v>
      </c>
      <c r="C870" s="19" t="s">
        <v>1856</v>
      </c>
      <c r="D870" s="19" t="s">
        <v>1857</v>
      </c>
      <c r="E870" s="19" t="s">
        <v>1858</v>
      </c>
      <c r="F870" s="19" t="s">
        <v>1852</v>
      </c>
      <c r="G870" s="19" t="s">
        <v>1910</v>
      </c>
      <c r="H870" s="19">
        <v>20</v>
      </c>
      <c r="I870" s="19">
        <v>278.55</v>
      </c>
      <c r="J870" s="19">
        <v>5571</v>
      </c>
    </row>
    <row r="871" ht="15.25" spans="1:10">
      <c r="A871" s="18" t="s">
        <v>1933</v>
      </c>
      <c r="B871" s="19" t="s">
        <v>1848</v>
      </c>
      <c r="C871" s="19" t="s">
        <v>1849</v>
      </c>
      <c r="D871" s="19" t="s">
        <v>1850</v>
      </c>
      <c r="E871" s="19" t="s">
        <v>1851</v>
      </c>
      <c r="F871" s="19" t="s">
        <v>1852</v>
      </c>
      <c r="G871" s="19" t="s">
        <v>1910</v>
      </c>
      <c r="H871" s="19">
        <v>7</v>
      </c>
      <c r="I871" s="19">
        <v>1940.86</v>
      </c>
      <c r="J871" s="19">
        <v>13586.02</v>
      </c>
    </row>
    <row r="872" ht="15.25" spans="1:10">
      <c r="A872" s="18">
        <v>44967</v>
      </c>
      <c r="B872" s="19" t="s">
        <v>1848</v>
      </c>
      <c r="C872" s="19" t="s">
        <v>1856</v>
      </c>
      <c r="D872" s="19" t="s">
        <v>1857</v>
      </c>
      <c r="E872" s="19" t="s">
        <v>1858</v>
      </c>
      <c r="F872" s="19" t="s">
        <v>1868</v>
      </c>
      <c r="G872" s="19" t="s">
        <v>1899</v>
      </c>
      <c r="H872" s="19">
        <v>1</v>
      </c>
      <c r="I872" s="19">
        <v>414.64</v>
      </c>
      <c r="J872" s="19">
        <v>414.64</v>
      </c>
    </row>
    <row r="873" ht="15.25" spans="1:10">
      <c r="A873" s="18">
        <v>45026</v>
      </c>
      <c r="B873" s="19" t="s">
        <v>1861</v>
      </c>
      <c r="C873" s="19" t="s">
        <v>1906</v>
      </c>
      <c r="D873" s="19" t="s">
        <v>1862</v>
      </c>
      <c r="E873" s="19" t="s">
        <v>1858</v>
      </c>
      <c r="F873" s="19" t="s">
        <v>1859</v>
      </c>
      <c r="G873" s="19" t="s">
        <v>1872</v>
      </c>
      <c r="H873" s="19">
        <v>7</v>
      </c>
      <c r="I873" s="19">
        <v>1073.54</v>
      </c>
      <c r="J873" s="19">
        <v>7514.78</v>
      </c>
    </row>
    <row r="874" ht="15.25" spans="1:10">
      <c r="A874" s="18">
        <v>45146</v>
      </c>
      <c r="B874" s="19" t="s">
        <v>1874</v>
      </c>
      <c r="C874" s="19" t="s">
        <v>1856</v>
      </c>
      <c r="D874" s="19" t="s">
        <v>1857</v>
      </c>
      <c r="E874" s="19" t="s">
        <v>1858</v>
      </c>
      <c r="F874" s="19" t="s">
        <v>1876</v>
      </c>
      <c r="G874" s="19" t="s">
        <v>1930</v>
      </c>
      <c r="H874" s="19">
        <v>2</v>
      </c>
      <c r="I874" s="19">
        <v>2078.33</v>
      </c>
      <c r="J874" s="19">
        <v>4156.66</v>
      </c>
    </row>
    <row r="875" ht="15.25" spans="1:10">
      <c r="A875" s="18" t="s">
        <v>1915</v>
      </c>
      <c r="B875" s="19" t="s">
        <v>1867</v>
      </c>
      <c r="C875" s="19" t="s">
        <v>1589</v>
      </c>
      <c r="D875" s="19" t="s">
        <v>1884</v>
      </c>
      <c r="E875" s="19" t="s">
        <v>1895</v>
      </c>
      <c r="F875" s="19" t="s">
        <v>1852</v>
      </c>
      <c r="G875" s="19" t="s">
        <v>1934</v>
      </c>
      <c r="H875" s="19">
        <v>15</v>
      </c>
      <c r="I875" s="19">
        <v>4188.84</v>
      </c>
      <c r="J875" s="19">
        <v>62832.6</v>
      </c>
    </row>
    <row r="876" ht="15.25" spans="1:10">
      <c r="A876" s="18">
        <v>45175</v>
      </c>
      <c r="B876" s="19" t="s">
        <v>1889</v>
      </c>
      <c r="C876" s="19" t="s">
        <v>1856</v>
      </c>
      <c r="D876" s="19" t="s">
        <v>1857</v>
      </c>
      <c r="E876" s="19" t="s">
        <v>1858</v>
      </c>
      <c r="F876" s="19" t="s">
        <v>1865</v>
      </c>
      <c r="G876" s="19" t="s">
        <v>1920</v>
      </c>
      <c r="H876" s="19">
        <v>16</v>
      </c>
      <c r="I876" s="19">
        <v>3046.66</v>
      </c>
      <c r="J876" s="19">
        <v>48746.56</v>
      </c>
    </row>
    <row r="877" ht="15.25" spans="1:10">
      <c r="A877" s="18">
        <v>45085</v>
      </c>
      <c r="B877" s="19" t="s">
        <v>1874</v>
      </c>
      <c r="C877" s="19" t="s">
        <v>1856</v>
      </c>
      <c r="D877" s="19" t="s">
        <v>1857</v>
      </c>
      <c r="E877" s="19" t="s">
        <v>1858</v>
      </c>
      <c r="F877" s="19" t="s">
        <v>1865</v>
      </c>
      <c r="G877" s="19" t="s">
        <v>1920</v>
      </c>
      <c r="H877" s="19">
        <v>13</v>
      </c>
      <c r="I877" s="19">
        <v>566.56</v>
      </c>
      <c r="J877" s="19">
        <v>7365.28</v>
      </c>
    </row>
    <row r="878" ht="15.25" spans="1:10">
      <c r="A878" s="18">
        <v>45207</v>
      </c>
      <c r="B878" s="19" t="s">
        <v>1874</v>
      </c>
      <c r="C878" s="19" t="s">
        <v>1903</v>
      </c>
      <c r="D878" s="19" t="s">
        <v>1884</v>
      </c>
      <c r="E878" s="19" t="s">
        <v>1895</v>
      </c>
      <c r="F878" s="19" t="s">
        <v>1876</v>
      </c>
      <c r="G878" s="19" t="s">
        <v>1930</v>
      </c>
      <c r="H878" s="19">
        <v>9</v>
      </c>
      <c r="I878" s="19">
        <v>4726.68</v>
      </c>
      <c r="J878" s="19">
        <v>42540.12</v>
      </c>
    </row>
    <row r="879" ht="15.25" spans="1:10">
      <c r="A879" s="18" t="s">
        <v>1983</v>
      </c>
      <c r="B879" s="19" t="s">
        <v>1902</v>
      </c>
      <c r="C879" s="19" t="s">
        <v>1906</v>
      </c>
      <c r="D879" s="19" t="s">
        <v>1862</v>
      </c>
      <c r="E879" s="19" t="s">
        <v>1858</v>
      </c>
      <c r="F879" s="19" t="s">
        <v>1865</v>
      </c>
      <c r="G879" s="19" t="s">
        <v>1920</v>
      </c>
      <c r="H879" s="19">
        <v>15</v>
      </c>
      <c r="I879" s="19">
        <v>2503.47</v>
      </c>
      <c r="J879" s="19">
        <v>37552.05</v>
      </c>
    </row>
    <row r="880" ht="15.25" spans="1:10">
      <c r="A880" s="18">
        <v>45237</v>
      </c>
      <c r="B880" s="19" t="s">
        <v>1861</v>
      </c>
      <c r="C880" s="19" t="s">
        <v>1906</v>
      </c>
      <c r="D880" s="19" t="s">
        <v>1862</v>
      </c>
      <c r="E880" s="19" t="s">
        <v>1858</v>
      </c>
      <c r="F880" s="19" t="s">
        <v>1868</v>
      </c>
      <c r="G880" s="19" t="s">
        <v>1899</v>
      </c>
      <c r="H880" s="19">
        <v>13</v>
      </c>
      <c r="I880" s="19">
        <v>2244.77</v>
      </c>
      <c r="J880" s="19">
        <v>29182.01</v>
      </c>
    </row>
    <row r="881" ht="15.25" spans="1:10">
      <c r="A881" s="18">
        <v>45242</v>
      </c>
      <c r="B881" s="19" t="s">
        <v>1878</v>
      </c>
      <c r="C881" s="19" t="s">
        <v>1598</v>
      </c>
      <c r="D881" s="19" t="s">
        <v>1850</v>
      </c>
      <c r="E881" s="19" t="s">
        <v>1851</v>
      </c>
      <c r="F881" s="19" t="s">
        <v>1859</v>
      </c>
      <c r="G881" s="19" t="s">
        <v>1860</v>
      </c>
      <c r="H881" s="19">
        <v>18</v>
      </c>
      <c r="I881" s="19">
        <v>3559.2</v>
      </c>
      <c r="J881" s="19">
        <v>64065.6</v>
      </c>
    </row>
    <row r="882" ht="15.25" spans="1:10">
      <c r="A882" s="18" t="s">
        <v>2045</v>
      </c>
      <c r="B882" s="19" t="s">
        <v>1867</v>
      </c>
      <c r="C882" s="19" t="s">
        <v>1875</v>
      </c>
      <c r="D882" s="19" t="s">
        <v>1862</v>
      </c>
      <c r="E882" s="19" t="s">
        <v>1858</v>
      </c>
      <c r="F882" s="19" t="s">
        <v>1865</v>
      </c>
      <c r="G882" s="19" t="s">
        <v>1920</v>
      </c>
      <c r="H882" s="19">
        <v>16</v>
      </c>
      <c r="I882" s="19">
        <v>4238.64</v>
      </c>
      <c r="J882" s="19">
        <v>67818.24</v>
      </c>
    </row>
    <row r="883" ht="15.25" spans="1:10">
      <c r="A883" s="18" t="s">
        <v>1971</v>
      </c>
      <c r="B883" s="19" t="s">
        <v>1871</v>
      </c>
      <c r="C883" s="19" t="s">
        <v>1593</v>
      </c>
      <c r="D883" s="19" t="s">
        <v>1850</v>
      </c>
      <c r="E883" s="19" t="s">
        <v>1851</v>
      </c>
      <c r="F883" s="19" t="s">
        <v>1865</v>
      </c>
      <c r="G883" s="19" t="s">
        <v>1920</v>
      </c>
      <c r="H883" s="19">
        <v>13</v>
      </c>
      <c r="I883" s="19">
        <v>151.65</v>
      </c>
      <c r="J883" s="19">
        <v>1971.45</v>
      </c>
    </row>
    <row r="884" ht="15.25" spans="1:10">
      <c r="A884" s="18">
        <v>45175</v>
      </c>
      <c r="B884" s="19" t="s">
        <v>1848</v>
      </c>
      <c r="C884" s="19" t="s">
        <v>1593</v>
      </c>
      <c r="D884" s="19" t="s">
        <v>1850</v>
      </c>
      <c r="E884" s="19" t="s">
        <v>1851</v>
      </c>
      <c r="F884" s="19" t="s">
        <v>1852</v>
      </c>
      <c r="G884" s="19" t="s">
        <v>1950</v>
      </c>
      <c r="H884" s="19">
        <v>11</v>
      </c>
      <c r="I884" s="19">
        <v>4242.9</v>
      </c>
      <c r="J884" s="19">
        <v>46671.9</v>
      </c>
    </row>
    <row r="885" ht="15.25" spans="1:10">
      <c r="A885" s="18" t="s">
        <v>1977</v>
      </c>
      <c r="B885" s="19" t="s">
        <v>1855</v>
      </c>
      <c r="C885" s="19" t="s">
        <v>1898</v>
      </c>
      <c r="D885" s="19" t="s">
        <v>1879</v>
      </c>
      <c r="E885" s="19" t="s">
        <v>1851</v>
      </c>
      <c r="F885" s="19" t="s">
        <v>1868</v>
      </c>
      <c r="G885" s="19" t="s">
        <v>1869</v>
      </c>
      <c r="H885" s="19">
        <v>9</v>
      </c>
      <c r="I885" s="19">
        <v>4639.93</v>
      </c>
      <c r="J885" s="19">
        <v>41759.37</v>
      </c>
    </row>
    <row r="886" ht="15.25" spans="1:10">
      <c r="A886" s="18" t="s">
        <v>2085</v>
      </c>
      <c r="B886" s="19" t="s">
        <v>1878</v>
      </c>
      <c r="C886" s="19" t="s">
        <v>1864</v>
      </c>
      <c r="D886" s="19" t="s">
        <v>1857</v>
      </c>
      <c r="E886" s="19" t="s">
        <v>1858</v>
      </c>
      <c r="F886" s="19" t="s">
        <v>1865</v>
      </c>
      <c r="G886" s="19" t="s">
        <v>1886</v>
      </c>
      <c r="H886" s="19">
        <v>4</v>
      </c>
      <c r="I886" s="19">
        <v>4336.92</v>
      </c>
      <c r="J886" s="19">
        <v>17347.68</v>
      </c>
    </row>
    <row r="887" ht="15.25" spans="1:10">
      <c r="A887" s="18" t="s">
        <v>1940</v>
      </c>
      <c r="B887" s="19" t="s">
        <v>1848</v>
      </c>
      <c r="C887" s="19" t="s">
        <v>1894</v>
      </c>
      <c r="D887" s="19" t="s">
        <v>1884</v>
      </c>
      <c r="E887" s="19" t="s">
        <v>1895</v>
      </c>
      <c r="F887" s="19" t="s">
        <v>1852</v>
      </c>
      <c r="G887" s="19" t="s">
        <v>1853</v>
      </c>
      <c r="H887" s="19">
        <v>17</v>
      </c>
      <c r="I887" s="19">
        <v>1005.44</v>
      </c>
      <c r="J887" s="19">
        <v>17092.48</v>
      </c>
    </row>
    <row r="888" ht="15.25" spans="1:10">
      <c r="A888" s="18">
        <v>45233</v>
      </c>
      <c r="B888" s="19" t="s">
        <v>1855</v>
      </c>
      <c r="C888" s="19" t="s">
        <v>1875</v>
      </c>
      <c r="D888" s="19" t="s">
        <v>1862</v>
      </c>
      <c r="E888" s="19" t="s">
        <v>1858</v>
      </c>
      <c r="F888" s="19" t="s">
        <v>1852</v>
      </c>
      <c r="G888" s="19" t="s">
        <v>1934</v>
      </c>
      <c r="H888" s="19">
        <v>18</v>
      </c>
      <c r="I888" s="19">
        <v>2231.56</v>
      </c>
      <c r="J888" s="19">
        <v>40168.08</v>
      </c>
    </row>
    <row r="889" ht="15.25" spans="1:10">
      <c r="A889" s="18">
        <v>45237</v>
      </c>
      <c r="B889" s="19" t="s">
        <v>1848</v>
      </c>
      <c r="C889" s="19" t="s">
        <v>1598</v>
      </c>
      <c r="D889" s="19" t="s">
        <v>1850</v>
      </c>
      <c r="E889" s="19" t="s">
        <v>1851</v>
      </c>
      <c r="F889" s="19" t="s">
        <v>1852</v>
      </c>
      <c r="G889" s="19" t="s">
        <v>1910</v>
      </c>
      <c r="H889" s="19">
        <v>14</v>
      </c>
      <c r="I889" s="19">
        <v>3677.67</v>
      </c>
      <c r="J889" s="19">
        <v>51487.38</v>
      </c>
    </row>
    <row r="890" ht="15.25" spans="1:10">
      <c r="A890" s="18" t="s">
        <v>1951</v>
      </c>
      <c r="B890" s="19" t="s">
        <v>1861</v>
      </c>
      <c r="C890" s="19" t="s">
        <v>1864</v>
      </c>
      <c r="D890" s="19" t="s">
        <v>1857</v>
      </c>
      <c r="E890" s="19" t="s">
        <v>1858</v>
      </c>
      <c r="F890" s="19" t="s">
        <v>1876</v>
      </c>
      <c r="G890" s="19" t="s">
        <v>1930</v>
      </c>
      <c r="H890" s="19">
        <v>6</v>
      </c>
      <c r="I890" s="19">
        <v>1047.72</v>
      </c>
      <c r="J890" s="19">
        <v>6286.32</v>
      </c>
    </row>
    <row r="891" ht="15.25" spans="1:10">
      <c r="A891" s="18" t="s">
        <v>1992</v>
      </c>
      <c r="B891" s="19" t="s">
        <v>1855</v>
      </c>
      <c r="C891" s="19" t="s">
        <v>1864</v>
      </c>
      <c r="D891" s="19" t="s">
        <v>1857</v>
      </c>
      <c r="E891" s="19" t="s">
        <v>1858</v>
      </c>
      <c r="F891" s="19" t="s">
        <v>1859</v>
      </c>
      <c r="G891" s="19" t="s">
        <v>1947</v>
      </c>
      <c r="H891" s="19">
        <v>20</v>
      </c>
      <c r="I891" s="19">
        <v>827.08</v>
      </c>
      <c r="J891" s="19">
        <v>16541.6</v>
      </c>
    </row>
    <row r="892" ht="15.25" spans="1:10">
      <c r="A892" s="18" t="s">
        <v>2095</v>
      </c>
      <c r="B892" s="19" t="s">
        <v>1855</v>
      </c>
      <c r="C892" s="19" t="s">
        <v>1906</v>
      </c>
      <c r="D892" s="19" t="s">
        <v>1862</v>
      </c>
      <c r="E892" s="19" t="s">
        <v>1858</v>
      </c>
      <c r="F892" s="19" t="s">
        <v>1859</v>
      </c>
      <c r="G892" s="19" t="s">
        <v>1872</v>
      </c>
      <c r="H892" s="19">
        <v>19</v>
      </c>
      <c r="I892" s="19">
        <v>1726.65</v>
      </c>
      <c r="J892" s="19">
        <v>32806.35</v>
      </c>
    </row>
    <row r="893" ht="15.25" spans="1:10">
      <c r="A893" s="18">
        <v>45143</v>
      </c>
      <c r="B893" s="19" t="s">
        <v>1871</v>
      </c>
      <c r="C893" s="19" t="s">
        <v>1602</v>
      </c>
      <c r="D893" s="19" t="s">
        <v>1862</v>
      </c>
      <c r="E893" s="19" t="s">
        <v>1858</v>
      </c>
      <c r="F893" s="19" t="s">
        <v>1859</v>
      </c>
      <c r="G893" s="19" t="s">
        <v>1922</v>
      </c>
      <c r="H893" s="19">
        <v>17</v>
      </c>
      <c r="I893" s="19">
        <v>2339.57</v>
      </c>
      <c r="J893" s="19">
        <v>39772.69</v>
      </c>
    </row>
    <row r="894" ht="15.25" spans="1:10">
      <c r="A894" s="18">
        <v>44962</v>
      </c>
      <c r="B894" s="19" t="s">
        <v>1871</v>
      </c>
      <c r="C894" s="19" t="s">
        <v>1864</v>
      </c>
      <c r="D894" s="19" t="s">
        <v>1857</v>
      </c>
      <c r="E894" s="19" t="s">
        <v>1858</v>
      </c>
      <c r="F894" s="19" t="s">
        <v>1865</v>
      </c>
      <c r="G894" s="19" t="s">
        <v>1886</v>
      </c>
      <c r="H894" s="19">
        <v>8</v>
      </c>
      <c r="I894" s="19">
        <v>4984.96</v>
      </c>
      <c r="J894" s="19">
        <v>39879.68</v>
      </c>
    </row>
    <row r="895" ht="15.25" spans="1:10">
      <c r="A895" s="18">
        <v>45021</v>
      </c>
      <c r="B895" s="19" t="s">
        <v>1902</v>
      </c>
      <c r="C895" s="19" t="s">
        <v>1903</v>
      </c>
      <c r="D895" s="19" t="s">
        <v>1884</v>
      </c>
      <c r="E895" s="19" t="s">
        <v>1895</v>
      </c>
      <c r="F895" s="19" t="s">
        <v>1876</v>
      </c>
      <c r="G895" s="19" t="s">
        <v>1926</v>
      </c>
      <c r="H895" s="19">
        <v>17</v>
      </c>
      <c r="I895" s="19">
        <v>3259.21</v>
      </c>
      <c r="J895" s="19">
        <v>55406.57</v>
      </c>
    </row>
    <row r="896" ht="15.25" spans="1:10">
      <c r="A896" s="18" t="s">
        <v>2025</v>
      </c>
      <c r="B896" s="19" t="s">
        <v>1855</v>
      </c>
      <c r="C896" s="19" t="s">
        <v>1856</v>
      </c>
      <c r="D896" s="19" t="s">
        <v>1857</v>
      </c>
      <c r="E896" s="19" t="s">
        <v>1858</v>
      </c>
      <c r="F896" s="19" t="s">
        <v>1852</v>
      </c>
      <c r="G896" s="19" t="s">
        <v>1853</v>
      </c>
      <c r="H896" s="19">
        <v>7</v>
      </c>
      <c r="I896" s="19">
        <v>4847.62</v>
      </c>
      <c r="J896" s="19">
        <v>33933.34</v>
      </c>
    </row>
    <row r="897" ht="15.25" spans="1:10">
      <c r="A897" s="18" t="s">
        <v>2115</v>
      </c>
      <c r="B897" s="19" t="s">
        <v>1861</v>
      </c>
      <c r="C897" s="19" t="s">
        <v>1626</v>
      </c>
      <c r="D897" s="19" t="s">
        <v>1857</v>
      </c>
      <c r="E897" s="19" t="s">
        <v>1858</v>
      </c>
      <c r="F897" s="19" t="s">
        <v>1868</v>
      </c>
      <c r="G897" s="19" t="s">
        <v>1899</v>
      </c>
      <c r="H897" s="19">
        <v>6</v>
      </c>
      <c r="I897" s="19">
        <v>2260.16</v>
      </c>
      <c r="J897" s="19">
        <v>13560.96</v>
      </c>
    </row>
    <row r="898" ht="15.25" spans="1:10">
      <c r="A898" s="18">
        <v>45269</v>
      </c>
      <c r="B898" s="19" t="s">
        <v>1874</v>
      </c>
      <c r="C898" s="19" t="s">
        <v>1589</v>
      </c>
      <c r="D898" s="19" t="s">
        <v>1884</v>
      </c>
      <c r="E898" s="19" t="s">
        <v>1895</v>
      </c>
      <c r="F898" s="19" t="s">
        <v>1852</v>
      </c>
      <c r="G898" s="19" t="s">
        <v>1910</v>
      </c>
      <c r="H898" s="19">
        <v>16</v>
      </c>
      <c r="I898" s="19">
        <v>1795.37</v>
      </c>
      <c r="J898" s="19">
        <v>28725.92</v>
      </c>
    </row>
    <row r="899" ht="15.25" spans="1:10">
      <c r="A899" s="18">
        <v>44990</v>
      </c>
      <c r="B899" s="19" t="s">
        <v>1874</v>
      </c>
      <c r="C899" s="19" t="s">
        <v>1941</v>
      </c>
      <c r="D899" s="19" t="s">
        <v>1879</v>
      </c>
      <c r="E899" s="19" t="s">
        <v>1851</v>
      </c>
      <c r="F899" s="19" t="s">
        <v>1876</v>
      </c>
      <c r="G899" s="19" t="s">
        <v>1930</v>
      </c>
      <c r="H899" s="19">
        <v>19</v>
      </c>
      <c r="I899" s="19">
        <v>2040.79</v>
      </c>
      <c r="J899" s="19">
        <v>38775.01</v>
      </c>
    </row>
    <row r="900" ht="15.25" spans="1:10">
      <c r="A900" s="18" t="s">
        <v>2116</v>
      </c>
      <c r="B900" s="19" t="s">
        <v>1892</v>
      </c>
      <c r="C900" s="19" t="s">
        <v>1906</v>
      </c>
      <c r="D900" s="19" t="s">
        <v>1862</v>
      </c>
      <c r="E900" s="19" t="s">
        <v>1858</v>
      </c>
      <c r="F900" s="19" t="s">
        <v>1852</v>
      </c>
      <c r="G900" s="19" t="s">
        <v>1950</v>
      </c>
      <c r="H900" s="19">
        <v>13</v>
      </c>
      <c r="I900" s="19">
        <v>1764.64</v>
      </c>
      <c r="J900" s="19">
        <v>22940.32</v>
      </c>
    </row>
    <row r="901" ht="15.25" spans="1:10">
      <c r="A901" s="18" t="s">
        <v>2108</v>
      </c>
      <c r="B901" s="19" t="s">
        <v>1848</v>
      </c>
      <c r="C901" s="19" t="s">
        <v>1856</v>
      </c>
      <c r="D901" s="19" t="s">
        <v>1857</v>
      </c>
      <c r="E901" s="19" t="s">
        <v>1858</v>
      </c>
      <c r="F901" s="19" t="s">
        <v>1868</v>
      </c>
      <c r="G901" s="19" t="s">
        <v>1899</v>
      </c>
      <c r="H901" s="19">
        <v>6</v>
      </c>
      <c r="I901" s="19">
        <v>746.23</v>
      </c>
      <c r="J901" s="19">
        <v>4477.38</v>
      </c>
    </row>
    <row r="902" ht="15.25" spans="1:10">
      <c r="A902" s="18">
        <v>45210</v>
      </c>
      <c r="B902" s="19" t="s">
        <v>1861</v>
      </c>
      <c r="C902" s="19" t="s">
        <v>1589</v>
      </c>
      <c r="D902" s="19" t="s">
        <v>1884</v>
      </c>
      <c r="E902" s="19" t="s">
        <v>1895</v>
      </c>
      <c r="F902" s="19" t="s">
        <v>1852</v>
      </c>
      <c r="G902" s="19" t="s">
        <v>1934</v>
      </c>
      <c r="H902" s="19">
        <v>14</v>
      </c>
      <c r="I902" s="19">
        <v>2385.99</v>
      </c>
      <c r="J902" s="19">
        <v>33403.86</v>
      </c>
    </row>
    <row r="903" ht="15.25" spans="1:10">
      <c r="A903" s="18">
        <v>45264</v>
      </c>
      <c r="B903" s="19" t="s">
        <v>1848</v>
      </c>
      <c r="C903" s="19" t="s">
        <v>1941</v>
      </c>
      <c r="D903" s="19" t="s">
        <v>1879</v>
      </c>
      <c r="E903" s="19" t="s">
        <v>1851</v>
      </c>
      <c r="F903" s="19" t="s">
        <v>1876</v>
      </c>
      <c r="G903" s="19" t="s">
        <v>1877</v>
      </c>
      <c r="H903" s="19">
        <v>1</v>
      </c>
      <c r="I903" s="19">
        <v>2362.15</v>
      </c>
      <c r="J903" s="19">
        <v>2362.15</v>
      </c>
    </row>
    <row r="904" ht="15.25" spans="1:10">
      <c r="A904" s="18" t="s">
        <v>1944</v>
      </c>
      <c r="B904" s="19" t="s">
        <v>1874</v>
      </c>
      <c r="C904" s="19" t="s">
        <v>1589</v>
      </c>
      <c r="D904" s="19" t="s">
        <v>1884</v>
      </c>
      <c r="E904" s="19" t="s">
        <v>1895</v>
      </c>
      <c r="F904" s="19" t="s">
        <v>1865</v>
      </c>
      <c r="G904" s="19" t="s">
        <v>1886</v>
      </c>
      <c r="H904" s="19">
        <v>16</v>
      </c>
      <c r="I904" s="19">
        <v>1236.8</v>
      </c>
      <c r="J904" s="19">
        <v>19788.8</v>
      </c>
    </row>
    <row r="905" ht="15.25" spans="1:10">
      <c r="A905" s="18">
        <v>45140</v>
      </c>
      <c r="B905" s="19" t="s">
        <v>1867</v>
      </c>
      <c r="C905" s="19" t="s">
        <v>1589</v>
      </c>
      <c r="D905" s="19" t="s">
        <v>1884</v>
      </c>
      <c r="E905" s="19" t="s">
        <v>1895</v>
      </c>
      <c r="F905" s="19" t="s">
        <v>1876</v>
      </c>
      <c r="G905" s="19" t="s">
        <v>1883</v>
      </c>
      <c r="H905" s="19">
        <v>17</v>
      </c>
      <c r="I905" s="19">
        <v>1248.03</v>
      </c>
      <c r="J905" s="19">
        <v>21216.51</v>
      </c>
    </row>
    <row r="906" ht="15.25" spans="1:10">
      <c r="A906" s="18">
        <v>44991</v>
      </c>
      <c r="B906" s="19" t="s">
        <v>1892</v>
      </c>
      <c r="C906" s="19" t="s">
        <v>1903</v>
      </c>
      <c r="D906" s="19" t="s">
        <v>1884</v>
      </c>
      <c r="E906" s="19" t="s">
        <v>1895</v>
      </c>
      <c r="F906" s="19" t="s">
        <v>1859</v>
      </c>
      <c r="G906" s="19" t="s">
        <v>1872</v>
      </c>
      <c r="H906" s="19">
        <v>16</v>
      </c>
      <c r="I906" s="19">
        <v>665.83</v>
      </c>
      <c r="J906" s="19">
        <v>10653.28</v>
      </c>
    </row>
    <row r="907" ht="15.25" spans="1:10">
      <c r="A907" s="18">
        <v>45082</v>
      </c>
      <c r="B907" s="19" t="s">
        <v>1848</v>
      </c>
      <c r="C907" s="19" t="s">
        <v>1598</v>
      </c>
      <c r="D907" s="19" t="s">
        <v>1850</v>
      </c>
      <c r="E907" s="19" t="s">
        <v>1851</v>
      </c>
      <c r="F907" s="19" t="s">
        <v>1876</v>
      </c>
      <c r="G907" s="19" t="s">
        <v>1926</v>
      </c>
      <c r="H907" s="19">
        <v>16</v>
      </c>
      <c r="I907" s="19">
        <v>615.7</v>
      </c>
      <c r="J907" s="19">
        <v>9851.2</v>
      </c>
    </row>
    <row r="908" ht="15.25" spans="1:10">
      <c r="A908" s="18" t="s">
        <v>1948</v>
      </c>
      <c r="B908" s="19" t="s">
        <v>1878</v>
      </c>
      <c r="C908" s="19" t="s">
        <v>1906</v>
      </c>
      <c r="D908" s="19" t="s">
        <v>1862</v>
      </c>
      <c r="E908" s="19" t="s">
        <v>1858</v>
      </c>
      <c r="F908" s="19" t="s">
        <v>1859</v>
      </c>
      <c r="G908" s="19" t="s">
        <v>1947</v>
      </c>
      <c r="H908" s="19">
        <v>13</v>
      </c>
      <c r="I908" s="19">
        <v>3616.99</v>
      </c>
      <c r="J908" s="19">
        <v>47020.87</v>
      </c>
    </row>
    <row r="909" ht="15.25" spans="1:10">
      <c r="A909" s="18">
        <v>45144</v>
      </c>
      <c r="B909" s="19" t="s">
        <v>1902</v>
      </c>
      <c r="C909" s="19" t="s">
        <v>1864</v>
      </c>
      <c r="D909" s="19" t="s">
        <v>1857</v>
      </c>
      <c r="E909" s="19" t="s">
        <v>1858</v>
      </c>
      <c r="F909" s="19" t="s">
        <v>1865</v>
      </c>
      <c r="G909" s="19" t="s">
        <v>1886</v>
      </c>
      <c r="H909" s="19">
        <v>9</v>
      </c>
      <c r="I909" s="19">
        <v>1940.11</v>
      </c>
      <c r="J909" s="19">
        <v>17460.99</v>
      </c>
    </row>
    <row r="910" ht="15.25" spans="1:10">
      <c r="A910" s="18" t="s">
        <v>1940</v>
      </c>
      <c r="B910" s="19" t="s">
        <v>1889</v>
      </c>
      <c r="C910" s="19" t="s">
        <v>1864</v>
      </c>
      <c r="D910" s="19" t="s">
        <v>1857</v>
      </c>
      <c r="E910" s="19" t="s">
        <v>1858</v>
      </c>
      <c r="F910" s="19" t="s">
        <v>1876</v>
      </c>
      <c r="G910" s="19" t="s">
        <v>1883</v>
      </c>
      <c r="H910" s="19">
        <v>16</v>
      </c>
      <c r="I910" s="19">
        <v>1064.93</v>
      </c>
      <c r="J910" s="19">
        <v>17038.88</v>
      </c>
    </row>
    <row r="911" ht="15.25" spans="1:10">
      <c r="A911" s="18">
        <v>45232</v>
      </c>
      <c r="B911" s="19" t="s">
        <v>1889</v>
      </c>
      <c r="C911" s="19" t="s">
        <v>1593</v>
      </c>
      <c r="D911" s="19" t="s">
        <v>1850</v>
      </c>
      <c r="E911" s="19" t="s">
        <v>1851</v>
      </c>
      <c r="F911" s="19" t="s">
        <v>1865</v>
      </c>
      <c r="G911" s="19" t="s">
        <v>1920</v>
      </c>
      <c r="H911" s="19">
        <v>2</v>
      </c>
      <c r="I911" s="19">
        <v>4845.74</v>
      </c>
      <c r="J911" s="19">
        <v>9691.48</v>
      </c>
    </row>
    <row r="912" ht="15.25" spans="1:10">
      <c r="A912" s="18" t="s">
        <v>2025</v>
      </c>
      <c r="B912" s="19" t="s">
        <v>1867</v>
      </c>
      <c r="C912" s="19" t="s">
        <v>1875</v>
      </c>
      <c r="D912" s="19" t="s">
        <v>1862</v>
      </c>
      <c r="E912" s="19" t="s">
        <v>1858</v>
      </c>
      <c r="F912" s="19" t="s">
        <v>1868</v>
      </c>
      <c r="G912" s="19" t="s">
        <v>1917</v>
      </c>
      <c r="H912" s="19">
        <v>3</v>
      </c>
      <c r="I912" s="19">
        <v>4766.28</v>
      </c>
      <c r="J912" s="19">
        <v>14298.84</v>
      </c>
    </row>
    <row r="913" ht="15.25" spans="1:10">
      <c r="A913" s="18">
        <v>45233</v>
      </c>
      <c r="B913" s="19" t="s">
        <v>1855</v>
      </c>
      <c r="C913" s="19" t="s">
        <v>1589</v>
      </c>
      <c r="D913" s="19" t="s">
        <v>1884</v>
      </c>
      <c r="E913" s="19" t="s">
        <v>1895</v>
      </c>
      <c r="F913" s="19" t="s">
        <v>1865</v>
      </c>
      <c r="G913" s="19" t="s">
        <v>1920</v>
      </c>
      <c r="H913" s="19">
        <v>15</v>
      </c>
      <c r="I913" s="19">
        <v>3946.23</v>
      </c>
      <c r="J913" s="19">
        <v>59193.45</v>
      </c>
    </row>
    <row r="914" ht="15.25" spans="1:10">
      <c r="A914" s="18">
        <v>45145</v>
      </c>
      <c r="B914" s="19" t="s">
        <v>1878</v>
      </c>
      <c r="C914" s="19" t="s">
        <v>1610</v>
      </c>
      <c r="D914" s="19" t="s">
        <v>1879</v>
      </c>
      <c r="E914" s="19" t="s">
        <v>1851</v>
      </c>
      <c r="F914" s="19" t="s">
        <v>1865</v>
      </c>
      <c r="G914" s="19" t="s">
        <v>1886</v>
      </c>
      <c r="H914" s="19">
        <v>12</v>
      </c>
      <c r="I914" s="19">
        <v>1804.27</v>
      </c>
      <c r="J914" s="19">
        <v>21651.24</v>
      </c>
    </row>
    <row r="915" ht="15.25" spans="1:10">
      <c r="A915" s="18" t="s">
        <v>2117</v>
      </c>
      <c r="B915" s="19" t="s">
        <v>1871</v>
      </c>
      <c r="C915" s="19" t="s">
        <v>1849</v>
      </c>
      <c r="D915" s="19" t="s">
        <v>1850</v>
      </c>
      <c r="E915" s="19" t="s">
        <v>1851</v>
      </c>
      <c r="F915" s="19" t="s">
        <v>1876</v>
      </c>
      <c r="G915" s="19" t="s">
        <v>1877</v>
      </c>
      <c r="H915" s="19">
        <v>3</v>
      </c>
      <c r="I915" s="19">
        <v>2055.45</v>
      </c>
      <c r="J915" s="19">
        <v>6166.35</v>
      </c>
    </row>
    <row r="916" ht="15.25" spans="1:10">
      <c r="A916" s="18">
        <v>45056</v>
      </c>
      <c r="B916" s="19" t="s">
        <v>1871</v>
      </c>
      <c r="C916" s="19" t="s">
        <v>1589</v>
      </c>
      <c r="D916" s="19" t="s">
        <v>1884</v>
      </c>
      <c r="E916" s="19" t="s">
        <v>1895</v>
      </c>
      <c r="F916" s="19" t="s">
        <v>1852</v>
      </c>
      <c r="G916" s="19" t="s">
        <v>1910</v>
      </c>
      <c r="H916" s="19">
        <v>5</v>
      </c>
      <c r="I916" s="19">
        <v>1568.68</v>
      </c>
      <c r="J916" s="19">
        <v>7843.4</v>
      </c>
    </row>
    <row r="917" ht="15.25" spans="1:10">
      <c r="A917" s="18" t="s">
        <v>1925</v>
      </c>
      <c r="B917" s="19" t="s">
        <v>1874</v>
      </c>
      <c r="C917" s="19" t="s">
        <v>1875</v>
      </c>
      <c r="D917" s="19" t="s">
        <v>1862</v>
      </c>
      <c r="E917" s="19" t="s">
        <v>1858</v>
      </c>
      <c r="F917" s="19" t="s">
        <v>1852</v>
      </c>
      <c r="G917" s="19" t="s">
        <v>1934</v>
      </c>
      <c r="H917" s="19">
        <v>16</v>
      </c>
      <c r="I917" s="19">
        <v>2288.68</v>
      </c>
      <c r="J917" s="19">
        <v>36618.88</v>
      </c>
    </row>
    <row r="918" ht="15.25" spans="1:10">
      <c r="A918" s="18">
        <v>45113</v>
      </c>
      <c r="B918" s="19" t="s">
        <v>1892</v>
      </c>
      <c r="C918" s="19" t="s">
        <v>1864</v>
      </c>
      <c r="D918" s="19" t="s">
        <v>1857</v>
      </c>
      <c r="E918" s="19" t="s">
        <v>1858</v>
      </c>
      <c r="F918" s="19" t="s">
        <v>1852</v>
      </c>
      <c r="G918" s="19" t="s">
        <v>1950</v>
      </c>
      <c r="H918" s="19">
        <v>12</v>
      </c>
      <c r="I918" s="19">
        <v>2133.05</v>
      </c>
      <c r="J918" s="19">
        <v>25596.6</v>
      </c>
    </row>
    <row r="919" ht="15.25" spans="1:10">
      <c r="A919" s="18">
        <v>45050</v>
      </c>
      <c r="B919" s="19" t="s">
        <v>1892</v>
      </c>
      <c r="C919" s="19" t="s">
        <v>1598</v>
      </c>
      <c r="D919" s="19" t="s">
        <v>1850</v>
      </c>
      <c r="E919" s="19" t="s">
        <v>1851</v>
      </c>
      <c r="F919" s="19" t="s">
        <v>1868</v>
      </c>
      <c r="G919" s="19" t="s">
        <v>1907</v>
      </c>
      <c r="H919" s="19">
        <v>4</v>
      </c>
      <c r="I919" s="19">
        <v>1208.42</v>
      </c>
      <c r="J919" s="19">
        <v>4833.68</v>
      </c>
    </row>
    <row r="920" ht="15.25" spans="1:10">
      <c r="A920" s="18">
        <v>45175</v>
      </c>
      <c r="B920" s="19" t="s">
        <v>1892</v>
      </c>
      <c r="C920" s="19" t="s">
        <v>1894</v>
      </c>
      <c r="D920" s="19" t="s">
        <v>1884</v>
      </c>
      <c r="E920" s="19" t="s">
        <v>1895</v>
      </c>
      <c r="F920" s="19" t="s">
        <v>1859</v>
      </c>
      <c r="G920" s="19" t="s">
        <v>1860</v>
      </c>
      <c r="H920" s="19">
        <v>14</v>
      </c>
      <c r="I920" s="19">
        <v>630.45</v>
      </c>
      <c r="J920" s="19">
        <v>8826.3</v>
      </c>
    </row>
    <row r="921" ht="15.25" spans="1:10">
      <c r="A921" s="18" t="s">
        <v>2026</v>
      </c>
      <c r="B921" s="19" t="s">
        <v>1871</v>
      </c>
      <c r="C921" s="19" t="s">
        <v>1849</v>
      </c>
      <c r="D921" s="19" t="s">
        <v>1850</v>
      </c>
      <c r="E921" s="19" t="s">
        <v>1851</v>
      </c>
      <c r="F921" s="19" t="s">
        <v>1865</v>
      </c>
      <c r="G921" s="19" t="s">
        <v>1866</v>
      </c>
      <c r="H921" s="19">
        <v>14</v>
      </c>
      <c r="I921" s="19">
        <v>2713.47</v>
      </c>
      <c r="J921" s="19">
        <v>37988.58</v>
      </c>
    </row>
    <row r="922" ht="15.25" spans="1:10">
      <c r="A922" s="18">
        <v>45173</v>
      </c>
      <c r="B922" s="19" t="s">
        <v>1848</v>
      </c>
      <c r="C922" s="19" t="s">
        <v>1894</v>
      </c>
      <c r="D922" s="19" t="s">
        <v>1884</v>
      </c>
      <c r="E922" s="19" t="s">
        <v>1895</v>
      </c>
      <c r="F922" s="19" t="s">
        <v>1852</v>
      </c>
      <c r="G922" s="19" t="s">
        <v>1950</v>
      </c>
      <c r="H922" s="19">
        <v>7</v>
      </c>
      <c r="I922" s="19">
        <v>3273.61</v>
      </c>
      <c r="J922" s="19">
        <v>22915.27</v>
      </c>
    </row>
    <row r="923" ht="15.25" spans="1:10">
      <c r="A923" s="18" t="s">
        <v>2062</v>
      </c>
      <c r="B923" s="19" t="s">
        <v>1871</v>
      </c>
      <c r="C923" s="19" t="s">
        <v>1598</v>
      </c>
      <c r="D923" s="19" t="s">
        <v>1850</v>
      </c>
      <c r="E923" s="19" t="s">
        <v>1851</v>
      </c>
      <c r="F923" s="19" t="s">
        <v>1865</v>
      </c>
      <c r="G923" s="19" t="s">
        <v>1890</v>
      </c>
      <c r="H923" s="19">
        <v>9</v>
      </c>
      <c r="I923" s="19">
        <v>566.92</v>
      </c>
      <c r="J923" s="19">
        <v>5102.28</v>
      </c>
    </row>
    <row r="924" ht="15.25" spans="1:10">
      <c r="A924" s="18" t="s">
        <v>2089</v>
      </c>
      <c r="B924" s="19" t="s">
        <v>1889</v>
      </c>
      <c r="C924" s="19" t="s">
        <v>1875</v>
      </c>
      <c r="D924" s="19" t="s">
        <v>1862</v>
      </c>
      <c r="E924" s="19" t="s">
        <v>1858</v>
      </c>
      <c r="F924" s="19" t="s">
        <v>1876</v>
      </c>
      <c r="G924" s="19" t="s">
        <v>1883</v>
      </c>
      <c r="H924" s="19">
        <v>2</v>
      </c>
      <c r="I924" s="19">
        <v>3830.39</v>
      </c>
      <c r="J924" s="19">
        <v>7660.78</v>
      </c>
    </row>
    <row r="925" ht="15.25" spans="1:10">
      <c r="A925" s="18" t="s">
        <v>2109</v>
      </c>
      <c r="B925" s="19" t="s">
        <v>1867</v>
      </c>
      <c r="C925" s="19" t="s">
        <v>1598</v>
      </c>
      <c r="D925" s="19" t="s">
        <v>1850</v>
      </c>
      <c r="E925" s="19" t="s">
        <v>1851</v>
      </c>
      <c r="F925" s="19" t="s">
        <v>1876</v>
      </c>
      <c r="G925" s="19" t="s">
        <v>1926</v>
      </c>
      <c r="H925" s="19">
        <v>7</v>
      </c>
      <c r="I925" s="19">
        <v>4456.5</v>
      </c>
      <c r="J925" s="19">
        <v>31195.5</v>
      </c>
    </row>
    <row r="926" ht="15.25" spans="1:10">
      <c r="A926" s="18" t="s">
        <v>2118</v>
      </c>
      <c r="B926" s="19" t="s">
        <v>1848</v>
      </c>
      <c r="C926" s="19" t="s">
        <v>1626</v>
      </c>
      <c r="D926" s="19" t="s">
        <v>1857</v>
      </c>
      <c r="E926" s="19" t="s">
        <v>1858</v>
      </c>
      <c r="F926" s="19" t="s">
        <v>1859</v>
      </c>
      <c r="G926" s="19" t="s">
        <v>1922</v>
      </c>
      <c r="H926" s="19">
        <v>15</v>
      </c>
      <c r="I926" s="19">
        <v>202.66</v>
      </c>
      <c r="J926" s="19">
        <v>3039.9</v>
      </c>
    </row>
    <row r="927" ht="15.25" spans="1:10">
      <c r="A927" s="18" t="s">
        <v>1940</v>
      </c>
      <c r="B927" s="19" t="s">
        <v>1889</v>
      </c>
      <c r="C927" s="19" t="s">
        <v>1849</v>
      </c>
      <c r="D927" s="19" t="s">
        <v>1850</v>
      </c>
      <c r="E927" s="19" t="s">
        <v>1851</v>
      </c>
      <c r="F927" s="19" t="s">
        <v>1865</v>
      </c>
      <c r="G927" s="19" t="s">
        <v>1886</v>
      </c>
      <c r="H927" s="19">
        <v>10</v>
      </c>
      <c r="I927" s="19">
        <v>1018.19</v>
      </c>
      <c r="J927" s="19">
        <v>10181.9</v>
      </c>
    </row>
    <row r="928" ht="15.25" spans="1:10">
      <c r="A928" s="18">
        <v>45050</v>
      </c>
      <c r="B928" s="19" t="s">
        <v>1848</v>
      </c>
      <c r="C928" s="19" t="s">
        <v>1610</v>
      </c>
      <c r="D928" s="19" t="s">
        <v>1879</v>
      </c>
      <c r="E928" s="19" t="s">
        <v>1851</v>
      </c>
      <c r="F928" s="19" t="s">
        <v>1865</v>
      </c>
      <c r="G928" s="19" t="s">
        <v>1886</v>
      </c>
      <c r="H928" s="19">
        <v>4</v>
      </c>
      <c r="I928" s="19">
        <v>3300.36</v>
      </c>
      <c r="J928" s="19">
        <v>13201.44</v>
      </c>
    </row>
    <row r="929" ht="15.25" spans="1:10">
      <c r="A929" s="18" t="s">
        <v>2119</v>
      </c>
      <c r="B929" s="19" t="s">
        <v>1855</v>
      </c>
      <c r="C929" s="19" t="s">
        <v>1589</v>
      </c>
      <c r="D929" s="19" t="s">
        <v>1884</v>
      </c>
      <c r="E929" s="19" t="s">
        <v>1895</v>
      </c>
      <c r="F929" s="19" t="s">
        <v>1865</v>
      </c>
      <c r="G929" s="19" t="s">
        <v>1886</v>
      </c>
      <c r="H929" s="19">
        <v>12</v>
      </c>
      <c r="I929" s="19">
        <v>957.01</v>
      </c>
      <c r="J929" s="19">
        <v>11484.12</v>
      </c>
    </row>
    <row r="930" ht="15.25" spans="1:10">
      <c r="A930" s="18" t="s">
        <v>1971</v>
      </c>
      <c r="B930" s="19" t="s">
        <v>1855</v>
      </c>
      <c r="C930" s="19" t="s">
        <v>1626</v>
      </c>
      <c r="D930" s="19" t="s">
        <v>1857</v>
      </c>
      <c r="E930" s="19" t="s">
        <v>1858</v>
      </c>
      <c r="F930" s="19" t="s">
        <v>1868</v>
      </c>
      <c r="G930" s="19" t="s">
        <v>1899</v>
      </c>
      <c r="H930" s="19">
        <v>19</v>
      </c>
      <c r="I930" s="19">
        <v>1933.19</v>
      </c>
      <c r="J930" s="19">
        <v>36730.61</v>
      </c>
    </row>
    <row r="931" ht="15.25" spans="1:10">
      <c r="A931" s="18" t="s">
        <v>2083</v>
      </c>
      <c r="B931" s="19" t="s">
        <v>1861</v>
      </c>
      <c r="C931" s="19" t="s">
        <v>1894</v>
      </c>
      <c r="D931" s="19" t="s">
        <v>1884</v>
      </c>
      <c r="E931" s="19" t="s">
        <v>1895</v>
      </c>
      <c r="F931" s="19" t="s">
        <v>1852</v>
      </c>
      <c r="G931" s="19" t="s">
        <v>1950</v>
      </c>
      <c r="H931" s="19">
        <v>15</v>
      </c>
      <c r="I931" s="19">
        <v>834.13</v>
      </c>
      <c r="J931" s="19">
        <v>12511.95</v>
      </c>
    </row>
    <row r="932" ht="15.25" spans="1:10">
      <c r="A932" s="18" t="s">
        <v>1949</v>
      </c>
      <c r="B932" s="19" t="s">
        <v>1874</v>
      </c>
      <c r="C932" s="19" t="s">
        <v>1875</v>
      </c>
      <c r="D932" s="19" t="s">
        <v>1862</v>
      </c>
      <c r="E932" s="19" t="s">
        <v>1858</v>
      </c>
      <c r="F932" s="19" t="s">
        <v>1859</v>
      </c>
      <c r="G932" s="19" t="s">
        <v>1922</v>
      </c>
      <c r="H932" s="19">
        <v>18</v>
      </c>
      <c r="I932" s="19">
        <v>2535.82</v>
      </c>
      <c r="J932" s="19">
        <v>45644.76</v>
      </c>
    </row>
    <row r="933" ht="15.25" spans="1:10">
      <c r="A933" s="18">
        <v>45202</v>
      </c>
      <c r="B933" s="19" t="s">
        <v>1855</v>
      </c>
      <c r="C933" s="19" t="s">
        <v>1626</v>
      </c>
      <c r="D933" s="19" t="s">
        <v>1857</v>
      </c>
      <c r="E933" s="19" t="s">
        <v>1858</v>
      </c>
      <c r="F933" s="19" t="s">
        <v>1868</v>
      </c>
      <c r="G933" s="19" t="s">
        <v>1917</v>
      </c>
      <c r="H933" s="19">
        <v>18</v>
      </c>
      <c r="I933" s="19">
        <v>2299.93</v>
      </c>
      <c r="J933" s="19">
        <v>41398.74</v>
      </c>
    </row>
    <row r="934" ht="15.25" spans="1:10">
      <c r="A934" s="18" t="s">
        <v>1863</v>
      </c>
      <c r="B934" s="19" t="s">
        <v>1874</v>
      </c>
      <c r="C934" s="19" t="s">
        <v>1610</v>
      </c>
      <c r="D934" s="19" t="s">
        <v>1879</v>
      </c>
      <c r="E934" s="19" t="s">
        <v>1851</v>
      </c>
      <c r="F934" s="19" t="s">
        <v>1852</v>
      </c>
      <c r="G934" s="19" t="s">
        <v>1910</v>
      </c>
      <c r="H934" s="19">
        <v>5</v>
      </c>
      <c r="I934" s="19">
        <v>606.49</v>
      </c>
      <c r="J934" s="19">
        <v>3032.45</v>
      </c>
    </row>
    <row r="935" ht="15.25" spans="1:10">
      <c r="A935" s="18" t="s">
        <v>2008</v>
      </c>
      <c r="B935" s="19" t="s">
        <v>1871</v>
      </c>
      <c r="C935" s="19" t="s">
        <v>1906</v>
      </c>
      <c r="D935" s="19" t="s">
        <v>1862</v>
      </c>
      <c r="E935" s="19" t="s">
        <v>1858</v>
      </c>
      <c r="F935" s="19" t="s">
        <v>1859</v>
      </c>
      <c r="G935" s="19" t="s">
        <v>1872</v>
      </c>
      <c r="H935" s="19">
        <v>6</v>
      </c>
      <c r="I935" s="19">
        <v>1919.03</v>
      </c>
      <c r="J935" s="19">
        <v>11514.18</v>
      </c>
    </row>
    <row r="936" ht="15.25" spans="1:10">
      <c r="A936" s="18">
        <v>44963</v>
      </c>
      <c r="B936" s="19" t="s">
        <v>1848</v>
      </c>
      <c r="C936" s="19" t="s">
        <v>1906</v>
      </c>
      <c r="D936" s="19" t="s">
        <v>1862</v>
      </c>
      <c r="E936" s="19" t="s">
        <v>1858</v>
      </c>
      <c r="F936" s="19" t="s">
        <v>1859</v>
      </c>
      <c r="G936" s="19" t="s">
        <v>1922</v>
      </c>
      <c r="H936" s="19">
        <v>9</v>
      </c>
      <c r="I936" s="19">
        <v>662.41</v>
      </c>
      <c r="J936" s="19">
        <v>5961.69</v>
      </c>
    </row>
    <row r="937" ht="15.25" spans="1:10">
      <c r="A937" s="18">
        <v>45170</v>
      </c>
      <c r="B937" s="19" t="s">
        <v>1902</v>
      </c>
      <c r="C937" s="19" t="s">
        <v>1864</v>
      </c>
      <c r="D937" s="19" t="s">
        <v>1857</v>
      </c>
      <c r="E937" s="19" t="s">
        <v>1858</v>
      </c>
      <c r="F937" s="19" t="s">
        <v>1859</v>
      </c>
      <c r="G937" s="19" t="s">
        <v>1947</v>
      </c>
      <c r="H937" s="19">
        <v>18</v>
      </c>
      <c r="I937" s="19">
        <v>970.52</v>
      </c>
      <c r="J937" s="19">
        <v>17469.36</v>
      </c>
    </row>
    <row r="938" ht="15.25" spans="1:10">
      <c r="A938" s="18">
        <v>45056</v>
      </c>
      <c r="B938" s="19" t="s">
        <v>1892</v>
      </c>
      <c r="C938" s="19" t="s">
        <v>1589</v>
      </c>
      <c r="D938" s="19" t="s">
        <v>1884</v>
      </c>
      <c r="E938" s="19" t="s">
        <v>1895</v>
      </c>
      <c r="F938" s="19" t="s">
        <v>1876</v>
      </c>
      <c r="G938" s="19" t="s">
        <v>1926</v>
      </c>
      <c r="H938" s="19">
        <v>2</v>
      </c>
      <c r="I938" s="19">
        <v>4112.53</v>
      </c>
      <c r="J938" s="19">
        <v>8225.06</v>
      </c>
    </row>
    <row r="939" ht="15.25" spans="1:10">
      <c r="A939" s="18">
        <v>45021</v>
      </c>
      <c r="B939" s="19" t="s">
        <v>1874</v>
      </c>
      <c r="C939" s="19" t="s">
        <v>1875</v>
      </c>
      <c r="D939" s="19" t="s">
        <v>1862</v>
      </c>
      <c r="E939" s="19" t="s">
        <v>1858</v>
      </c>
      <c r="F939" s="19" t="s">
        <v>1876</v>
      </c>
      <c r="G939" s="19" t="s">
        <v>1926</v>
      </c>
      <c r="H939" s="19">
        <v>4</v>
      </c>
      <c r="I939" s="19">
        <v>4968.93</v>
      </c>
      <c r="J939" s="19">
        <v>19875.72</v>
      </c>
    </row>
    <row r="940" ht="15.25" spans="1:10">
      <c r="A940" s="18" t="s">
        <v>2055</v>
      </c>
      <c r="B940" s="19" t="s">
        <v>1878</v>
      </c>
      <c r="C940" s="19" t="s">
        <v>1602</v>
      </c>
      <c r="D940" s="19" t="s">
        <v>1862</v>
      </c>
      <c r="E940" s="19" t="s">
        <v>1858</v>
      </c>
      <c r="F940" s="19" t="s">
        <v>1865</v>
      </c>
      <c r="G940" s="19" t="s">
        <v>1890</v>
      </c>
      <c r="H940" s="19">
        <v>2</v>
      </c>
      <c r="I940" s="19">
        <v>339.56</v>
      </c>
      <c r="J940" s="19">
        <v>679.12</v>
      </c>
    </row>
    <row r="941" ht="15.25" spans="1:10">
      <c r="A941" s="18" t="s">
        <v>2084</v>
      </c>
      <c r="B941" s="19" t="s">
        <v>1855</v>
      </c>
      <c r="C941" s="19" t="s">
        <v>1875</v>
      </c>
      <c r="D941" s="19" t="s">
        <v>1862</v>
      </c>
      <c r="E941" s="19" t="s">
        <v>1858</v>
      </c>
      <c r="F941" s="19" t="s">
        <v>1859</v>
      </c>
      <c r="G941" s="19" t="s">
        <v>1860</v>
      </c>
      <c r="H941" s="19">
        <v>3</v>
      </c>
      <c r="I941" s="19">
        <v>3853.05</v>
      </c>
      <c r="J941" s="19">
        <v>11559.15</v>
      </c>
    </row>
    <row r="942" ht="15.25" spans="1:10">
      <c r="A942" s="18" t="s">
        <v>1967</v>
      </c>
      <c r="B942" s="19" t="s">
        <v>1861</v>
      </c>
      <c r="C942" s="19" t="s">
        <v>1894</v>
      </c>
      <c r="D942" s="19" t="s">
        <v>1884</v>
      </c>
      <c r="E942" s="19" t="s">
        <v>1895</v>
      </c>
      <c r="F942" s="19" t="s">
        <v>1865</v>
      </c>
      <c r="G942" s="19" t="s">
        <v>1866</v>
      </c>
      <c r="H942" s="19">
        <v>11</v>
      </c>
      <c r="I942" s="19">
        <v>2212.9</v>
      </c>
      <c r="J942" s="19">
        <v>24341.9</v>
      </c>
    </row>
    <row r="943" ht="15.25" spans="1:10">
      <c r="A943" s="18">
        <v>45113</v>
      </c>
      <c r="B943" s="19" t="s">
        <v>1889</v>
      </c>
      <c r="C943" s="19" t="s">
        <v>1626</v>
      </c>
      <c r="D943" s="19" t="s">
        <v>1857</v>
      </c>
      <c r="E943" s="19" t="s">
        <v>1858</v>
      </c>
      <c r="F943" s="19" t="s">
        <v>1859</v>
      </c>
      <c r="G943" s="19" t="s">
        <v>1947</v>
      </c>
      <c r="H943" s="19">
        <v>18</v>
      </c>
      <c r="I943" s="19">
        <v>509.79</v>
      </c>
      <c r="J943" s="19">
        <v>9176.22</v>
      </c>
    </row>
    <row r="944" ht="15.25" spans="1:10">
      <c r="A944" s="18">
        <v>45052</v>
      </c>
      <c r="B944" s="19" t="s">
        <v>1902</v>
      </c>
      <c r="C944" s="19" t="s">
        <v>1602</v>
      </c>
      <c r="D944" s="19" t="s">
        <v>1862</v>
      </c>
      <c r="E944" s="19" t="s">
        <v>1858</v>
      </c>
      <c r="F944" s="19" t="s">
        <v>1852</v>
      </c>
      <c r="G944" s="19" t="s">
        <v>1910</v>
      </c>
      <c r="H944" s="19">
        <v>16</v>
      </c>
      <c r="I944" s="19">
        <v>2724.77</v>
      </c>
      <c r="J944" s="19">
        <v>43596.32</v>
      </c>
    </row>
    <row r="945" ht="15.25" spans="1:10">
      <c r="A945" s="18" t="s">
        <v>2114</v>
      </c>
      <c r="B945" s="19" t="s">
        <v>1892</v>
      </c>
      <c r="C945" s="19" t="s">
        <v>1849</v>
      </c>
      <c r="D945" s="19" t="s">
        <v>1850</v>
      </c>
      <c r="E945" s="19" t="s">
        <v>1851</v>
      </c>
      <c r="F945" s="19" t="s">
        <v>1865</v>
      </c>
      <c r="G945" s="19" t="s">
        <v>1886</v>
      </c>
      <c r="H945" s="19">
        <v>18</v>
      </c>
      <c r="I945" s="19">
        <v>4718.22</v>
      </c>
      <c r="J945" s="19">
        <v>84927.96</v>
      </c>
    </row>
    <row r="946" ht="15.25" spans="1:10">
      <c r="A946" s="18" t="s">
        <v>1988</v>
      </c>
      <c r="B946" s="19" t="s">
        <v>1892</v>
      </c>
      <c r="C946" s="19" t="s">
        <v>1864</v>
      </c>
      <c r="D946" s="19" t="s">
        <v>1857</v>
      </c>
      <c r="E946" s="19" t="s">
        <v>1858</v>
      </c>
      <c r="F946" s="19" t="s">
        <v>1876</v>
      </c>
      <c r="G946" s="19" t="s">
        <v>1930</v>
      </c>
      <c r="H946" s="19">
        <v>9</v>
      </c>
      <c r="I946" s="19">
        <v>4811.76</v>
      </c>
      <c r="J946" s="19">
        <v>43305.84</v>
      </c>
    </row>
    <row r="947" ht="15.25" spans="1:10">
      <c r="A947" s="18">
        <v>45108</v>
      </c>
      <c r="B947" s="19" t="s">
        <v>1848</v>
      </c>
      <c r="C947" s="19" t="s">
        <v>1626</v>
      </c>
      <c r="D947" s="19" t="s">
        <v>1857</v>
      </c>
      <c r="E947" s="19" t="s">
        <v>1858</v>
      </c>
      <c r="F947" s="19" t="s">
        <v>1852</v>
      </c>
      <c r="G947" s="19" t="s">
        <v>1950</v>
      </c>
      <c r="H947" s="19">
        <v>8</v>
      </c>
      <c r="I947" s="19">
        <v>4021.86</v>
      </c>
      <c r="J947" s="19">
        <v>32174.88</v>
      </c>
    </row>
    <row r="948" ht="15.25" spans="1:10">
      <c r="A948" s="18" t="s">
        <v>2034</v>
      </c>
      <c r="B948" s="19" t="s">
        <v>1902</v>
      </c>
      <c r="C948" s="19" t="s">
        <v>1875</v>
      </c>
      <c r="D948" s="19" t="s">
        <v>1862</v>
      </c>
      <c r="E948" s="19" t="s">
        <v>1858</v>
      </c>
      <c r="F948" s="19" t="s">
        <v>1852</v>
      </c>
      <c r="G948" s="19" t="s">
        <v>1910</v>
      </c>
      <c r="H948" s="19">
        <v>16</v>
      </c>
      <c r="I948" s="19">
        <v>4008.72</v>
      </c>
      <c r="J948" s="19">
        <v>64139.52</v>
      </c>
    </row>
    <row r="949" ht="15.25" spans="1:10">
      <c r="A949" s="18" t="s">
        <v>2009</v>
      </c>
      <c r="B949" s="19" t="s">
        <v>1848</v>
      </c>
      <c r="C949" s="19" t="s">
        <v>1898</v>
      </c>
      <c r="D949" s="19" t="s">
        <v>1879</v>
      </c>
      <c r="E949" s="19" t="s">
        <v>1851</v>
      </c>
      <c r="F949" s="19" t="s">
        <v>1852</v>
      </c>
      <c r="G949" s="19" t="s">
        <v>1950</v>
      </c>
      <c r="H949" s="19">
        <v>14</v>
      </c>
      <c r="I949" s="19">
        <v>4793.38</v>
      </c>
      <c r="J949" s="19">
        <v>67107.32</v>
      </c>
    </row>
    <row r="950" ht="15.25" spans="1:10">
      <c r="A950" s="18" t="s">
        <v>2105</v>
      </c>
      <c r="B950" s="19" t="s">
        <v>1874</v>
      </c>
      <c r="C950" s="19" t="s">
        <v>1903</v>
      </c>
      <c r="D950" s="19" t="s">
        <v>1884</v>
      </c>
      <c r="E950" s="19" t="s">
        <v>1895</v>
      </c>
      <c r="F950" s="19" t="s">
        <v>1852</v>
      </c>
      <c r="G950" s="19" t="s">
        <v>1934</v>
      </c>
      <c r="H950" s="19">
        <v>14</v>
      </c>
      <c r="I950" s="19">
        <v>4816.39</v>
      </c>
      <c r="J950" s="19">
        <v>67429.46</v>
      </c>
    </row>
    <row r="951" ht="15.25" spans="1:10">
      <c r="A951" s="18" t="s">
        <v>1958</v>
      </c>
      <c r="B951" s="19" t="s">
        <v>1871</v>
      </c>
      <c r="C951" s="19" t="s">
        <v>1941</v>
      </c>
      <c r="D951" s="19" t="s">
        <v>1879</v>
      </c>
      <c r="E951" s="19" t="s">
        <v>1851</v>
      </c>
      <c r="F951" s="19" t="s">
        <v>1852</v>
      </c>
      <c r="G951" s="19" t="s">
        <v>1853</v>
      </c>
      <c r="H951" s="19">
        <v>6</v>
      </c>
      <c r="I951" s="19">
        <v>4072.51</v>
      </c>
      <c r="J951" s="19">
        <v>24435.06</v>
      </c>
    </row>
    <row r="952" ht="15.25" spans="1:10">
      <c r="A952" s="18">
        <v>45263</v>
      </c>
      <c r="B952" s="19" t="s">
        <v>1878</v>
      </c>
      <c r="C952" s="19" t="s">
        <v>1593</v>
      </c>
      <c r="D952" s="19" t="s">
        <v>1850</v>
      </c>
      <c r="E952" s="19" t="s">
        <v>1851</v>
      </c>
      <c r="F952" s="19" t="s">
        <v>1868</v>
      </c>
      <c r="G952" s="19" t="s">
        <v>1917</v>
      </c>
      <c r="H952" s="19">
        <v>2</v>
      </c>
      <c r="I952" s="19">
        <v>1269.81</v>
      </c>
      <c r="J952" s="19">
        <v>2539.62</v>
      </c>
    </row>
    <row r="953" ht="15.25" spans="1:10">
      <c r="A953" s="18" t="s">
        <v>2026</v>
      </c>
      <c r="B953" s="19" t="s">
        <v>1889</v>
      </c>
      <c r="C953" s="19" t="s">
        <v>1941</v>
      </c>
      <c r="D953" s="19" t="s">
        <v>1879</v>
      </c>
      <c r="E953" s="19" t="s">
        <v>1851</v>
      </c>
      <c r="F953" s="19" t="s">
        <v>1868</v>
      </c>
      <c r="G953" s="19" t="s">
        <v>1907</v>
      </c>
      <c r="H953" s="19">
        <v>13</v>
      </c>
      <c r="I953" s="19">
        <v>3071.93</v>
      </c>
      <c r="J953" s="19">
        <v>39935.09</v>
      </c>
    </row>
    <row r="954" ht="15.25" spans="1:10">
      <c r="A954" s="18" t="s">
        <v>1978</v>
      </c>
      <c r="B954" s="19" t="s">
        <v>1867</v>
      </c>
      <c r="C954" s="19" t="s">
        <v>1610</v>
      </c>
      <c r="D954" s="19" t="s">
        <v>1879</v>
      </c>
      <c r="E954" s="19" t="s">
        <v>1851</v>
      </c>
      <c r="F954" s="19" t="s">
        <v>1865</v>
      </c>
      <c r="G954" s="19" t="s">
        <v>1866</v>
      </c>
      <c r="H954" s="19">
        <v>5</v>
      </c>
      <c r="I954" s="19">
        <v>4686.67</v>
      </c>
      <c r="J954" s="19">
        <v>23433.35</v>
      </c>
    </row>
    <row r="955" ht="15.25" spans="1:10">
      <c r="A955" s="18" t="s">
        <v>1942</v>
      </c>
      <c r="B955" s="19" t="s">
        <v>1902</v>
      </c>
      <c r="C955" s="19" t="s">
        <v>1849</v>
      </c>
      <c r="D955" s="19" t="s">
        <v>1850</v>
      </c>
      <c r="E955" s="19" t="s">
        <v>1851</v>
      </c>
      <c r="F955" s="19" t="s">
        <v>1852</v>
      </c>
      <c r="G955" s="19" t="s">
        <v>1934</v>
      </c>
      <c r="H955" s="19">
        <v>5</v>
      </c>
      <c r="I955" s="19">
        <v>4504.17</v>
      </c>
      <c r="J955" s="19">
        <v>22520.85</v>
      </c>
    </row>
    <row r="956" ht="15.25" spans="1:10">
      <c r="A956" s="18" t="s">
        <v>1956</v>
      </c>
      <c r="B956" s="19" t="s">
        <v>1848</v>
      </c>
      <c r="C956" s="19" t="s">
        <v>1602</v>
      </c>
      <c r="D956" s="19" t="s">
        <v>1862</v>
      </c>
      <c r="E956" s="19" t="s">
        <v>1858</v>
      </c>
      <c r="F956" s="19" t="s">
        <v>1852</v>
      </c>
      <c r="G956" s="19" t="s">
        <v>1853</v>
      </c>
      <c r="H956" s="19">
        <v>3</v>
      </c>
      <c r="I956" s="19">
        <v>559.7</v>
      </c>
      <c r="J956" s="19">
        <v>1679.1</v>
      </c>
    </row>
    <row r="957" ht="15.25" spans="1:10">
      <c r="A957" s="18" t="s">
        <v>2023</v>
      </c>
      <c r="B957" s="19" t="s">
        <v>1861</v>
      </c>
      <c r="C957" s="19" t="s">
        <v>1875</v>
      </c>
      <c r="D957" s="19" t="s">
        <v>1862</v>
      </c>
      <c r="E957" s="19" t="s">
        <v>1858</v>
      </c>
      <c r="F957" s="19" t="s">
        <v>1868</v>
      </c>
      <c r="G957" s="19" t="s">
        <v>1899</v>
      </c>
      <c r="H957" s="19">
        <v>17</v>
      </c>
      <c r="I957" s="19">
        <v>1975.71</v>
      </c>
      <c r="J957" s="19">
        <v>33587.07</v>
      </c>
    </row>
    <row r="958" ht="15.25" spans="1:10">
      <c r="A958" s="18">
        <v>45180</v>
      </c>
      <c r="B958" s="19" t="s">
        <v>1867</v>
      </c>
      <c r="C958" s="19" t="s">
        <v>1903</v>
      </c>
      <c r="D958" s="19" t="s">
        <v>1884</v>
      </c>
      <c r="E958" s="19" t="s">
        <v>1895</v>
      </c>
      <c r="F958" s="19" t="s">
        <v>1852</v>
      </c>
      <c r="G958" s="19" t="s">
        <v>1853</v>
      </c>
      <c r="H958" s="19">
        <v>8</v>
      </c>
      <c r="I958" s="19">
        <v>4175.56</v>
      </c>
      <c r="J958" s="19">
        <v>33404.48</v>
      </c>
    </row>
    <row r="959" ht="15.25" spans="1:10">
      <c r="A959" s="18" t="s">
        <v>1974</v>
      </c>
      <c r="B959" s="19" t="s">
        <v>1848</v>
      </c>
      <c r="C959" s="19" t="s">
        <v>1875</v>
      </c>
      <c r="D959" s="19" t="s">
        <v>1862</v>
      </c>
      <c r="E959" s="19" t="s">
        <v>1858</v>
      </c>
      <c r="F959" s="19" t="s">
        <v>1876</v>
      </c>
      <c r="G959" s="19" t="s">
        <v>1926</v>
      </c>
      <c r="H959" s="19">
        <v>14</v>
      </c>
      <c r="I959" s="19">
        <v>2535.08</v>
      </c>
      <c r="J959" s="19">
        <v>35491.12</v>
      </c>
    </row>
    <row r="960" ht="15.25" spans="1:10">
      <c r="A960" s="18">
        <v>45023</v>
      </c>
      <c r="B960" s="19" t="s">
        <v>1871</v>
      </c>
      <c r="C960" s="19" t="s">
        <v>1626</v>
      </c>
      <c r="D960" s="19" t="s">
        <v>1857</v>
      </c>
      <c r="E960" s="19" t="s">
        <v>1858</v>
      </c>
      <c r="F960" s="19" t="s">
        <v>1876</v>
      </c>
      <c r="G960" s="19" t="s">
        <v>1877</v>
      </c>
      <c r="H960" s="19">
        <v>14</v>
      </c>
      <c r="I960" s="19">
        <v>2161.65</v>
      </c>
      <c r="J960" s="19">
        <v>30263.1</v>
      </c>
    </row>
    <row r="961" ht="15.25" spans="1:10">
      <c r="A961" s="18">
        <v>45087</v>
      </c>
      <c r="B961" s="19" t="s">
        <v>1871</v>
      </c>
      <c r="C961" s="19" t="s">
        <v>1903</v>
      </c>
      <c r="D961" s="19" t="s">
        <v>1884</v>
      </c>
      <c r="E961" s="19" t="s">
        <v>1895</v>
      </c>
      <c r="F961" s="19" t="s">
        <v>1876</v>
      </c>
      <c r="G961" s="19" t="s">
        <v>1930</v>
      </c>
      <c r="H961" s="19">
        <v>11</v>
      </c>
      <c r="I961" s="19">
        <v>3424.45</v>
      </c>
      <c r="J961" s="19">
        <v>37668.95</v>
      </c>
    </row>
    <row r="962" ht="15.25" spans="1:10">
      <c r="A962" s="18" t="s">
        <v>2120</v>
      </c>
      <c r="B962" s="19" t="s">
        <v>1878</v>
      </c>
      <c r="C962" s="19" t="s">
        <v>1941</v>
      </c>
      <c r="D962" s="19" t="s">
        <v>1879</v>
      </c>
      <c r="E962" s="19" t="s">
        <v>1851</v>
      </c>
      <c r="F962" s="19" t="s">
        <v>1868</v>
      </c>
      <c r="G962" s="19" t="s">
        <v>1869</v>
      </c>
      <c r="H962" s="19">
        <v>10</v>
      </c>
      <c r="I962" s="19">
        <v>1167.21</v>
      </c>
      <c r="J962" s="19">
        <v>11672.1</v>
      </c>
    </row>
    <row r="963" ht="15.25" spans="1:10">
      <c r="A963" s="18" t="s">
        <v>1975</v>
      </c>
      <c r="B963" s="19" t="s">
        <v>1889</v>
      </c>
      <c r="C963" s="19" t="s">
        <v>1941</v>
      </c>
      <c r="D963" s="19" t="s">
        <v>1879</v>
      </c>
      <c r="E963" s="19" t="s">
        <v>1851</v>
      </c>
      <c r="F963" s="19" t="s">
        <v>1859</v>
      </c>
      <c r="G963" s="19" t="s">
        <v>1860</v>
      </c>
      <c r="H963" s="19">
        <v>7</v>
      </c>
      <c r="I963" s="19">
        <v>500.63</v>
      </c>
      <c r="J963" s="19">
        <v>3504.41</v>
      </c>
    </row>
    <row r="964" ht="15.25" spans="1:10">
      <c r="A964" s="18">
        <v>45027</v>
      </c>
      <c r="B964" s="19" t="s">
        <v>1874</v>
      </c>
      <c r="C964" s="19" t="s">
        <v>1894</v>
      </c>
      <c r="D964" s="19" t="s">
        <v>1884</v>
      </c>
      <c r="E964" s="19" t="s">
        <v>1895</v>
      </c>
      <c r="F964" s="19" t="s">
        <v>1852</v>
      </c>
      <c r="G964" s="19" t="s">
        <v>1950</v>
      </c>
      <c r="H964" s="19">
        <v>10</v>
      </c>
      <c r="I964" s="19">
        <v>1050.84</v>
      </c>
      <c r="J964" s="19">
        <v>10508.4</v>
      </c>
    </row>
    <row r="965" ht="15.25" spans="1:10">
      <c r="A965" s="18" t="s">
        <v>2025</v>
      </c>
      <c r="B965" s="19" t="s">
        <v>1902</v>
      </c>
      <c r="C965" s="19" t="s">
        <v>1906</v>
      </c>
      <c r="D965" s="19" t="s">
        <v>1862</v>
      </c>
      <c r="E965" s="19" t="s">
        <v>1858</v>
      </c>
      <c r="F965" s="19" t="s">
        <v>1852</v>
      </c>
      <c r="G965" s="19" t="s">
        <v>1934</v>
      </c>
      <c r="H965" s="19">
        <v>14</v>
      </c>
      <c r="I965" s="19">
        <v>3726.3</v>
      </c>
      <c r="J965" s="19">
        <v>52168.2</v>
      </c>
    </row>
    <row r="966" ht="15.25" spans="1:10">
      <c r="A966" s="18" t="s">
        <v>1863</v>
      </c>
      <c r="B966" s="19" t="s">
        <v>1867</v>
      </c>
      <c r="C966" s="19" t="s">
        <v>1626</v>
      </c>
      <c r="D966" s="19" t="s">
        <v>1857</v>
      </c>
      <c r="E966" s="19" t="s">
        <v>1858</v>
      </c>
      <c r="F966" s="19" t="s">
        <v>1865</v>
      </c>
      <c r="G966" s="19" t="s">
        <v>1886</v>
      </c>
      <c r="H966" s="19">
        <v>10</v>
      </c>
      <c r="I966" s="19">
        <v>651.83</v>
      </c>
      <c r="J966" s="19">
        <v>6518.3</v>
      </c>
    </row>
    <row r="967" ht="15.25" spans="1:10">
      <c r="A967" s="18" t="s">
        <v>2057</v>
      </c>
      <c r="B967" s="19" t="s">
        <v>1878</v>
      </c>
      <c r="C967" s="19" t="s">
        <v>1598</v>
      </c>
      <c r="D967" s="19" t="s">
        <v>1850</v>
      </c>
      <c r="E967" s="19" t="s">
        <v>1851</v>
      </c>
      <c r="F967" s="19" t="s">
        <v>1852</v>
      </c>
      <c r="G967" s="19" t="s">
        <v>1950</v>
      </c>
      <c r="H967" s="19">
        <v>4</v>
      </c>
      <c r="I967" s="19">
        <v>1077.23</v>
      </c>
      <c r="J967" s="19">
        <v>4308.92</v>
      </c>
    </row>
    <row r="968" ht="15.25" spans="1:10">
      <c r="A968" s="18" t="s">
        <v>1965</v>
      </c>
      <c r="B968" s="19" t="s">
        <v>1902</v>
      </c>
      <c r="C968" s="19" t="s">
        <v>1894</v>
      </c>
      <c r="D968" s="19" t="s">
        <v>1884</v>
      </c>
      <c r="E968" s="19" t="s">
        <v>1895</v>
      </c>
      <c r="F968" s="19" t="s">
        <v>1876</v>
      </c>
      <c r="G968" s="19" t="s">
        <v>1883</v>
      </c>
      <c r="H968" s="19">
        <v>15</v>
      </c>
      <c r="I968" s="19">
        <v>4554.78</v>
      </c>
      <c r="J968" s="19">
        <v>68321.7</v>
      </c>
    </row>
    <row r="969" ht="15.25" spans="1:10">
      <c r="A969" s="18" t="s">
        <v>1943</v>
      </c>
      <c r="B969" s="19" t="s">
        <v>1871</v>
      </c>
      <c r="C969" s="19" t="s">
        <v>1898</v>
      </c>
      <c r="D969" s="19" t="s">
        <v>1879</v>
      </c>
      <c r="E969" s="19" t="s">
        <v>1851</v>
      </c>
      <c r="F969" s="19" t="s">
        <v>1859</v>
      </c>
      <c r="G969" s="19" t="s">
        <v>1922</v>
      </c>
      <c r="H969" s="19">
        <v>19</v>
      </c>
      <c r="I969" s="19">
        <v>1003.13</v>
      </c>
      <c r="J969" s="19">
        <v>19059.47</v>
      </c>
    </row>
    <row r="970" ht="15.25" spans="1:10">
      <c r="A970" s="18" t="s">
        <v>2121</v>
      </c>
      <c r="B970" s="19" t="s">
        <v>1848</v>
      </c>
      <c r="C970" s="19" t="s">
        <v>1906</v>
      </c>
      <c r="D970" s="19" t="s">
        <v>1862</v>
      </c>
      <c r="E970" s="19" t="s">
        <v>1858</v>
      </c>
      <c r="F970" s="19" t="s">
        <v>1868</v>
      </c>
      <c r="G970" s="19" t="s">
        <v>1899</v>
      </c>
      <c r="H970" s="19">
        <v>7</v>
      </c>
      <c r="I970" s="19">
        <v>3168.77</v>
      </c>
      <c r="J970" s="19">
        <v>22181.39</v>
      </c>
    </row>
    <row r="971" ht="15.25" spans="1:10">
      <c r="A971" s="18" t="s">
        <v>2017</v>
      </c>
      <c r="B971" s="19" t="s">
        <v>1871</v>
      </c>
      <c r="C971" s="19" t="s">
        <v>1894</v>
      </c>
      <c r="D971" s="19" t="s">
        <v>1884</v>
      </c>
      <c r="E971" s="19" t="s">
        <v>1895</v>
      </c>
      <c r="F971" s="19" t="s">
        <v>1859</v>
      </c>
      <c r="G971" s="19" t="s">
        <v>1872</v>
      </c>
      <c r="H971" s="19">
        <v>19</v>
      </c>
      <c r="I971" s="19">
        <v>4528.95</v>
      </c>
      <c r="J971" s="19">
        <v>86050.05</v>
      </c>
    </row>
    <row r="972" ht="15.25" spans="1:10">
      <c r="A972" s="18" t="s">
        <v>2052</v>
      </c>
      <c r="B972" s="19" t="s">
        <v>1861</v>
      </c>
      <c r="C972" s="19" t="s">
        <v>1906</v>
      </c>
      <c r="D972" s="19" t="s">
        <v>1862</v>
      </c>
      <c r="E972" s="19" t="s">
        <v>1858</v>
      </c>
      <c r="F972" s="19" t="s">
        <v>1876</v>
      </c>
      <c r="G972" s="19" t="s">
        <v>1883</v>
      </c>
      <c r="H972" s="19">
        <v>5</v>
      </c>
      <c r="I972" s="19">
        <v>2480.84</v>
      </c>
      <c r="J972" s="19">
        <v>12404.2</v>
      </c>
    </row>
    <row r="973" ht="15.25" spans="1:10">
      <c r="A973" s="18">
        <v>45051</v>
      </c>
      <c r="B973" s="19" t="s">
        <v>1889</v>
      </c>
      <c r="C973" s="19" t="s">
        <v>1589</v>
      </c>
      <c r="D973" s="19" t="s">
        <v>1884</v>
      </c>
      <c r="E973" s="19" t="s">
        <v>1895</v>
      </c>
      <c r="F973" s="19" t="s">
        <v>1865</v>
      </c>
      <c r="G973" s="19" t="s">
        <v>1920</v>
      </c>
      <c r="H973" s="19">
        <v>11</v>
      </c>
      <c r="I973" s="19">
        <v>4740.79</v>
      </c>
      <c r="J973" s="19">
        <v>52148.69</v>
      </c>
    </row>
    <row r="974" ht="15.25" spans="1:10">
      <c r="A974" s="18" t="s">
        <v>1955</v>
      </c>
      <c r="B974" s="19" t="s">
        <v>1874</v>
      </c>
      <c r="C974" s="19" t="s">
        <v>1589</v>
      </c>
      <c r="D974" s="19" t="s">
        <v>1884</v>
      </c>
      <c r="E974" s="19" t="s">
        <v>1895</v>
      </c>
      <c r="F974" s="19" t="s">
        <v>1868</v>
      </c>
      <c r="G974" s="19" t="s">
        <v>1869</v>
      </c>
      <c r="H974" s="19">
        <v>16</v>
      </c>
      <c r="I974" s="19">
        <v>2687.77</v>
      </c>
      <c r="J974" s="19">
        <v>43004.32</v>
      </c>
    </row>
    <row r="975" ht="15.25" spans="1:10">
      <c r="A975" s="18">
        <v>45024</v>
      </c>
      <c r="B975" s="19" t="s">
        <v>1871</v>
      </c>
      <c r="C975" s="19" t="s">
        <v>1864</v>
      </c>
      <c r="D975" s="19" t="s">
        <v>1857</v>
      </c>
      <c r="E975" s="19" t="s">
        <v>1858</v>
      </c>
      <c r="F975" s="19" t="s">
        <v>1868</v>
      </c>
      <c r="G975" s="19" t="s">
        <v>1899</v>
      </c>
      <c r="H975" s="19">
        <v>15</v>
      </c>
      <c r="I975" s="19">
        <v>2472.8</v>
      </c>
      <c r="J975" s="19">
        <v>37092</v>
      </c>
    </row>
    <row r="976" ht="15.25" spans="1:10">
      <c r="A976" s="18" t="s">
        <v>1882</v>
      </c>
      <c r="B976" s="19" t="s">
        <v>1902</v>
      </c>
      <c r="C976" s="19" t="s">
        <v>1589</v>
      </c>
      <c r="D976" s="19" t="s">
        <v>1884</v>
      </c>
      <c r="E976" s="19" t="s">
        <v>1895</v>
      </c>
      <c r="F976" s="19" t="s">
        <v>1852</v>
      </c>
      <c r="G976" s="19" t="s">
        <v>1853</v>
      </c>
      <c r="H976" s="19">
        <v>3</v>
      </c>
      <c r="I976" s="19">
        <v>3814.12</v>
      </c>
      <c r="J976" s="19">
        <v>11442.36</v>
      </c>
    </row>
    <row r="977" ht="15.25" spans="1:10">
      <c r="A977" s="18" t="s">
        <v>2070</v>
      </c>
      <c r="B977" s="19" t="s">
        <v>1902</v>
      </c>
      <c r="C977" s="19" t="s">
        <v>1610</v>
      </c>
      <c r="D977" s="19" t="s">
        <v>1879</v>
      </c>
      <c r="E977" s="19" t="s">
        <v>1851</v>
      </c>
      <c r="F977" s="19" t="s">
        <v>1852</v>
      </c>
      <c r="G977" s="19" t="s">
        <v>1910</v>
      </c>
      <c r="H977" s="19">
        <v>1</v>
      </c>
      <c r="I977" s="19">
        <v>2333.78</v>
      </c>
      <c r="J977" s="19">
        <v>2333.78</v>
      </c>
    </row>
    <row r="978" ht="15.25" spans="1:10">
      <c r="A978" s="18" t="s">
        <v>2034</v>
      </c>
      <c r="B978" s="19" t="s">
        <v>1867</v>
      </c>
      <c r="C978" s="19" t="s">
        <v>1849</v>
      </c>
      <c r="D978" s="19" t="s">
        <v>1850</v>
      </c>
      <c r="E978" s="19" t="s">
        <v>1851</v>
      </c>
      <c r="F978" s="19" t="s">
        <v>1868</v>
      </c>
      <c r="G978" s="19" t="s">
        <v>1869</v>
      </c>
      <c r="H978" s="19">
        <v>10</v>
      </c>
      <c r="I978" s="19">
        <v>2628.56</v>
      </c>
      <c r="J978" s="19">
        <v>26285.6</v>
      </c>
    </row>
    <row r="979" ht="15.25" spans="1:10">
      <c r="A979" s="18" t="s">
        <v>2098</v>
      </c>
      <c r="B979" s="19" t="s">
        <v>1861</v>
      </c>
      <c r="C979" s="19" t="s">
        <v>1864</v>
      </c>
      <c r="D979" s="19" t="s">
        <v>1857</v>
      </c>
      <c r="E979" s="19" t="s">
        <v>1858</v>
      </c>
      <c r="F979" s="19" t="s">
        <v>1876</v>
      </c>
      <c r="G979" s="19" t="s">
        <v>1877</v>
      </c>
      <c r="H979" s="19">
        <v>16</v>
      </c>
      <c r="I979" s="19">
        <v>284.02</v>
      </c>
      <c r="J979" s="19">
        <v>4544.32</v>
      </c>
    </row>
    <row r="980" ht="15.25" spans="1:10">
      <c r="A980" s="18" t="s">
        <v>1913</v>
      </c>
      <c r="B980" s="19" t="s">
        <v>1878</v>
      </c>
      <c r="C980" s="19" t="s">
        <v>1602</v>
      </c>
      <c r="D980" s="19" t="s">
        <v>1862</v>
      </c>
      <c r="E980" s="19" t="s">
        <v>1858</v>
      </c>
      <c r="F980" s="19" t="s">
        <v>1868</v>
      </c>
      <c r="G980" s="19" t="s">
        <v>1899</v>
      </c>
      <c r="H980" s="19">
        <v>8</v>
      </c>
      <c r="I980" s="19">
        <v>1011.67</v>
      </c>
      <c r="J980" s="19">
        <v>8093.36</v>
      </c>
    </row>
    <row r="981" ht="15.25" spans="1:10">
      <c r="A981" s="18">
        <v>45141</v>
      </c>
      <c r="B981" s="19" t="s">
        <v>1889</v>
      </c>
      <c r="C981" s="19" t="s">
        <v>1903</v>
      </c>
      <c r="D981" s="19" t="s">
        <v>1884</v>
      </c>
      <c r="E981" s="19" t="s">
        <v>1895</v>
      </c>
      <c r="F981" s="19" t="s">
        <v>1868</v>
      </c>
      <c r="G981" s="19" t="s">
        <v>1907</v>
      </c>
      <c r="H981" s="19">
        <v>6</v>
      </c>
      <c r="I981" s="19">
        <v>3918.07</v>
      </c>
      <c r="J981" s="19">
        <v>23508.42</v>
      </c>
    </row>
    <row r="982" ht="15.25" spans="1:10">
      <c r="A982" s="18" t="s">
        <v>2117</v>
      </c>
      <c r="B982" s="19" t="s">
        <v>1878</v>
      </c>
      <c r="C982" s="19" t="s">
        <v>1875</v>
      </c>
      <c r="D982" s="19" t="s">
        <v>1862</v>
      </c>
      <c r="E982" s="19" t="s">
        <v>1858</v>
      </c>
      <c r="F982" s="19" t="s">
        <v>1865</v>
      </c>
      <c r="G982" s="19" t="s">
        <v>1890</v>
      </c>
      <c r="H982" s="19">
        <v>2</v>
      </c>
      <c r="I982" s="19">
        <v>3313.63</v>
      </c>
      <c r="J982" s="19">
        <v>6627.26</v>
      </c>
    </row>
    <row r="983" ht="15.25" spans="1:10">
      <c r="A983" s="18" t="s">
        <v>2081</v>
      </c>
      <c r="B983" s="19" t="s">
        <v>1892</v>
      </c>
      <c r="C983" s="19" t="s">
        <v>1856</v>
      </c>
      <c r="D983" s="19" t="s">
        <v>1857</v>
      </c>
      <c r="E983" s="19" t="s">
        <v>1858</v>
      </c>
      <c r="F983" s="19" t="s">
        <v>1865</v>
      </c>
      <c r="G983" s="19" t="s">
        <v>1886</v>
      </c>
      <c r="H983" s="19">
        <v>18</v>
      </c>
      <c r="I983" s="19">
        <v>809.24</v>
      </c>
      <c r="J983" s="19">
        <v>14566.32</v>
      </c>
    </row>
    <row r="984" ht="15.25" spans="1:10">
      <c r="A984" s="18" t="s">
        <v>2069</v>
      </c>
      <c r="B984" s="19" t="s">
        <v>1861</v>
      </c>
      <c r="C984" s="19" t="s">
        <v>1894</v>
      </c>
      <c r="D984" s="19" t="s">
        <v>1884</v>
      </c>
      <c r="E984" s="19" t="s">
        <v>1895</v>
      </c>
      <c r="F984" s="19" t="s">
        <v>1868</v>
      </c>
      <c r="G984" s="19" t="s">
        <v>1917</v>
      </c>
      <c r="H984" s="19">
        <v>2</v>
      </c>
      <c r="I984" s="19">
        <v>2338.61</v>
      </c>
      <c r="J984" s="19">
        <v>4677.22</v>
      </c>
    </row>
    <row r="985" ht="15.25" spans="1:10">
      <c r="A985" s="18" t="s">
        <v>2122</v>
      </c>
      <c r="B985" s="19" t="s">
        <v>1902</v>
      </c>
      <c r="C985" s="19" t="s">
        <v>1906</v>
      </c>
      <c r="D985" s="19" t="s">
        <v>1862</v>
      </c>
      <c r="E985" s="19" t="s">
        <v>1858</v>
      </c>
      <c r="F985" s="19" t="s">
        <v>1868</v>
      </c>
      <c r="G985" s="19" t="s">
        <v>1917</v>
      </c>
      <c r="H985" s="19">
        <v>18</v>
      </c>
      <c r="I985" s="19">
        <v>2773.93</v>
      </c>
      <c r="J985" s="19">
        <v>49930.74</v>
      </c>
    </row>
    <row r="986" ht="15.25" spans="1:10">
      <c r="A986" s="18">
        <v>45172</v>
      </c>
      <c r="B986" s="19" t="s">
        <v>1867</v>
      </c>
      <c r="C986" s="19" t="s">
        <v>1598</v>
      </c>
      <c r="D986" s="19" t="s">
        <v>1850</v>
      </c>
      <c r="E986" s="19" t="s">
        <v>1851</v>
      </c>
      <c r="F986" s="19" t="s">
        <v>1868</v>
      </c>
      <c r="G986" s="19" t="s">
        <v>1907</v>
      </c>
      <c r="H986" s="19">
        <v>15</v>
      </c>
      <c r="I986" s="19">
        <v>2540.06</v>
      </c>
      <c r="J986" s="19">
        <v>38100.9</v>
      </c>
    </row>
    <row r="987" ht="15.25" spans="1:10">
      <c r="A987" s="18" t="s">
        <v>1943</v>
      </c>
      <c r="B987" s="19" t="s">
        <v>1848</v>
      </c>
      <c r="C987" s="19" t="s">
        <v>1903</v>
      </c>
      <c r="D987" s="19" t="s">
        <v>1884</v>
      </c>
      <c r="E987" s="19" t="s">
        <v>1895</v>
      </c>
      <c r="F987" s="19" t="s">
        <v>1865</v>
      </c>
      <c r="G987" s="19" t="s">
        <v>1866</v>
      </c>
      <c r="H987" s="19">
        <v>4</v>
      </c>
      <c r="I987" s="19">
        <v>1178.71</v>
      </c>
      <c r="J987" s="19">
        <v>4714.84</v>
      </c>
    </row>
    <row r="988" ht="15.25" spans="1:10">
      <c r="A988" s="18" t="s">
        <v>2091</v>
      </c>
      <c r="B988" s="19" t="s">
        <v>1889</v>
      </c>
      <c r="C988" s="19" t="s">
        <v>1856</v>
      </c>
      <c r="D988" s="19" t="s">
        <v>1857</v>
      </c>
      <c r="E988" s="19" t="s">
        <v>1858</v>
      </c>
      <c r="F988" s="19" t="s">
        <v>1868</v>
      </c>
      <c r="G988" s="19" t="s">
        <v>1869</v>
      </c>
      <c r="H988" s="19">
        <v>4</v>
      </c>
      <c r="I988" s="19">
        <v>4724.33</v>
      </c>
      <c r="J988" s="19">
        <v>18897.32</v>
      </c>
    </row>
    <row r="989" ht="15.25" spans="1:10">
      <c r="A989" s="18" t="s">
        <v>2108</v>
      </c>
      <c r="B989" s="19" t="s">
        <v>1889</v>
      </c>
      <c r="C989" s="19" t="s">
        <v>1589</v>
      </c>
      <c r="D989" s="19" t="s">
        <v>1884</v>
      </c>
      <c r="E989" s="19" t="s">
        <v>1895</v>
      </c>
      <c r="F989" s="19" t="s">
        <v>1876</v>
      </c>
      <c r="G989" s="19" t="s">
        <v>1926</v>
      </c>
      <c r="H989" s="19">
        <v>7</v>
      </c>
      <c r="I989" s="19">
        <v>3481</v>
      </c>
      <c r="J989" s="19">
        <v>24367</v>
      </c>
    </row>
    <row r="990" ht="15.25" spans="1:10">
      <c r="A990" s="18" t="s">
        <v>2056</v>
      </c>
      <c r="B990" s="19" t="s">
        <v>1902</v>
      </c>
      <c r="C990" s="19" t="s">
        <v>1610</v>
      </c>
      <c r="D990" s="19" t="s">
        <v>1879</v>
      </c>
      <c r="E990" s="19" t="s">
        <v>1851</v>
      </c>
      <c r="F990" s="19" t="s">
        <v>1852</v>
      </c>
      <c r="G990" s="19" t="s">
        <v>1853</v>
      </c>
      <c r="H990" s="19">
        <v>16</v>
      </c>
      <c r="I990" s="19">
        <v>4608.55</v>
      </c>
      <c r="J990" s="19">
        <v>73736.8</v>
      </c>
    </row>
    <row r="991" ht="15.25" spans="1:10">
      <c r="A991" s="18" t="s">
        <v>1991</v>
      </c>
      <c r="B991" s="19" t="s">
        <v>1892</v>
      </c>
      <c r="C991" s="19" t="s">
        <v>1598</v>
      </c>
      <c r="D991" s="19" t="s">
        <v>1850</v>
      </c>
      <c r="E991" s="19" t="s">
        <v>1851</v>
      </c>
      <c r="F991" s="19" t="s">
        <v>1876</v>
      </c>
      <c r="G991" s="19" t="s">
        <v>1930</v>
      </c>
      <c r="H991" s="19">
        <v>10</v>
      </c>
      <c r="I991" s="19">
        <v>2336.88</v>
      </c>
      <c r="J991" s="19">
        <v>23368.8</v>
      </c>
    </row>
    <row r="992" ht="15.25" spans="1:10">
      <c r="A992" s="18" t="s">
        <v>1939</v>
      </c>
      <c r="B992" s="19" t="s">
        <v>1848</v>
      </c>
      <c r="C992" s="19" t="s">
        <v>1626</v>
      </c>
      <c r="D992" s="19" t="s">
        <v>1857</v>
      </c>
      <c r="E992" s="19" t="s">
        <v>1858</v>
      </c>
      <c r="F992" s="19" t="s">
        <v>1859</v>
      </c>
      <c r="G992" s="19" t="s">
        <v>1947</v>
      </c>
      <c r="H992" s="19">
        <v>1</v>
      </c>
      <c r="I992" s="19">
        <v>2993.55</v>
      </c>
      <c r="J992" s="19">
        <v>2993.55</v>
      </c>
    </row>
    <row r="993" ht="15.25" spans="1:10">
      <c r="A993" s="18" t="s">
        <v>2041</v>
      </c>
      <c r="B993" s="19" t="s">
        <v>1878</v>
      </c>
      <c r="C993" s="19" t="s">
        <v>1864</v>
      </c>
      <c r="D993" s="19" t="s">
        <v>1857</v>
      </c>
      <c r="E993" s="19" t="s">
        <v>1858</v>
      </c>
      <c r="F993" s="19" t="s">
        <v>1865</v>
      </c>
      <c r="G993" s="19" t="s">
        <v>1890</v>
      </c>
      <c r="H993" s="19">
        <v>19</v>
      </c>
      <c r="I993" s="19">
        <v>4080.77</v>
      </c>
      <c r="J993" s="19">
        <v>77534.63</v>
      </c>
    </row>
    <row r="994" ht="15.25" spans="1:10">
      <c r="A994" s="18" t="s">
        <v>2104</v>
      </c>
      <c r="B994" s="19" t="s">
        <v>1855</v>
      </c>
      <c r="C994" s="19" t="s">
        <v>1906</v>
      </c>
      <c r="D994" s="19" t="s">
        <v>1862</v>
      </c>
      <c r="E994" s="19" t="s">
        <v>1858</v>
      </c>
      <c r="F994" s="19" t="s">
        <v>1865</v>
      </c>
      <c r="G994" s="19" t="s">
        <v>1920</v>
      </c>
      <c r="H994" s="19">
        <v>4</v>
      </c>
      <c r="I994" s="19">
        <v>3659.61</v>
      </c>
      <c r="J994" s="19">
        <v>14638.44</v>
      </c>
    </row>
    <row r="995" ht="15.25" spans="1:10">
      <c r="A995" s="18">
        <v>45109</v>
      </c>
      <c r="B995" s="19" t="s">
        <v>1871</v>
      </c>
      <c r="C995" s="19" t="s">
        <v>1589</v>
      </c>
      <c r="D995" s="19" t="s">
        <v>1884</v>
      </c>
      <c r="E995" s="19" t="s">
        <v>1895</v>
      </c>
      <c r="F995" s="19" t="s">
        <v>1865</v>
      </c>
      <c r="G995" s="19" t="s">
        <v>1920</v>
      </c>
      <c r="H995" s="19">
        <v>12</v>
      </c>
      <c r="I995" s="19">
        <v>1819.46</v>
      </c>
      <c r="J995" s="19">
        <v>21833.52</v>
      </c>
    </row>
    <row r="996" ht="15.25" spans="1:10">
      <c r="A996" s="18" t="s">
        <v>2080</v>
      </c>
      <c r="B996" s="19" t="s">
        <v>1867</v>
      </c>
      <c r="C996" s="19" t="s">
        <v>1626</v>
      </c>
      <c r="D996" s="19" t="s">
        <v>1857</v>
      </c>
      <c r="E996" s="19" t="s">
        <v>1858</v>
      </c>
      <c r="F996" s="19" t="s">
        <v>1876</v>
      </c>
      <c r="G996" s="19" t="s">
        <v>1926</v>
      </c>
      <c r="H996" s="19">
        <v>13</v>
      </c>
      <c r="I996" s="19">
        <v>3520.87</v>
      </c>
      <c r="J996" s="19">
        <v>45771.31</v>
      </c>
    </row>
    <row r="997" ht="15.25" spans="1:10">
      <c r="A997" s="18" t="s">
        <v>2046</v>
      </c>
      <c r="B997" s="19" t="s">
        <v>1878</v>
      </c>
      <c r="C997" s="19" t="s">
        <v>1856</v>
      </c>
      <c r="D997" s="19" t="s">
        <v>1857</v>
      </c>
      <c r="E997" s="19" t="s">
        <v>1858</v>
      </c>
      <c r="F997" s="19" t="s">
        <v>1868</v>
      </c>
      <c r="G997" s="19" t="s">
        <v>1917</v>
      </c>
      <c r="H997" s="19">
        <v>14</v>
      </c>
      <c r="I997" s="19">
        <v>4532.88</v>
      </c>
      <c r="J997" s="19">
        <v>63460.32</v>
      </c>
    </row>
    <row r="998" ht="15.25" spans="1:10">
      <c r="A998" s="18" t="s">
        <v>1888</v>
      </c>
      <c r="B998" s="19" t="s">
        <v>1871</v>
      </c>
      <c r="C998" s="19" t="s">
        <v>1849</v>
      </c>
      <c r="D998" s="19" t="s">
        <v>1850</v>
      </c>
      <c r="E998" s="19" t="s">
        <v>1851</v>
      </c>
      <c r="F998" s="19" t="s">
        <v>1852</v>
      </c>
      <c r="G998" s="19" t="s">
        <v>1910</v>
      </c>
      <c r="H998" s="19">
        <v>6</v>
      </c>
      <c r="I998" s="19">
        <v>1709.52</v>
      </c>
      <c r="J998" s="19">
        <v>10257.12</v>
      </c>
    </row>
    <row r="999" ht="15.25" spans="1:10">
      <c r="A999" s="18" t="s">
        <v>1960</v>
      </c>
      <c r="B999" s="19" t="s">
        <v>1902</v>
      </c>
      <c r="C999" s="19" t="s">
        <v>1602</v>
      </c>
      <c r="D999" s="19" t="s">
        <v>1862</v>
      </c>
      <c r="E999" s="19" t="s">
        <v>1858</v>
      </c>
      <c r="F999" s="19" t="s">
        <v>1865</v>
      </c>
      <c r="G999" s="19" t="s">
        <v>1866</v>
      </c>
      <c r="H999" s="19">
        <v>10</v>
      </c>
      <c r="I999" s="19">
        <v>3803.22</v>
      </c>
      <c r="J999" s="19">
        <v>38032.2</v>
      </c>
    </row>
    <row r="1000" ht="15.25" spans="1:10">
      <c r="A1000" s="18">
        <v>44958</v>
      </c>
      <c r="B1000" s="19" t="s">
        <v>1892</v>
      </c>
      <c r="C1000" s="19" t="s">
        <v>1602</v>
      </c>
      <c r="D1000" s="19" t="s">
        <v>1862</v>
      </c>
      <c r="E1000" s="19" t="s">
        <v>1858</v>
      </c>
      <c r="F1000" s="19" t="s">
        <v>1859</v>
      </c>
      <c r="G1000" s="19" t="s">
        <v>1947</v>
      </c>
      <c r="H1000" s="19">
        <v>15</v>
      </c>
      <c r="I1000" s="19">
        <v>1853</v>
      </c>
      <c r="J1000" s="19">
        <v>27795</v>
      </c>
    </row>
    <row r="1001" ht="15.25" spans="1:10">
      <c r="A1001" s="18">
        <v>45018</v>
      </c>
      <c r="B1001" s="19" t="s">
        <v>1902</v>
      </c>
      <c r="C1001" s="19" t="s">
        <v>1593</v>
      </c>
      <c r="D1001" s="19" t="s">
        <v>1850</v>
      </c>
      <c r="E1001" s="19" t="s">
        <v>1851</v>
      </c>
      <c r="F1001" s="19" t="s">
        <v>1865</v>
      </c>
      <c r="G1001" s="19" t="s">
        <v>1886</v>
      </c>
      <c r="H1001" s="19">
        <v>2</v>
      </c>
      <c r="I1001" s="19">
        <v>2623.43</v>
      </c>
      <c r="J1001" s="19">
        <v>5246.86</v>
      </c>
    </row>
    <row r="1002" ht="15.25"/>
    <row r="1003" ht="15.25"/>
    <row r="1004" ht="15.25"/>
    <row r="1005" ht="15.25"/>
    <row r="1006" ht="15.25"/>
    <row r="1007" ht="15.25"/>
    <row r="1008" ht="15.25"/>
    <row r="1009" ht="15.25"/>
    <row r="1010" ht="15.25"/>
    <row r="1011" ht="15.25"/>
    <row r="1012" ht="15.25"/>
    <row r="1013" ht="15.25"/>
    <row r="1014" ht="15.25"/>
    <row r="1015" ht="15.25"/>
    <row r="1016" ht="15.25"/>
    <row r="1017" ht="15.25"/>
    <row r="1018" ht="15.25"/>
    <row r="1019" ht="15.25"/>
    <row r="1020" ht="15.25"/>
    <row r="1021" ht="15.25"/>
    <row r="1022" ht="15.25"/>
    <row r="1023" ht="15.25"/>
    <row r="1024" ht="15.25"/>
    <row r="1025" ht="15.25"/>
    <row r="1026" ht="15.25"/>
    <row r="1027" ht="15.25"/>
    <row r="1028" ht="15.25"/>
    <row r="1029" ht="15.25"/>
    <row r="1030" ht="15.25"/>
    <row r="1031" ht="15.25"/>
    <row r="1032" ht="15.25"/>
    <row r="1033" ht="15.25"/>
    <row r="1034" ht="15.25"/>
    <row r="1035" ht="15.25"/>
    <row r="1036" ht="15.25"/>
    <row r="1037" ht="15.25"/>
    <row r="1038" ht="15.25"/>
    <row r="1039" ht="15.25"/>
    <row r="1040" ht="15.25"/>
    <row r="1041" ht="15.25"/>
    <row r="1042" ht="15.25"/>
    <row r="1043" ht="15.25"/>
    <row r="1044" ht="15.25"/>
    <row r="1045" ht="15.25"/>
    <row r="1046" ht="15.25"/>
    <row r="1047" ht="15.25"/>
    <row r="1048" ht="15.25"/>
    <row r="1049" ht="15.25"/>
    <row r="1050" ht="15.25"/>
    <row r="1051" ht="15.25"/>
    <row r="1052" ht="15.25"/>
    <row r="1053" ht="15.25"/>
    <row r="1054" ht="15.25"/>
    <row r="1055" ht="15.25"/>
    <row r="1056" ht="15.25"/>
    <row r="1057" ht="15.25"/>
    <row r="1058" ht="15.25"/>
    <row r="1059" ht="15.25"/>
    <row r="1060" ht="15.25"/>
    <row r="1061" ht="15.25"/>
    <row r="1062" ht="15.25"/>
    <row r="1063" ht="15.25"/>
    <row r="1064" ht="15.25"/>
    <row r="1065" ht="15.25"/>
    <row r="1066" ht="15.25"/>
    <row r="1067" ht="15.25"/>
    <row r="1068" ht="15.25"/>
    <row r="1069" ht="15.25"/>
    <row r="1070" ht="15.25"/>
    <row r="1071" ht="15.25"/>
    <row r="1072" ht="15.25"/>
    <row r="1073" ht="15.25"/>
    <row r="1074" ht="15.25"/>
    <row r="1075" ht="15.25"/>
    <row r="1076" ht="15.25"/>
    <row r="1077" ht="15.25"/>
    <row r="1078" ht="15.25"/>
    <row r="1079" ht="15.25"/>
    <row r="1080" ht="15.25"/>
    <row r="1081" ht="15.25"/>
    <row r="1082" ht="15.25"/>
    <row r="1083" ht="15.25"/>
    <row r="1084" ht="15.25"/>
    <row r="1085" ht="15.25"/>
    <row r="1086" ht="15.25"/>
    <row r="1087" ht="15.25"/>
    <row r="1088" ht="15.25"/>
    <row r="1089" ht="15.25"/>
    <row r="1090" ht="15.25"/>
    <row r="1091" ht="15.25"/>
    <row r="1092" ht="15.25"/>
    <row r="1093" ht="15.25"/>
    <row r="1094" ht="15.25"/>
    <row r="1095" ht="15.25"/>
    <row r="1096" ht="15.25"/>
    <row r="1097" ht="15.25"/>
    <row r="1098" ht="15.25"/>
    <row r="1099" ht="15.25"/>
    <row r="1100" ht="15.25"/>
    <row r="1101" ht="15.25"/>
    <row r="1102" ht="15.25"/>
    <row r="1103" ht="15.25"/>
    <row r="1104" ht="15.25"/>
    <row r="1105" ht="15.25"/>
    <row r="1106" ht="15.25"/>
    <row r="1107" ht="15.25"/>
    <row r="1108" ht="15.25"/>
    <row r="1109" ht="15.25"/>
    <row r="1110" ht="15.25"/>
    <row r="1111" ht="15.25"/>
    <row r="1112" ht="15.25"/>
    <row r="1113" ht="15.25"/>
    <row r="1114" ht="15.25"/>
    <row r="1115" ht="15.25"/>
    <row r="1116" ht="15.25"/>
    <row r="1117" ht="15.25"/>
    <row r="1118" ht="15.25"/>
    <row r="1119" ht="15.25"/>
    <row r="1120" ht="15.25"/>
    <row r="1121" ht="15.25"/>
    <row r="1122" ht="15.25"/>
    <row r="1123" ht="15.25"/>
    <row r="1124" ht="15.25"/>
    <row r="1125" ht="15.25"/>
    <row r="1126" ht="15.25"/>
    <row r="1127" ht="15.25"/>
    <row r="1128" ht="15.25"/>
    <row r="1129" ht="15.25"/>
    <row r="1130" ht="15.25"/>
    <row r="1131" ht="15.25"/>
    <row r="1132" ht="15.25"/>
    <row r="1133" ht="15.25"/>
    <row r="1134" ht="15.25"/>
    <row r="1135" ht="15.25"/>
    <row r="1136" ht="15.25"/>
    <row r="1137" ht="15.25"/>
    <row r="1138" ht="15.25"/>
    <row r="1139" ht="15.25"/>
    <row r="1140" ht="15.25"/>
    <row r="1141" ht="15.25"/>
    <row r="1142" ht="15.25"/>
    <row r="1143" ht="15.25"/>
    <row r="1144" ht="15.25"/>
    <row r="1145" ht="15.25"/>
    <row r="1146" ht="15.25"/>
    <row r="1147" ht="15.25"/>
    <row r="1148" ht="15.25"/>
    <row r="1149" ht="15.25"/>
    <row r="1150" ht="15.25"/>
    <row r="1151" ht="15.25"/>
    <row r="1152" ht="15.25"/>
    <row r="1153" ht="15.25"/>
    <row r="1154" ht="15.25"/>
    <row r="1155" ht="15.25"/>
    <row r="1156" ht="15.25"/>
    <row r="1157" ht="15.25"/>
    <row r="1158" ht="15.25"/>
    <row r="1159" ht="15.25"/>
    <row r="1160" ht="15.25"/>
    <row r="1161" ht="15.25"/>
    <row r="1162" ht="15.25"/>
    <row r="1163" ht="15.25"/>
    <row r="1164" ht="15.25"/>
    <row r="1165" ht="15.25"/>
    <row r="1166" ht="15.25"/>
    <row r="1167" ht="15.25"/>
    <row r="1168" ht="15.25"/>
    <row r="1169" ht="15.25"/>
    <row r="1170" ht="15.25"/>
    <row r="1171" ht="15.25"/>
    <row r="1172" ht="15.25"/>
    <row r="1173" ht="15.25"/>
    <row r="1174" ht="15.25"/>
    <row r="1175" ht="15.25"/>
    <row r="1176" ht="15.25"/>
    <row r="1177" ht="15.25"/>
    <row r="1178" ht="15.25"/>
    <row r="1179" ht="15.25"/>
    <row r="1180" ht="15.25"/>
    <row r="1181" ht="15.25"/>
    <row r="1182" ht="15.25"/>
    <row r="1183" ht="15.25"/>
    <row r="1184" ht="15.25"/>
    <row r="1185" ht="15.25"/>
    <row r="1186" ht="15.25"/>
    <row r="1187" ht="15.25"/>
    <row r="1188" ht="15.25"/>
    <row r="1189" ht="15.25"/>
    <row r="1190" ht="15.25"/>
    <row r="1191" ht="15.25"/>
    <row r="1192" ht="15.25"/>
    <row r="1193" ht="15.25"/>
    <row r="1194" ht="15.25"/>
    <row r="1195" ht="15.25"/>
    <row r="1196" ht="15.25"/>
    <row r="1197" ht="15.25"/>
    <row r="1198" ht="15.25"/>
    <row r="1199" ht="15.25"/>
    <row r="1200" ht="15.25"/>
    <row r="1201" ht="15.25"/>
    <row r="1202" ht="15.25"/>
    <row r="1203" ht="15.25"/>
    <row r="1204" ht="15.25"/>
    <row r="1205" ht="15.25"/>
    <row r="1206" ht="15.25"/>
    <row r="1207" ht="15.25"/>
    <row r="1208" ht="15.25"/>
    <row r="1209" ht="15.25"/>
    <row r="1210" ht="15.25"/>
    <row r="1211" ht="15.25"/>
    <row r="1212" ht="15.25"/>
    <row r="1213" ht="15.25"/>
    <row r="1214" ht="15.25"/>
    <row r="1215" ht="15.25"/>
    <row r="1216" ht="15.25"/>
    <row r="1217" ht="15.25"/>
    <row r="1218" ht="15.25"/>
    <row r="1219" ht="15.25"/>
    <row r="1220" ht="15.25"/>
    <row r="1221" ht="15.25"/>
    <row r="1222" ht="15.25"/>
    <row r="1223" ht="15.25"/>
    <row r="1224" ht="15.25"/>
    <row r="1225" ht="15.25"/>
    <row r="1226" ht="15.25"/>
    <row r="1227" ht="15.25"/>
    <row r="1228" ht="15.25"/>
    <row r="1229" ht="15.25"/>
    <row r="1230" ht="15.25"/>
    <row r="1231" ht="15.25"/>
    <row r="1232" ht="15.25"/>
    <row r="1233" ht="15.25"/>
    <row r="1234" ht="15.25"/>
    <row r="1235" ht="15.25"/>
    <row r="1236" ht="15.25"/>
    <row r="1237" ht="15.25"/>
    <row r="1238" ht="15.25"/>
    <row r="1239" ht="15.25"/>
    <row r="1240" ht="15.25"/>
    <row r="1241" ht="15.25"/>
    <row r="1242" ht="15.25"/>
    <row r="1243" ht="15.25"/>
    <row r="1244" ht="15.25"/>
    <row r="1245" ht="15.25"/>
    <row r="1246" ht="15.25"/>
    <row r="1247" ht="15.25"/>
    <row r="1248" ht="15.25"/>
    <row r="1249" ht="15.25"/>
    <row r="1250" ht="15.25"/>
    <row r="1251" ht="15.25"/>
    <row r="1252" ht="15.25"/>
    <row r="1253" ht="15.25"/>
    <row r="1254" ht="15.25"/>
    <row r="1255" ht="15.25"/>
    <row r="1256" ht="15.25"/>
    <row r="1257" ht="15.25"/>
    <row r="1258" ht="15.25"/>
    <row r="1259" ht="15.25"/>
    <row r="1260" ht="15.25"/>
    <row r="1261" ht="15.25"/>
    <row r="1262" ht="15.25"/>
    <row r="1263" ht="15.25"/>
    <row r="1264" ht="15.25"/>
    <row r="1265" ht="15.25"/>
    <row r="1266" ht="15.25"/>
    <row r="1267" ht="15.25"/>
    <row r="1268" ht="15.25"/>
    <row r="1269" ht="15.25"/>
    <row r="1270" ht="15.25"/>
    <row r="1271" ht="15.25"/>
    <row r="1272" ht="15.25"/>
    <row r="1273" ht="15.25"/>
    <row r="1274" ht="15.25"/>
    <row r="1275" ht="15.25"/>
    <row r="1276" ht="15.25"/>
    <row r="1277" ht="15.25"/>
    <row r="1278" ht="15.25"/>
    <row r="1279" ht="15.25"/>
    <row r="1280" ht="15.25"/>
    <row r="1281" ht="15.25"/>
    <row r="1282" ht="15.25"/>
    <row r="1283" ht="15.25"/>
    <row r="1284" ht="15.25"/>
    <row r="1285" ht="15.25"/>
    <row r="1286" ht="15.25"/>
    <row r="1287" ht="15.25"/>
    <row r="1288" ht="15.25"/>
    <row r="1289" ht="15.25"/>
    <row r="1290" ht="15.25"/>
    <row r="1291" ht="15.25"/>
    <row r="1292" ht="15.25"/>
    <row r="1293" ht="15.25"/>
    <row r="1294" ht="15.25"/>
    <row r="1295" ht="15.25"/>
    <row r="1296" ht="15.25"/>
    <row r="1297" ht="15.25"/>
    <row r="1298" ht="15.25"/>
    <row r="1299" ht="15.25"/>
    <row r="1300" ht="15.25"/>
    <row r="1301" ht="15.25"/>
    <row r="1302" ht="15.25"/>
    <row r="1303" ht="15.25"/>
    <row r="1304" ht="15.25"/>
    <row r="1305" ht="15.25"/>
    <row r="1306" ht="15.25"/>
    <row r="1307" ht="15.25"/>
    <row r="1308" ht="15.25"/>
    <row r="1309" ht="15.25"/>
    <row r="1310" ht="15.25"/>
    <row r="1311" ht="15.25"/>
    <row r="1312" ht="15.25"/>
    <row r="1313" ht="15.25"/>
    <row r="1314" ht="15.25"/>
    <row r="1315" ht="15.25"/>
    <row r="1316" ht="15.25"/>
    <row r="1317" ht="15.25"/>
    <row r="1318" ht="15.25"/>
    <row r="1319" ht="15.25"/>
    <row r="1320" ht="15.25"/>
    <row r="1321" ht="15.25"/>
    <row r="1322" ht="15.25"/>
    <row r="1323" ht="15.25"/>
    <row r="1324" ht="15.25"/>
    <row r="1325" ht="15.25"/>
    <row r="1326" ht="15.25"/>
    <row r="1327" ht="15.25"/>
    <row r="1328" ht="15.25"/>
    <row r="1329" ht="15.25"/>
    <row r="1330" ht="15.25"/>
    <row r="1331" ht="15.25"/>
    <row r="1332" ht="15.25"/>
    <row r="1333" ht="15.25"/>
    <row r="1334" ht="15.25"/>
    <row r="1335" ht="15.25"/>
    <row r="1336" ht="15.25"/>
    <row r="1337" ht="15.25"/>
    <row r="1338" ht="15.25"/>
    <row r="1339" ht="15.25"/>
    <row r="1340" ht="15.25"/>
    <row r="1341" ht="15.25"/>
    <row r="1342" ht="15.25"/>
    <row r="1343" ht="15.25"/>
    <row r="1344" ht="15.25"/>
    <row r="1345" ht="15.25"/>
    <row r="1346" ht="15.25"/>
    <row r="1347" ht="15.25"/>
    <row r="1348" ht="15.25"/>
    <row r="1349" ht="15.25"/>
    <row r="1350" ht="15.25"/>
    <row r="1351" ht="15.25"/>
    <row r="1352" ht="15.25"/>
    <row r="1353" ht="15.25"/>
    <row r="1354" ht="15.25"/>
    <row r="1355" ht="15.25"/>
    <row r="1356" ht="15.25"/>
    <row r="1357" ht="15.25"/>
    <row r="1358" ht="15.25"/>
    <row r="1359" ht="15.25"/>
    <row r="1360" ht="15.25"/>
    <row r="1361" ht="15.25"/>
    <row r="1362" ht="15.25"/>
    <row r="1363" ht="15.25"/>
    <row r="1364" ht="15.25"/>
    <row r="1365" ht="15.25"/>
    <row r="1366" ht="15.25"/>
    <row r="1367" ht="15.25"/>
    <row r="1368" ht="15.25"/>
    <row r="1369" ht="15.25"/>
    <row r="1370" ht="15.25"/>
    <row r="1371" ht="15.25"/>
    <row r="1372" ht="15.25"/>
    <row r="1373" ht="15.25"/>
    <row r="1374" ht="15.25"/>
    <row r="1375" ht="15.25"/>
    <row r="1376" ht="15.25"/>
    <row r="1377" ht="15.25"/>
    <row r="1378" ht="15.25"/>
    <row r="1379" ht="15.25"/>
    <row r="1380" ht="15.25"/>
    <row r="1381" ht="15.25"/>
    <row r="1382" ht="15.25"/>
    <row r="1383" ht="15.25"/>
    <row r="1384" ht="15.25"/>
    <row r="1385" ht="15.25"/>
    <row r="1386" ht="15.25"/>
    <row r="1387" ht="15.25"/>
    <row r="1388" ht="15.25"/>
    <row r="1389" ht="15.25"/>
    <row r="1390" ht="15.25"/>
    <row r="1391" ht="15.25"/>
    <row r="1392" ht="15.25"/>
    <row r="1393" ht="15.25"/>
    <row r="1394" ht="15.25"/>
    <row r="1395" ht="15.25"/>
    <row r="1396" ht="15.25"/>
    <row r="1397" ht="15.25"/>
    <row r="1398" ht="15.25"/>
    <row r="1399" ht="15.25"/>
    <row r="1400" ht="15.25"/>
    <row r="1401" ht="15.25"/>
    <row r="1402" ht="15.25"/>
    <row r="1403" ht="15.25"/>
    <row r="1404" ht="15.25"/>
    <row r="1405" ht="15.25"/>
    <row r="1406" ht="15.25"/>
    <row r="1407" ht="15.25"/>
    <row r="1408" ht="15.25"/>
    <row r="1409" ht="15.25"/>
    <row r="1410" ht="15.25"/>
    <row r="1411" ht="15.25"/>
    <row r="1412" ht="15.25"/>
    <row r="1413" ht="15.25"/>
    <row r="1414" ht="15.25"/>
    <row r="1415" ht="15.25"/>
    <row r="1416" ht="15.25"/>
    <row r="1417" ht="15.25"/>
    <row r="1418" ht="15.25"/>
    <row r="1419" ht="15.25"/>
    <row r="1420" ht="15.25"/>
    <row r="1421" ht="15.25"/>
    <row r="1422" ht="15.25"/>
    <row r="1423" ht="15.25"/>
    <row r="1424" ht="15.25"/>
    <row r="1425" ht="15.25"/>
    <row r="1426" ht="15.25"/>
    <row r="1427" ht="15.25"/>
    <row r="1428" ht="15.25"/>
    <row r="1429" ht="15.25"/>
    <row r="1430" ht="15.25"/>
    <row r="1431" ht="15.25"/>
    <row r="1432" ht="15.25"/>
    <row r="1433" ht="15.25"/>
    <row r="1434" ht="15.25"/>
    <row r="1435" ht="15.25"/>
    <row r="1436" ht="15.25"/>
    <row r="1437" ht="15.25"/>
    <row r="1438" ht="15.25"/>
    <row r="1439" ht="15.25"/>
    <row r="1440" ht="15.25"/>
    <row r="1441" ht="15.25"/>
    <row r="1442" ht="15.25"/>
    <row r="1443" ht="15.25"/>
    <row r="1444" ht="15.25"/>
    <row r="1445" ht="15.25"/>
    <row r="1446" ht="15.25"/>
    <row r="1447" ht="15.25"/>
    <row r="1448" ht="15.25"/>
    <row r="1449" ht="15.25"/>
    <row r="1450" ht="15.25"/>
    <row r="1451" ht="15.25"/>
    <row r="1452" ht="15.25"/>
    <row r="1453" ht="15.25"/>
    <row r="1454" ht="15.25"/>
    <row r="1455" ht="15.25"/>
    <row r="1456" ht="15.25"/>
    <row r="1457" ht="15.25"/>
    <row r="1458" ht="15.25"/>
    <row r="1459" ht="15.25"/>
    <row r="1460" ht="15.25"/>
    <row r="1461" ht="15.25"/>
    <row r="1462" ht="15.25"/>
    <row r="1463" ht="15.25"/>
    <row r="1464" ht="15.25"/>
    <row r="1465" ht="15.25"/>
    <row r="1466" ht="15.25"/>
    <row r="1467" ht="15.25"/>
    <row r="1468" ht="15.25"/>
    <row r="1469" ht="15.25"/>
    <row r="1470" ht="15.25"/>
    <row r="1471" ht="15.25"/>
    <row r="1472" ht="15.25"/>
    <row r="1473" ht="15.25"/>
    <row r="1474" ht="15.25"/>
    <row r="1475" ht="15.25"/>
    <row r="1476" ht="15.25"/>
    <row r="1477" ht="15.25"/>
    <row r="1478" ht="15.25"/>
    <row r="1479" ht="15.25"/>
    <row r="1480" ht="15.25"/>
    <row r="1481" ht="15.25"/>
    <row r="1482" ht="15.25"/>
    <row r="1483" ht="15.25"/>
    <row r="1484" ht="15.25"/>
    <row r="1485" ht="15.25"/>
    <row r="1486" ht="15.25"/>
    <row r="1487" ht="15.25"/>
    <row r="1488" ht="15.25"/>
    <row r="1489" ht="15.25"/>
    <row r="1490" ht="15.25"/>
    <row r="1491" ht="15.25"/>
    <row r="1492" ht="15.25"/>
    <row r="1493" ht="15.25"/>
    <row r="1494" ht="15.25"/>
    <row r="1495" ht="15.25"/>
    <row r="1496" ht="15.25"/>
    <row r="1497" ht="15.25"/>
    <row r="1498" ht="15.25"/>
    <row r="1499" ht="15.25"/>
    <row r="1500" ht="15.25"/>
    <row r="1501" ht="15.25"/>
    <row r="1502" ht="15.25"/>
    <row r="1503" ht="15.25"/>
    <row r="1504" ht="15.25"/>
    <row r="1505" ht="15.25"/>
    <row r="1506" ht="15.25"/>
    <row r="1507" ht="15.25"/>
    <row r="1508" ht="15.25"/>
    <row r="1509" ht="15.25"/>
    <row r="1510" ht="15.25"/>
    <row r="1511" ht="15.25"/>
    <row r="1512" ht="15.25"/>
    <row r="1513" ht="15.25"/>
    <row r="1514" ht="15.25"/>
    <row r="1515" ht="15.25"/>
    <row r="1516" ht="15.25"/>
    <row r="1517" ht="15.25"/>
    <row r="1518" ht="15.25"/>
    <row r="1519" ht="15.25"/>
    <row r="1520" ht="15.25"/>
    <row r="1521" ht="15.25"/>
    <row r="1522" ht="15.25"/>
    <row r="1523" ht="15.25"/>
    <row r="1524" ht="15.25"/>
    <row r="1525" ht="15.25"/>
    <row r="1526" ht="15.25"/>
    <row r="1527" ht="15.25"/>
    <row r="1528" ht="15.25"/>
    <row r="1529" ht="15.25"/>
    <row r="1530" ht="15.25"/>
    <row r="1531" ht="15.25"/>
    <row r="1532" ht="15.25"/>
    <row r="1533" ht="15.25"/>
    <row r="1534" ht="15.25"/>
    <row r="1535" ht="15.25"/>
    <row r="1536" ht="15.25"/>
    <row r="1537" ht="15.25"/>
    <row r="1538" ht="15.25"/>
    <row r="1539" ht="15.25"/>
    <row r="1540" ht="15.25"/>
    <row r="1541" ht="15.25"/>
    <row r="1542" ht="15.25"/>
    <row r="1543" ht="15.25"/>
    <row r="1544" ht="15.25"/>
    <row r="1545" ht="15.25"/>
    <row r="1546" ht="15.25"/>
    <row r="1547" ht="15.25"/>
    <row r="1548" ht="15.25"/>
    <row r="1549" ht="15.25"/>
    <row r="1550" ht="15.25"/>
    <row r="1551" ht="15.25"/>
    <row r="1552" ht="15.25"/>
    <row r="1553" ht="15.25"/>
    <row r="1554" ht="15.25"/>
    <row r="1555" ht="15.25"/>
    <row r="1556" ht="15.25"/>
    <row r="1557" ht="15.25"/>
    <row r="1558" ht="15.25"/>
    <row r="1559" ht="15.25"/>
    <row r="1560" ht="15.25"/>
    <row r="1561" ht="15.25"/>
    <row r="1562" ht="15.25"/>
    <row r="1563" ht="15.25"/>
    <row r="1564" ht="15.25"/>
    <row r="1565" ht="15.25"/>
    <row r="1566" ht="15.25"/>
    <row r="1567" ht="15.25"/>
    <row r="1568" ht="15.25"/>
    <row r="1569" ht="15.25"/>
    <row r="1570" ht="15.25"/>
    <row r="1571" ht="15.25"/>
    <row r="1572" ht="15.25"/>
    <row r="1573" ht="15.25"/>
    <row r="1574" ht="15.25"/>
    <row r="1575" ht="15.25"/>
    <row r="1576" ht="15.25"/>
    <row r="1577" ht="15.25"/>
    <row r="1578" ht="15.25"/>
    <row r="1579" ht="15.25"/>
    <row r="1580" ht="15.25"/>
    <row r="1581" ht="15.25"/>
    <row r="1582" ht="15.25"/>
    <row r="1583" ht="15.25"/>
    <row r="1584" ht="15.25"/>
    <row r="1585" ht="15.25"/>
    <row r="1586" ht="15.25"/>
    <row r="1587" ht="15.25"/>
    <row r="1588" ht="15.25"/>
    <row r="1589" ht="15.25"/>
    <row r="1590" ht="15.25"/>
    <row r="1591" ht="15.25"/>
    <row r="1592" ht="15.25"/>
    <row r="1593" ht="15.25"/>
    <row r="1594" ht="15.25"/>
    <row r="1595" ht="15.25"/>
    <row r="1596" ht="15.25"/>
    <row r="1597" ht="15.25"/>
    <row r="1598" ht="15.25"/>
    <row r="1599" ht="15.25"/>
    <row r="1600" ht="15.25"/>
    <row r="1601" ht="15.25"/>
    <row r="1602" ht="15.25"/>
    <row r="1603" ht="15.25"/>
    <row r="1604" ht="15.25"/>
    <row r="1605" ht="15.25"/>
    <row r="1606" ht="15.25"/>
    <row r="1607" ht="15.25"/>
    <row r="1608" ht="15.25"/>
    <row r="1609" ht="15.25"/>
    <row r="1610" ht="15.25"/>
    <row r="1611" ht="15.25"/>
    <row r="1612" ht="15.25"/>
    <row r="1613" ht="15.25"/>
    <row r="1614" ht="15.25"/>
    <row r="1615" ht="15.25"/>
    <row r="1616" ht="15.25"/>
    <row r="1617" ht="15.25"/>
    <row r="1618" ht="15.25"/>
    <row r="1619" ht="15.25"/>
    <row r="1620" ht="15.25"/>
    <row r="1621" ht="15.25"/>
    <row r="1622" ht="15.25"/>
    <row r="1623" ht="15.25"/>
    <row r="1624" ht="15.25"/>
    <row r="1625" ht="15.25"/>
    <row r="1626" ht="15.25"/>
    <row r="1627" ht="15.25"/>
    <row r="1628" ht="15.25"/>
    <row r="1629" ht="15.25"/>
    <row r="1630" ht="15.25"/>
    <row r="1631" ht="15.25"/>
    <row r="1632" ht="15.25"/>
    <row r="1633" ht="15.25"/>
    <row r="1634" ht="15.25"/>
    <row r="1635" ht="15.25"/>
    <row r="1636" ht="15.25"/>
    <row r="1637" ht="15.25"/>
    <row r="1638" ht="15.25"/>
    <row r="1639" ht="15.25"/>
    <row r="1640" ht="15.25"/>
    <row r="1641" ht="15.25"/>
    <row r="1642" ht="15.25"/>
    <row r="1643" ht="15.25"/>
    <row r="1644" ht="15.25"/>
    <row r="1645" ht="15.25"/>
    <row r="1646" ht="15.25"/>
    <row r="1647" ht="15.25"/>
    <row r="1648" ht="15.25"/>
    <row r="1649" ht="15.25"/>
    <row r="1650" ht="15.25"/>
    <row r="1651" ht="15.25"/>
    <row r="1652" ht="15.25"/>
    <row r="1653" ht="15.25"/>
    <row r="1654" ht="15.25"/>
    <row r="1655" ht="15.25"/>
    <row r="1656" ht="15.25"/>
    <row r="1657" ht="15.25"/>
    <row r="1658" ht="15.25"/>
    <row r="1659" ht="15.25"/>
    <row r="1660" ht="15.25"/>
    <row r="1661" ht="15.25"/>
    <row r="1662" ht="15.25"/>
    <row r="1663" ht="15.25"/>
    <row r="1664" ht="15.25"/>
    <row r="1665" ht="15.25"/>
    <row r="1666" ht="15.25"/>
    <row r="1667" ht="15.25"/>
    <row r="1668" ht="15.25"/>
    <row r="1669" ht="15.25"/>
    <row r="1670" ht="15.25"/>
    <row r="1671" ht="15.25"/>
    <row r="1672" ht="15.25"/>
    <row r="1673" ht="15.25"/>
    <row r="1674" ht="15.25"/>
    <row r="1675" ht="15.25"/>
    <row r="1676" ht="15.25"/>
    <row r="1677" ht="15.25"/>
    <row r="1678" ht="15.25"/>
    <row r="1679" ht="15.25"/>
    <row r="1680" ht="15.25"/>
    <row r="1681" ht="15.25"/>
    <row r="1682" ht="15.25"/>
    <row r="1683" ht="15.25"/>
    <row r="1684" ht="15.25"/>
    <row r="1685" ht="15.25"/>
    <row r="1686" ht="15.25"/>
    <row r="1687" ht="15.25"/>
    <row r="1688" ht="15.25"/>
    <row r="1689" ht="15.25"/>
    <row r="1690" ht="15.25"/>
    <row r="1691" ht="15.25"/>
    <row r="1692" ht="15.25"/>
    <row r="1693" ht="15.25"/>
    <row r="1694" ht="15.25"/>
    <row r="1695" ht="15.25"/>
    <row r="1696" ht="15.25"/>
    <row r="1697" ht="15.25"/>
    <row r="1698" ht="15.25"/>
    <row r="1699" ht="15.25"/>
    <row r="1700" ht="15.25"/>
    <row r="1701" ht="15.25"/>
    <row r="1702" ht="15.25"/>
    <row r="1703" ht="15.25"/>
    <row r="1704" ht="15.25"/>
    <row r="1705" ht="15.25"/>
    <row r="1706" ht="15.25"/>
    <row r="1707" ht="15.25"/>
    <row r="1708" ht="15.25"/>
    <row r="1709" ht="15.25"/>
    <row r="1710" ht="15.25"/>
    <row r="1711" ht="15.25"/>
    <row r="1712" ht="15.25"/>
    <row r="1713" ht="15.25"/>
    <row r="1714" ht="15.25"/>
    <row r="1715" ht="15.25"/>
    <row r="1716" ht="15.25"/>
    <row r="1717" ht="15.25"/>
    <row r="1718" ht="15.25"/>
    <row r="1719" ht="15.25"/>
    <row r="1720" ht="15.25"/>
    <row r="1721" ht="15.25"/>
    <row r="1722" ht="15.25"/>
    <row r="1723" ht="15.25"/>
    <row r="1724" ht="15.25"/>
    <row r="1725" ht="15.25"/>
    <row r="1726" ht="15.25"/>
    <row r="1727" ht="15.25"/>
    <row r="1728" ht="15.25"/>
    <row r="1729" ht="15.25"/>
    <row r="1730" ht="15.25"/>
    <row r="1731" ht="15.25"/>
    <row r="1732" ht="15.25"/>
    <row r="1733" ht="15.25"/>
    <row r="1734" ht="15.25"/>
    <row r="1735" ht="15.25"/>
    <row r="1736" ht="15.25"/>
    <row r="1737" ht="15.25"/>
    <row r="1738" ht="15.25"/>
    <row r="1739" ht="15.25"/>
    <row r="1740" ht="15.25"/>
    <row r="1741" ht="15.25"/>
    <row r="1742" ht="15.25"/>
    <row r="1743" ht="15.25"/>
    <row r="1744" ht="15.25"/>
    <row r="1745" ht="15.25"/>
    <row r="1746" ht="15.25"/>
    <row r="1747" ht="15.25"/>
    <row r="1748" ht="15.25"/>
    <row r="1749" ht="15.25"/>
    <row r="1750" ht="15.25"/>
    <row r="1751" ht="15.25"/>
    <row r="1752" ht="15.25"/>
    <row r="1753" ht="15.25"/>
    <row r="1754" ht="15.25"/>
    <row r="1755" ht="15.25"/>
    <row r="1756" ht="15.25"/>
    <row r="1757" ht="15.25"/>
    <row r="1758" ht="15.25"/>
    <row r="1759" ht="15.25"/>
    <row r="1760" ht="15.25"/>
    <row r="1761" ht="15.25"/>
    <row r="1762" ht="15.25"/>
    <row r="1763" ht="15.25"/>
    <row r="1764" ht="15.25"/>
    <row r="1765" ht="15.25"/>
    <row r="1766" ht="15.25"/>
    <row r="1767" ht="15.25"/>
    <row r="1768" ht="15.25"/>
    <row r="1769" ht="15.25"/>
    <row r="1770" ht="15.25"/>
    <row r="1771" ht="15.25"/>
    <row r="1772" ht="15.25"/>
    <row r="1773" ht="15.25"/>
    <row r="1774" ht="15.25"/>
    <row r="1775" ht="15.25"/>
    <row r="1776" ht="15.25"/>
    <row r="1777" ht="15.25"/>
    <row r="1778" ht="15.25"/>
    <row r="1779" ht="15.25"/>
    <row r="1780" ht="15.25"/>
    <row r="1781" ht="15.25"/>
    <row r="1782" ht="15.25"/>
    <row r="1783" ht="15.25"/>
    <row r="1784" ht="15.25"/>
    <row r="1785" ht="15.25"/>
    <row r="1786" ht="15.25"/>
    <row r="1787" ht="15.25"/>
    <row r="1788" ht="15.25"/>
    <row r="1789" ht="15.25"/>
    <row r="1790" ht="15.25"/>
    <row r="1791" ht="15.25"/>
    <row r="1792" ht="15.25"/>
    <row r="1793" ht="15.25"/>
    <row r="1794" ht="15.25"/>
    <row r="1795" ht="15.25"/>
    <row r="1796" ht="15.25"/>
    <row r="1797" ht="15.25"/>
    <row r="1798" ht="15.25"/>
    <row r="1799" ht="15.25"/>
    <row r="1800" ht="15.25"/>
    <row r="1801" ht="15.25"/>
    <row r="1802" ht="15.25"/>
    <row r="1803" ht="15.25"/>
    <row r="1804" ht="15.25"/>
    <row r="1805" ht="15.25"/>
    <row r="1806" ht="15.25"/>
    <row r="1807" ht="15.25"/>
    <row r="1808" ht="15.25"/>
    <row r="1809" ht="15.25"/>
    <row r="1810" ht="15.25"/>
    <row r="1811" ht="15.25"/>
    <row r="1812" ht="15.25"/>
    <row r="1813" ht="15.25"/>
    <row r="1814" ht="15.25"/>
    <row r="1815" ht="15.25"/>
    <row r="1816" ht="15.25"/>
    <row r="1817" ht="15.25"/>
    <row r="1818" ht="15.25"/>
    <row r="1819" ht="15.25"/>
    <row r="1820" ht="15.25"/>
    <row r="1821" ht="15.25"/>
    <row r="1822" ht="15.25"/>
    <row r="1823" ht="15.25"/>
    <row r="1824" ht="15.25"/>
    <row r="1825" ht="15.25"/>
    <row r="1826" ht="15.25"/>
    <row r="1827" ht="15.25"/>
    <row r="1828" ht="15.25"/>
    <row r="1829" ht="15.25"/>
    <row r="1830" ht="15.25"/>
    <row r="1831" ht="15.25"/>
    <row r="1832" ht="15.25"/>
    <row r="1833" ht="15.25"/>
    <row r="1834" ht="15.25"/>
    <row r="1835" ht="15.25"/>
    <row r="1836" ht="15.25"/>
    <row r="1837" ht="15.25"/>
    <row r="1838" ht="15.25"/>
    <row r="1839" ht="15.25"/>
    <row r="1840" ht="15.25"/>
    <row r="1841" ht="15.25"/>
    <row r="1842" ht="15.25"/>
    <row r="1843" ht="15.25"/>
    <row r="1844" ht="15.25"/>
    <row r="1845" ht="15.25"/>
    <row r="1846" ht="15.25"/>
    <row r="1847" ht="15.25"/>
    <row r="1848" ht="15.25"/>
    <row r="1849" ht="15.25"/>
    <row r="1850" ht="15.25"/>
    <row r="1851" ht="15.25"/>
    <row r="1852" ht="15.25"/>
    <row r="1853" ht="15.25"/>
    <row r="1854" ht="15.25"/>
    <row r="1855" ht="15.25"/>
    <row r="1856" ht="15.25"/>
    <row r="1857" ht="15.25"/>
    <row r="1858" ht="15.25"/>
    <row r="1859" ht="15.25"/>
    <row r="1860" ht="15.25"/>
    <row r="1861" ht="15.25"/>
    <row r="1862" ht="15.25"/>
    <row r="1863" ht="15.25"/>
    <row r="1864" ht="15.25"/>
    <row r="1865" ht="15.25"/>
    <row r="1866" ht="15.25"/>
    <row r="1867" ht="15.25"/>
    <row r="1868" ht="15.25"/>
    <row r="1869" ht="15.25"/>
    <row r="1870" ht="15.25"/>
    <row r="1871" ht="15.25"/>
    <row r="1872" ht="15.25"/>
    <row r="1873" ht="15.25"/>
    <row r="1874" ht="15.25"/>
    <row r="1875" ht="15.25"/>
    <row r="1876" ht="15.25"/>
    <row r="1877" ht="15.25"/>
    <row r="1878" ht="15.25"/>
    <row r="1879" ht="15.25"/>
    <row r="1880" ht="15.25"/>
    <row r="1881" ht="15.25"/>
    <row r="1882" ht="15.25"/>
    <row r="1883" ht="15.25"/>
    <row r="1884" ht="15.25"/>
    <row r="1885" ht="15.25"/>
    <row r="1886" ht="15.25"/>
    <row r="1887" ht="15.25"/>
    <row r="1888" ht="15.25"/>
    <row r="1889" ht="15.25"/>
    <row r="1890" ht="15.25"/>
    <row r="1891" ht="15.25"/>
    <row r="1892" ht="15.25"/>
    <row r="1893" ht="15.25"/>
    <row r="1894" ht="15.25"/>
    <row r="1895" ht="15.25"/>
    <row r="1896" ht="15.25"/>
    <row r="1897" ht="15.25"/>
    <row r="1898" ht="15.25"/>
    <row r="1899" ht="15.25"/>
    <row r="1900" ht="15.25"/>
    <row r="1901" ht="15.25"/>
    <row r="1902" ht="15.25"/>
    <row r="1903" ht="15.25"/>
    <row r="1904" ht="15.25"/>
    <row r="1905" ht="15.25"/>
    <row r="1906" ht="15.25"/>
    <row r="1907" ht="15.25"/>
    <row r="1908" ht="15.25"/>
    <row r="1909" ht="15.25"/>
    <row r="1910" ht="15.25"/>
    <row r="1911" ht="15.25"/>
    <row r="1912" ht="15.25"/>
    <row r="1913" ht="15.25"/>
    <row r="1914" ht="15.25"/>
    <row r="1915" ht="15.25"/>
    <row r="1916" ht="15.25"/>
    <row r="1917" ht="15.25"/>
    <row r="1918" ht="15.25"/>
    <row r="1919" ht="15.25"/>
    <row r="1920" ht="15.25"/>
    <row r="1921" ht="15.25"/>
    <row r="1922" ht="15.25"/>
    <row r="1923" ht="15.25"/>
    <row r="1924" ht="15.25"/>
    <row r="1925" ht="15.25"/>
    <row r="1926" ht="15.25"/>
    <row r="1927" ht="15.25"/>
    <row r="1928" ht="15.25"/>
    <row r="1929" ht="15.25"/>
    <row r="1930" ht="15.25"/>
    <row r="1931" ht="15.25"/>
    <row r="1932" ht="15.25"/>
    <row r="1933" ht="15.25"/>
    <row r="1934" ht="15.25"/>
    <row r="1935" ht="15.25"/>
    <row r="1936" ht="15.25"/>
    <row r="1937" ht="15.25"/>
    <row r="1938" ht="15.25"/>
    <row r="1939" ht="15.25"/>
    <row r="1940" ht="15.25"/>
    <row r="1941" ht="15.25"/>
    <row r="1942" ht="15.25"/>
    <row r="1943" ht="15.25"/>
    <row r="1944" ht="15.25"/>
    <row r="1945" ht="15.25"/>
    <row r="1946" ht="15.25"/>
    <row r="1947" ht="15.25"/>
    <row r="1948" ht="15.25"/>
    <row r="1949" ht="15.25"/>
    <row r="1950" ht="15.25"/>
    <row r="1951" ht="15.25"/>
    <row r="1952" ht="15.25"/>
    <row r="1953" ht="15.25"/>
    <row r="1954" ht="15.25"/>
    <row r="1955" ht="15.25"/>
    <row r="1956" ht="15.25"/>
    <row r="1957" ht="15.25"/>
    <row r="1958" ht="15.25"/>
    <row r="1959" ht="15.25"/>
    <row r="1960" ht="15.25"/>
    <row r="1961" ht="15.25"/>
    <row r="1962" ht="15.25"/>
    <row r="1963" ht="15.25"/>
    <row r="1964" ht="15.25"/>
    <row r="1965" ht="15.25"/>
    <row r="1966" ht="15.25"/>
    <row r="1967" ht="15.25"/>
    <row r="1968" ht="15.25"/>
    <row r="1969" ht="15.25"/>
    <row r="1970" ht="15.25"/>
    <row r="1971" ht="15.25"/>
    <row r="1972" ht="15.25"/>
    <row r="1973" ht="15.25"/>
    <row r="1974" ht="15.25"/>
    <row r="1975" ht="15.25"/>
    <row r="1976" ht="15.25"/>
    <row r="1977" ht="15.25"/>
    <row r="1978" ht="15.25"/>
    <row r="1979" ht="15.25"/>
    <row r="1980" ht="15.25"/>
    <row r="1981" ht="15.25"/>
    <row r="1982" ht="15.25"/>
    <row r="1983" ht="15.25"/>
    <row r="1984" ht="15.25"/>
    <row r="1985" ht="15.25"/>
    <row r="1986" ht="15.25"/>
    <row r="1987" ht="15.25"/>
    <row r="1988" ht="15.25"/>
    <row r="1989" ht="15.25"/>
    <row r="1990" ht="15.25"/>
    <row r="1991" ht="15.25"/>
  </sheetData>
  <mergeCells count="11">
    <mergeCell ref="L1:P1"/>
    <mergeCell ref="L17:P17"/>
    <mergeCell ref="M30:Q30"/>
    <mergeCell ref="L34:P34"/>
    <mergeCell ref="L47:P47"/>
    <mergeCell ref="L77:P77"/>
    <mergeCell ref="L78:P80"/>
    <mergeCell ref="L2:P4"/>
    <mergeCell ref="L18:P20"/>
    <mergeCell ref="L35:P37"/>
    <mergeCell ref="L48:P50"/>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01"/>
  <sheetViews>
    <sheetView zoomScale="78" zoomScaleNormal="78" topLeftCell="A12" workbookViewId="0">
      <selection activeCell="N19" sqref="N19"/>
    </sheetView>
  </sheetViews>
  <sheetFormatPr defaultColWidth="8.75454545454545" defaultRowHeight="14.5"/>
  <cols>
    <col min="1" max="1" width="10.1272727272727" customWidth="1"/>
    <col min="2" max="2" width="8.12727272727273" customWidth="1"/>
    <col min="3" max="3" width="11.1272727272727" customWidth="1"/>
    <col min="4" max="4" width="9.5" customWidth="1"/>
    <col min="5" max="5" width="6" customWidth="1"/>
    <col min="6" max="6" width="8.87272727272727" customWidth="1"/>
    <col min="7" max="7" width="11.5" customWidth="1"/>
    <col min="8" max="8" width="7.5" customWidth="1"/>
    <col min="9" max="9" width="7.87272727272727" customWidth="1"/>
    <col min="10" max="10" width="8.87272727272727" customWidth="1"/>
    <col min="12" max="12" width="16"/>
    <col min="13" max="16" width="20.3727272727273"/>
    <col min="17" max="17" width="25.5"/>
    <col min="18" max="18" width="20.8727272727273"/>
    <col min="19" max="22" width="20.3727272727273"/>
    <col min="23" max="23" width="25.5"/>
    <col min="24" max="24" width="20.8727272727273"/>
    <col min="25" max="25" width="12.1272727272727"/>
    <col min="26" max="26" width="9.5"/>
    <col min="27" max="28" width="11.6272727272727"/>
    <col min="29" max="29" width="14.8727272727273"/>
    <col min="30" max="30" width="9.5"/>
    <col min="31" max="31" width="8.5"/>
    <col min="32" max="32" width="8.37272727272727"/>
    <col min="33" max="33" width="10.8727272727273"/>
    <col min="34" max="34" width="10"/>
    <col min="35" max="35" width="9.25454545454545"/>
    <col min="36" max="37" width="9.5"/>
    <col min="38" max="38" width="10"/>
    <col min="39" max="39" width="10.6272727272727"/>
    <col min="40" max="40" width="8.37272727272727"/>
    <col min="41" max="41" width="10"/>
    <col min="42" max="42" width="14"/>
    <col min="43" max="43" width="17.2545454545455"/>
    <col min="44" max="44" width="9.25454545454545"/>
    <col min="45" max="45" width="9.87272727272727"/>
    <col min="46" max="46" width="9.5"/>
    <col min="47" max="47" width="11"/>
    <col min="48" max="48" width="9.25454545454545"/>
    <col min="49" max="49" width="10.8727272727273"/>
    <col min="50" max="50" width="10.5"/>
    <col min="51" max="52" width="11.5"/>
  </cols>
  <sheetData>
    <row r="1" ht="26.75" spans="1:18">
      <c r="A1" s="15" t="s">
        <v>1838</v>
      </c>
      <c r="B1" s="16" t="s">
        <v>1839</v>
      </c>
      <c r="C1" s="16" t="s">
        <v>1584</v>
      </c>
      <c r="D1" s="16" t="s">
        <v>1840</v>
      </c>
      <c r="E1" s="16" t="s">
        <v>1841</v>
      </c>
      <c r="F1" s="16" t="s">
        <v>1842</v>
      </c>
      <c r="G1" s="16" t="s">
        <v>1843</v>
      </c>
      <c r="H1" s="16" t="s">
        <v>1844</v>
      </c>
      <c r="I1" s="16" t="s">
        <v>1845</v>
      </c>
      <c r="J1" s="16" t="s">
        <v>1846</v>
      </c>
      <c r="L1" t="s">
        <v>1840</v>
      </c>
      <c r="M1" t="s">
        <v>2123</v>
      </c>
    </row>
    <row r="2" ht="26.75" spans="1:18">
      <c r="A2" s="18" t="s">
        <v>1847</v>
      </c>
      <c r="B2" s="19" t="s">
        <v>1848</v>
      </c>
      <c r="C2" s="19" t="s">
        <v>1849</v>
      </c>
      <c r="D2" s="19" t="s">
        <v>1850</v>
      </c>
      <c r="E2" s="19" t="s">
        <v>1851</v>
      </c>
      <c r="F2" s="19" t="s">
        <v>1852</v>
      </c>
      <c r="G2" s="19" t="s">
        <v>1853</v>
      </c>
      <c r="H2" s="19">
        <v>6</v>
      </c>
      <c r="I2" s="19">
        <v>4016.25</v>
      </c>
      <c r="J2" s="19">
        <v>24097.5</v>
      </c>
      <c r="L2" t="s">
        <v>1884</v>
      </c>
      <c r="M2">
        <v>193</v>
      </c>
    </row>
    <row r="3" ht="15.25" spans="1:18">
      <c r="A3" s="18">
        <v>44937</v>
      </c>
      <c r="B3" s="19" t="s">
        <v>1855</v>
      </c>
      <c r="C3" s="19" t="s">
        <v>1856</v>
      </c>
      <c r="D3" s="19" t="s">
        <v>1857</v>
      </c>
      <c r="E3" s="19" t="s">
        <v>1858</v>
      </c>
      <c r="F3" s="19" t="s">
        <v>1859</v>
      </c>
      <c r="G3" s="19" t="s">
        <v>1860</v>
      </c>
      <c r="H3" s="19">
        <v>9</v>
      </c>
      <c r="I3" s="19">
        <v>3801.85</v>
      </c>
      <c r="J3" s="19">
        <v>34216.65</v>
      </c>
      <c r="L3" t="s">
        <v>1879</v>
      </c>
      <c r="M3">
        <v>180</v>
      </c>
    </row>
    <row r="4" ht="15.25" spans="1:18">
      <c r="A4" s="18">
        <v>45081</v>
      </c>
      <c r="B4" s="19" t="s">
        <v>1861</v>
      </c>
      <c r="C4" s="19" t="s">
        <v>1602</v>
      </c>
      <c r="D4" s="19" t="s">
        <v>1862</v>
      </c>
      <c r="E4" s="19" t="s">
        <v>1858</v>
      </c>
      <c r="F4" s="19" t="s">
        <v>1859</v>
      </c>
      <c r="G4" s="19" t="s">
        <v>1860</v>
      </c>
      <c r="H4" s="19">
        <v>11</v>
      </c>
      <c r="I4" s="19">
        <v>3594.07</v>
      </c>
      <c r="J4" s="19">
        <v>39534.77</v>
      </c>
      <c r="L4" t="s">
        <v>1862</v>
      </c>
      <c r="M4">
        <v>212</v>
      </c>
    </row>
    <row r="5" ht="15.25" spans="1:18">
      <c r="A5" s="18" t="s">
        <v>1863</v>
      </c>
      <c r="B5" s="19" t="s">
        <v>1855</v>
      </c>
      <c r="C5" s="19" t="s">
        <v>1864</v>
      </c>
      <c r="D5" s="19" t="s">
        <v>1857</v>
      </c>
      <c r="E5" s="19" t="s">
        <v>1858</v>
      </c>
      <c r="F5" s="19" t="s">
        <v>1865</v>
      </c>
      <c r="G5" s="19" t="s">
        <v>1866</v>
      </c>
      <c r="H5" s="19">
        <v>9</v>
      </c>
      <c r="I5" s="19">
        <v>4487</v>
      </c>
      <c r="J5" s="19">
        <v>40383</v>
      </c>
      <c r="L5" t="s">
        <v>1850</v>
      </c>
      <c r="M5">
        <v>207</v>
      </c>
    </row>
    <row r="6" ht="26.75" spans="1:18">
      <c r="A6" s="18">
        <v>45115</v>
      </c>
      <c r="B6" s="19" t="s">
        <v>1867</v>
      </c>
      <c r="C6" s="19" t="s">
        <v>1593</v>
      </c>
      <c r="D6" s="19" t="s">
        <v>1850</v>
      </c>
      <c r="E6" s="19" t="s">
        <v>1851</v>
      </c>
      <c r="F6" s="19" t="s">
        <v>1868</v>
      </c>
      <c r="G6" s="19" t="s">
        <v>1869</v>
      </c>
      <c r="H6" s="19">
        <v>17</v>
      </c>
      <c r="I6" s="19">
        <v>1240.77</v>
      </c>
      <c r="J6" s="19">
        <v>21093.09</v>
      </c>
      <c r="L6" t="s">
        <v>1857</v>
      </c>
      <c r="M6">
        <v>208</v>
      </c>
    </row>
    <row r="7" ht="15.25" spans="1:18">
      <c r="A7" s="18" t="s">
        <v>1870</v>
      </c>
      <c r="B7" s="19" t="s">
        <v>1871</v>
      </c>
      <c r="C7" s="19" t="s">
        <v>1626</v>
      </c>
      <c r="D7" s="19" t="s">
        <v>1857</v>
      </c>
      <c r="E7" s="19" t="s">
        <v>1858</v>
      </c>
      <c r="F7" s="19" t="s">
        <v>1859</v>
      </c>
      <c r="G7" s="19" t="s">
        <v>1872</v>
      </c>
      <c r="H7" s="19">
        <v>7</v>
      </c>
      <c r="I7" s="19">
        <v>4772.29</v>
      </c>
      <c r="J7" s="19">
        <v>33406.03</v>
      </c>
      <c r="L7" t="s">
        <v>2124</v>
      </c>
      <c r="M7">
        <v>1000</v>
      </c>
    </row>
    <row r="8" ht="15.25" spans="1:18">
      <c r="A8" s="18">
        <v>44931</v>
      </c>
      <c r="B8" s="19" t="s">
        <v>1874</v>
      </c>
      <c r="C8" s="19" t="s">
        <v>1875</v>
      </c>
      <c r="D8" s="19" t="s">
        <v>1862</v>
      </c>
      <c r="E8" s="19" t="s">
        <v>1858</v>
      </c>
      <c r="F8" s="19" t="s">
        <v>1876</v>
      </c>
      <c r="G8" s="19" t="s">
        <v>1877</v>
      </c>
      <c r="H8" s="19">
        <v>5</v>
      </c>
      <c r="I8" s="19">
        <v>2196.99</v>
      </c>
      <c r="J8" s="19">
        <v>10984.95</v>
      </c>
    </row>
    <row r="9" ht="15.25" spans="1:18">
      <c r="A9" s="18" t="s">
        <v>1870</v>
      </c>
      <c r="B9" s="19" t="s">
        <v>1878</v>
      </c>
      <c r="C9" s="19" t="s">
        <v>1610</v>
      </c>
      <c r="D9" s="19" t="s">
        <v>1879</v>
      </c>
      <c r="E9" s="19" t="s">
        <v>1851</v>
      </c>
      <c r="F9" s="19" t="s">
        <v>1865</v>
      </c>
      <c r="G9" s="19" t="s">
        <v>1866</v>
      </c>
      <c r="H9" s="19">
        <v>5</v>
      </c>
      <c r="I9" s="19">
        <v>967.6</v>
      </c>
      <c r="J9" s="19">
        <v>4838</v>
      </c>
      <c r="L9" t="s">
        <v>2123</v>
      </c>
      <c r="M9" t="s">
        <v>1842</v>
      </c>
    </row>
    <row r="10" ht="15.25" spans="1:18">
      <c r="A10" s="18" t="s">
        <v>1880</v>
      </c>
      <c r="B10" s="19" t="s">
        <v>1855</v>
      </c>
      <c r="C10" s="19" t="s">
        <v>1864</v>
      </c>
      <c r="D10" s="19" t="s">
        <v>1857</v>
      </c>
      <c r="E10" s="19" t="s">
        <v>1858</v>
      </c>
      <c r="F10" s="19" t="s">
        <v>1859</v>
      </c>
      <c r="G10" s="19" t="s">
        <v>1860</v>
      </c>
      <c r="H10" s="19">
        <v>18</v>
      </c>
      <c r="I10" s="19">
        <v>3128.59</v>
      </c>
      <c r="J10" s="19">
        <v>56314.62</v>
      </c>
      <c r="L10" t="s">
        <v>1840</v>
      </c>
      <c r="M10" t="s">
        <v>1865</v>
      </c>
      <c r="N10" t="s">
        <v>1876</v>
      </c>
      <c r="O10" t="s">
        <v>1852</v>
      </c>
      <c r="P10" t="s">
        <v>1868</v>
      </c>
      <c r="Q10" t="s">
        <v>1859</v>
      </c>
      <c r="R10" t="s">
        <v>2124</v>
      </c>
    </row>
    <row r="11" ht="15.25" spans="1:18">
      <c r="A11" s="18" t="s">
        <v>1881</v>
      </c>
      <c r="B11" s="19" t="s">
        <v>1861</v>
      </c>
      <c r="C11" s="19" t="s">
        <v>1626</v>
      </c>
      <c r="D11" s="19" t="s">
        <v>1857</v>
      </c>
      <c r="E11" s="19" t="s">
        <v>1858</v>
      </c>
      <c r="F11" s="19" t="s">
        <v>1852</v>
      </c>
      <c r="G11" s="19" t="s">
        <v>1853</v>
      </c>
      <c r="H11" s="19">
        <v>10</v>
      </c>
      <c r="I11" s="19">
        <v>2754.3</v>
      </c>
      <c r="J11" s="19">
        <v>27543</v>
      </c>
      <c r="L11" t="s">
        <v>1884</v>
      </c>
      <c r="M11">
        <v>33</v>
      </c>
      <c r="N11">
        <v>41</v>
      </c>
      <c r="O11">
        <v>46</v>
      </c>
      <c r="P11">
        <v>34</v>
      </c>
      <c r="Q11">
        <v>39</v>
      </c>
      <c r="R11">
        <v>193</v>
      </c>
    </row>
    <row r="12" ht="15.25" spans="1:18">
      <c r="A12" s="18" t="s">
        <v>1882</v>
      </c>
      <c r="B12" s="19" t="s">
        <v>1855</v>
      </c>
      <c r="C12" s="19" t="s">
        <v>1610</v>
      </c>
      <c r="D12" s="19" t="s">
        <v>1879</v>
      </c>
      <c r="E12" s="19" t="s">
        <v>1851</v>
      </c>
      <c r="F12" s="19" t="s">
        <v>1876</v>
      </c>
      <c r="G12" s="19" t="s">
        <v>1883</v>
      </c>
      <c r="H12" s="19">
        <v>19</v>
      </c>
      <c r="I12" s="19">
        <v>4896.31</v>
      </c>
      <c r="J12" s="19">
        <v>93029.89</v>
      </c>
      <c r="L12" t="s">
        <v>1879</v>
      </c>
      <c r="M12">
        <v>41</v>
      </c>
      <c r="N12">
        <v>36</v>
      </c>
      <c r="O12">
        <v>32</v>
      </c>
      <c r="P12">
        <v>36</v>
      </c>
      <c r="Q12">
        <v>35</v>
      </c>
      <c r="R12">
        <v>180</v>
      </c>
    </row>
    <row r="13" ht="15.25" spans="1:18">
      <c r="A13" s="18" t="s">
        <v>1885</v>
      </c>
      <c r="B13" s="19" t="s">
        <v>1874</v>
      </c>
      <c r="C13" s="19" t="s">
        <v>1875</v>
      </c>
      <c r="D13" s="19" t="s">
        <v>1862</v>
      </c>
      <c r="E13" s="19" t="s">
        <v>1858</v>
      </c>
      <c r="F13" s="19" t="s">
        <v>1865</v>
      </c>
      <c r="G13" s="19" t="s">
        <v>1886</v>
      </c>
      <c r="H13" s="19">
        <v>19</v>
      </c>
      <c r="I13" s="19">
        <v>4562.02</v>
      </c>
      <c r="J13" s="19">
        <v>86678.38</v>
      </c>
      <c r="L13" t="s">
        <v>1862</v>
      </c>
      <c r="M13">
        <v>42</v>
      </c>
      <c r="N13">
        <v>40</v>
      </c>
      <c r="O13">
        <v>42</v>
      </c>
      <c r="P13">
        <v>42</v>
      </c>
      <c r="Q13">
        <v>46</v>
      </c>
      <c r="R13">
        <v>212</v>
      </c>
    </row>
    <row r="14" ht="26.75" spans="1:18">
      <c r="A14" s="18">
        <v>45261</v>
      </c>
      <c r="B14" s="19" t="s">
        <v>1871</v>
      </c>
      <c r="C14" s="19" t="s">
        <v>1593</v>
      </c>
      <c r="D14" s="19" t="s">
        <v>1850</v>
      </c>
      <c r="E14" s="19" t="s">
        <v>1851</v>
      </c>
      <c r="F14" s="19" t="s">
        <v>1859</v>
      </c>
      <c r="G14" s="19" t="s">
        <v>1872</v>
      </c>
      <c r="H14" s="19">
        <v>6</v>
      </c>
      <c r="I14" s="19">
        <v>4231.77</v>
      </c>
      <c r="J14" s="19">
        <v>25390.62</v>
      </c>
      <c r="L14" t="s">
        <v>1850</v>
      </c>
      <c r="M14">
        <v>49</v>
      </c>
      <c r="N14">
        <v>39</v>
      </c>
      <c r="O14">
        <v>44</v>
      </c>
      <c r="P14">
        <v>34</v>
      </c>
      <c r="Q14">
        <v>41</v>
      </c>
      <c r="R14">
        <v>207</v>
      </c>
    </row>
    <row r="15" ht="15.25" spans="1:18">
      <c r="A15" s="18" t="s">
        <v>1888</v>
      </c>
      <c r="B15" s="19" t="s">
        <v>1889</v>
      </c>
      <c r="C15" s="19" t="s">
        <v>1610</v>
      </c>
      <c r="D15" s="19" t="s">
        <v>1879</v>
      </c>
      <c r="E15" s="19" t="s">
        <v>1851</v>
      </c>
      <c r="F15" s="19" t="s">
        <v>1865</v>
      </c>
      <c r="G15" s="19" t="s">
        <v>1890</v>
      </c>
      <c r="H15" s="19">
        <v>20</v>
      </c>
      <c r="I15" s="19">
        <v>1027.53</v>
      </c>
      <c r="J15" s="19">
        <v>20550.6</v>
      </c>
      <c r="L15" t="s">
        <v>1857</v>
      </c>
      <c r="M15">
        <v>45</v>
      </c>
      <c r="N15">
        <v>46</v>
      </c>
      <c r="O15">
        <v>41</v>
      </c>
      <c r="P15">
        <v>43</v>
      </c>
      <c r="Q15">
        <v>33</v>
      </c>
      <c r="R15">
        <v>208</v>
      </c>
    </row>
    <row r="16" ht="26.75" spans="1:18">
      <c r="A16" s="18" t="s">
        <v>1891</v>
      </c>
      <c r="B16" s="19" t="s">
        <v>1892</v>
      </c>
      <c r="C16" s="19" t="s">
        <v>1849</v>
      </c>
      <c r="D16" s="19" t="s">
        <v>1850</v>
      </c>
      <c r="E16" s="19" t="s">
        <v>1851</v>
      </c>
      <c r="F16" s="19" t="s">
        <v>1865</v>
      </c>
      <c r="G16" s="19" t="s">
        <v>1886</v>
      </c>
      <c r="H16" s="19">
        <v>7</v>
      </c>
      <c r="I16" s="19">
        <v>1257.34</v>
      </c>
      <c r="J16" s="19">
        <v>8801.38</v>
      </c>
      <c r="L16" t="s">
        <v>2124</v>
      </c>
      <c r="M16">
        <v>210</v>
      </c>
      <c r="N16">
        <v>202</v>
      </c>
      <c r="O16">
        <v>205</v>
      </c>
      <c r="P16">
        <v>189</v>
      </c>
      <c r="Q16">
        <v>194</v>
      </c>
      <c r="R16">
        <v>1000</v>
      </c>
    </row>
    <row r="17" ht="15.25" spans="1:15">
      <c r="A17" s="18" t="s">
        <v>1893</v>
      </c>
      <c r="B17" s="19" t="s">
        <v>1874</v>
      </c>
      <c r="C17" s="19" t="s">
        <v>1894</v>
      </c>
      <c r="D17" s="19" t="s">
        <v>1884</v>
      </c>
      <c r="E17" s="19" t="s">
        <v>1895</v>
      </c>
      <c r="F17" s="19" t="s">
        <v>1865</v>
      </c>
      <c r="G17" s="19" t="s">
        <v>1890</v>
      </c>
      <c r="H17" s="19">
        <v>9</v>
      </c>
      <c r="I17" s="19">
        <v>2634.14</v>
      </c>
      <c r="J17" s="19">
        <v>23707.26</v>
      </c>
    </row>
    <row r="18" ht="26.75" spans="1:15">
      <c r="A18" s="18">
        <v>44963</v>
      </c>
      <c r="B18" s="19" t="s">
        <v>1867</v>
      </c>
      <c r="C18" s="19" t="s">
        <v>1598</v>
      </c>
      <c r="D18" s="19" t="s">
        <v>1850</v>
      </c>
      <c r="E18" s="19" t="s">
        <v>1851</v>
      </c>
      <c r="F18" s="19" t="s">
        <v>1852</v>
      </c>
      <c r="G18" s="19" t="s">
        <v>1853</v>
      </c>
      <c r="H18" s="19">
        <v>11</v>
      </c>
      <c r="I18" s="19">
        <v>4509.49</v>
      </c>
      <c r="J18" s="19">
        <v>49604.39</v>
      </c>
    </row>
    <row r="19" ht="15.25" spans="1:15">
      <c r="A19" s="18" t="s">
        <v>1897</v>
      </c>
      <c r="B19" s="19" t="s">
        <v>1871</v>
      </c>
      <c r="C19" s="19" t="s">
        <v>1898</v>
      </c>
      <c r="D19" s="19" t="s">
        <v>1879</v>
      </c>
      <c r="E19" s="19" t="s">
        <v>1851</v>
      </c>
      <c r="F19" s="19" t="s">
        <v>1868</v>
      </c>
      <c r="G19" s="19" t="s">
        <v>1899</v>
      </c>
      <c r="H19" s="19">
        <v>3</v>
      </c>
      <c r="I19" s="19">
        <v>2738.83</v>
      </c>
      <c r="J19" s="19">
        <v>8216.49</v>
      </c>
      <c r="L19" s="20" t="s">
        <v>2125</v>
      </c>
      <c r="M19" s="20" t="s">
        <v>2126</v>
      </c>
      <c r="N19" s="20" t="str" cm="1">
        <f t="array" ref="N19:O25">_xlfn.GROUPBY(D1:D1001,J1:J1001,_xleta.SUM,3,1,-2)</f>
        <v>State</v>
      </c>
      <c r="O19" s="20" t="str">
        <v>Sales Amount</v>
      </c>
    </row>
    <row r="20" ht="17" customHeight="1" spans="1:15">
      <c r="A20" s="18" t="s">
        <v>1900</v>
      </c>
      <c r="B20" s="19" t="s">
        <v>1871</v>
      </c>
      <c r="C20" s="19" t="s">
        <v>1849</v>
      </c>
      <c r="D20" s="19" t="s">
        <v>1850</v>
      </c>
      <c r="E20" s="19" t="s">
        <v>1851</v>
      </c>
      <c r="F20" s="19" t="s">
        <v>1865</v>
      </c>
      <c r="G20" s="19" t="s">
        <v>1866</v>
      </c>
      <c r="H20" s="19">
        <v>10</v>
      </c>
      <c r="I20" s="19">
        <v>4247.74</v>
      </c>
      <c r="J20" s="19">
        <v>42477.4</v>
      </c>
      <c r="L20" s="21" t="str" cm="1">
        <f t="array" ref="L20:M25">_xlfn.GROUPBY(D2:D1001,H2:H1001,_xleta.SUM)</f>
        <v>Delhi</v>
      </c>
      <c r="M20" s="21">
        <v>2067</v>
      </c>
      <c r="N20" s="21" t="str">
        <v>Maharashtra</v>
      </c>
      <c r="O20" s="21">
        <v>5760949.46</v>
      </c>
    </row>
    <row r="21" ht="15.25" spans="1:15">
      <c r="A21" s="18" t="s">
        <v>1882</v>
      </c>
      <c r="B21" s="19" t="s">
        <v>1861</v>
      </c>
      <c r="C21" s="19" t="s">
        <v>1875</v>
      </c>
      <c r="D21" s="19" t="s">
        <v>1862</v>
      </c>
      <c r="E21" s="19" t="s">
        <v>1858</v>
      </c>
      <c r="F21" s="19" t="s">
        <v>1859</v>
      </c>
      <c r="G21" s="19" t="s">
        <v>1872</v>
      </c>
      <c r="H21" s="19">
        <v>3</v>
      </c>
      <c r="I21" s="19">
        <v>1133.19</v>
      </c>
      <c r="J21" s="19">
        <v>3399.57</v>
      </c>
      <c r="L21" s="21" t="str">
        <v>Gujarat</v>
      </c>
      <c r="M21" s="21">
        <v>1933</v>
      </c>
      <c r="N21" s="21" t="str">
        <v>Tamil Nadu</v>
      </c>
      <c r="O21" s="21">
        <v>5643955.66</v>
      </c>
    </row>
    <row r="22" ht="15.25" spans="1:15">
      <c r="A22" s="18" t="s">
        <v>1901</v>
      </c>
      <c r="B22" s="19" t="s">
        <v>1902</v>
      </c>
      <c r="C22" s="19" t="s">
        <v>1903</v>
      </c>
      <c r="D22" s="19" t="s">
        <v>1884</v>
      </c>
      <c r="E22" s="19" t="s">
        <v>1895</v>
      </c>
      <c r="F22" s="19" t="s">
        <v>1876</v>
      </c>
      <c r="G22" s="19" t="s">
        <v>1883</v>
      </c>
      <c r="H22" s="19">
        <v>6</v>
      </c>
      <c r="I22" s="19">
        <v>623.22</v>
      </c>
      <c r="J22" s="19">
        <v>3739.32</v>
      </c>
      <c r="L22" s="21" t="str">
        <v>Karnataka</v>
      </c>
      <c r="M22" s="21">
        <v>2170</v>
      </c>
      <c r="N22" s="21" t="str">
        <v>Karnataka</v>
      </c>
      <c r="O22" s="21">
        <v>5614399.19</v>
      </c>
    </row>
    <row r="23" ht="15.25" spans="1:15">
      <c r="A23" s="18" t="s">
        <v>1904</v>
      </c>
      <c r="B23" s="19" t="s">
        <v>1867</v>
      </c>
      <c r="C23" s="19" t="s">
        <v>1856</v>
      </c>
      <c r="D23" s="19" t="s">
        <v>1857</v>
      </c>
      <c r="E23" s="19" t="s">
        <v>1858</v>
      </c>
      <c r="F23" s="19" t="s">
        <v>1859</v>
      </c>
      <c r="G23" s="19" t="s">
        <v>1860</v>
      </c>
      <c r="H23" s="19">
        <v>18</v>
      </c>
      <c r="I23" s="19">
        <v>698.42</v>
      </c>
      <c r="J23" s="19">
        <v>12571.56</v>
      </c>
      <c r="L23" s="21" t="str">
        <v>Maharashtra</v>
      </c>
      <c r="M23" s="21">
        <v>2140</v>
      </c>
      <c r="N23" s="21" t="str">
        <v>Delhi</v>
      </c>
      <c r="O23" s="21">
        <v>5186665.22</v>
      </c>
    </row>
    <row r="24" ht="15.25" spans="1:15">
      <c r="A24" s="18">
        <v>45089</v>
      </c>
      <c r="B24" s="19" t="s">
        <v>1878</v>
      </c>
      <c r="C24" s="19" t="s">
        <v>1906</v>
      </c>
      <c r="D24" s="19" t="s">
        <v>1862</v>
      </c>
      <c r="E24" s="19" t="s">
        <v>1858</v>
      </c>
      <c r="F24" s="19" t="s">
        <v>1868</v>
      </c>
      <c r="G24" s="19" t="s">
        <v>1907</v>
      </c>
      <c r="H24" s="19">
        <v>19</v>
      </c>
      <c r="I24" s="19">
        <v>2494.11</v>
      </c>
      <c r="J24" s="19">
        <v>47388.09</v>
      </c>
      <c r="L24" s="21" t="str">
        <v>Tamil Nadu</v>
      </c>
      <c r="M24" s="21">
        <v>2264</v>
      </c>
      <c r="N24" s="21" t="str">
        <v>Gujarat</v>
      </c>
      <c r="O24" s="21">
        <v>5135960.16</v>
      </c>
    </row>
    <row r="25" ht="15.25" spans="1:15">
      <c r="A25" s="18" t="s">
        <v>1908</v>
      </c>
      <c r="B25" s="19" t="s">
        <v>1874</v>
      </c>
      <c r="C25" s="19" t="s">
        <v>1626</v>
      </c>
      <c r="D25" s="19" t="s">
        <v>1857</v>
      </c>
      <c r="E25" s="19" t="s">
        <v>1858</v>
      </c>
      <c r="F25" s="19" t="s">
        <v>1868</v>
      </c>
      <c r="G25" s="19" t="s">
        <v>1907</v>
      </c>
      <c r="H25" s="19">
        <v>15</v>
      </c>
      <c r="I25" s="19">
        <v>3368.77</v>
      </c>
      <c r="J25" s="19">
        <v>50531.55</v>
      </c>
      <c r="L25" s="20" t="str">
        <v>Grand totals</v>
      </c>
      <c r="M25" s="20">
        <v>10574</v>
      </c>
      <c r="N25" s="20" t="str">
        <v>Grand totals</v>
      </c>
      <c r="O25" s="20">
        <v>27341929.69</v>
      </c>
    </row>
    <row r="26" ht="15.25" spans="1:15">
      <c r="A26" s="18" t="s">
        <v>1909</v>
      </c>
      <c r="B26" s="19" t="s">
        <v>1861</v>
      </c>
      <c r="C26" s="19" t="s">
        <v>1875</v>
      </c>
      <c r="D26" s="19" t="s">
        <v>1862</v>
      </c>
      <c r="E26" s="19" t="s">
        <v>1858</v>
      </c>
      <c r="F26" s="19" t="s">
        <v>1852</v>
      </c>
      <c r="G26" s="19" t="s">
        <v>1910</v>
      </c>
      <c r="H26" s="19">
        <v>2</v>
      </c>
      <c r="I26" s="19">
        <v>962.28</v>
      </c>
      <c r="J26" s="19">
        <v>1924.56</v>
      </c>
    </row>
    <row r="27" ht="26.75" spans="1:15">
      <c r="A27" s="18">
        <v>44930</v>
      </c>
      <c r="B27" s="19" t="s">
        <v>1902</v>
      </c>
      <c r="C27" s="19" t="s">
        <v>1598</v>
      </c>
      <c r="D27" s="19" t="s">
        <v>1850</v>
      </c>
      <c r="E27" s="19" t="s">
        <v>1851</v>
      </c>
      <c r="F27" s="19" t="s">
        <v>1865</v>
      </c>
      <c r="G27" s="19" t="s">
        <v>1890</v>
      </c>
      <c r="H27" s="19">
        <v>19</v>
      </c>
      <c r="I27" s="19">
        <v>1065.27</v>
      </c>
      <c r="J27" s="19">
        <v>20240.13</v>
      </c>
    </row>
    <row r="28" ht="15.25" spans="1:15">
      <c r="A28" s="18" t="s">
        <v>1911</v>
      </c>
      <c r="B28" s="19" t="s">
        <v>1902</v>
      </c>
      <c r="C28" s="19" t="s">
        <v>1610</v>
      </c>
      <c r="D28" s="19" t="s">
        <v>1879</v>
      </c>
      <c r="E28" s="19" t="s">
        <v>1851</v>
      </c>
      <c r="F28" s="19" t="s">
        <v>1868</v>
      </c>
      <c r="G28" s="19" t="s">
        <v>1899</v>
      </c>
      <c r="H28" s="19">
        <v>10</v>
      </c>
      <c r="I28" s="19">
        <v>4507.62</v>
      </c>
      <c r="J28" s="19">
        <v>45076.2</v>
      </c>
    </row>
    <row r="29" ht="15.25" spans="1:15">
      <c r="A29" s="18" t="s">
        <v>1912</v>
      </c>
      <c r="B29" s="19" t="s">
        <v>1867</v>
      </c>
      <c r="C29" s="19" t="s">
        <v>1903</v>
      </c>
      <c r="D29" s="19" t="s">
        <v>1884</v>
      </c>
      <c r="E29" s="19" t="s">
        <v>1895</v>
      </c>
      <c r="F29" s="19" t="s">
        <v>1865</v>
      </c>
      <c r="G29" s="19" t="s">
        <v>1886</v>
      </c>
      <c r="H29" s="19">
        <v>4</v>
      </c>
      <c r="I29" s="19">
        <v>4373.75</v>
      </c>
      <c r="J29" s="19">
        <v>17495</v>
      </c>
    </row>
    <row r="30" ht="15.25" spans="1:15">
      <c r="A30" s="18" t="s">
        <v>1913</v>
      </c>
      <c r="B30" s="19" t="s">
        <v>1889</v>
      </c>
      <c r="C30" s="19" t="s">
        <v>1856</v>
      </c>
      <c r="D30" s="19" t="s">
        <v>1857</v>
      </c>
      <c r="E30" s="19" t="s">
        <v>1858</v>
      </c>
      <c r="F30" s="19" t="s">
        <v>1865</v>
      </c>
      <c r="G30" s="19" t="s">
        <v>1886</v>
      </c>
      <c r="H30" s="19">
        <v>4</v>
      </c>
      <c r="I30" s="19">
        <v>791.28</v>
      </c>
      <c r="J30" s="19">
        <v>3165.12</v>
      </c>
    </row>
    <row r="31" ht="15.25" spans="1:15">
      <c r="A31" s="18">
        <v>45082</v>
      </c>
      <c r="B31" s="19" t="s">
        <v>1878</v>
      </c>
      <c r="C31" s="19" t="s">
        <v>1875</v>
      </c>
      <c r="D31" s="19" t="s">
        <v>1862</v>
      </c>
      <c r="E31" s="19" t="s">
        <v>1858</v>
      </c>
      <c r="F31" s="19" t="s">
        <v>1868</v>
      </c>
      <c r="G31" s="19" t="s">
        <v>1869</v>
      </c>
      <c r="H31" s="19">
        <v>14</v>
      </c>
      <c r="I31" s="19">
        <v>4868.33</v>
      </c>
      <c r="J31" s="19">
        <v>68156.62</v>
      </c>
    </row>
    <row r="32" ht="15.25" spans="1:15">
      <c r="A32" s="18" t="s">
        <v>1893</v>
      </c>
      <c r="B32" s="19" t="s">
        <v>1874</v>
      </c>
      <c r="C32" s="19" t="s">
        <v>1894</v>
      </c>
      <c r="D32" s="19" t="s">
        <v>1884</v>
      </c>
      <c r="E32" s="19" t="s">
        <v>1895</v>
      </c>
      <c r="F32" s="19" t="s">
        <v>1865</v>
      </c>
      <c r="G32" s="19" t="s">
        <v>1890</v>
      </c>
      <c r="H32" s="19">
        <v>12</v>
      </c>
      <c r="I32" s="19">
        <v>1958.77</v>
      </c>
      <c r="J32" s="19">
        <v>23505.24</v>
      </c>
    </row>
    <row r="33" ht="26.75" spans="1:18">
      <c r="A33" s="18" t="s">
        <v>1915</v>
      </c>
      <c r="B33" s="19" t="s">
        <v>1861</v>
      </c>
      <c r="C33" s="19" t="s">
        <v>1598</v>
      </c>
      <c r="D33" s="19" t="s">
        <v>1850</v>
      </c>
      <c r="E33" s="19" t="s">
        <v>1851</v>
      </c>
      <c r="F33" s="19" t="s">
        <v>1859</v>
      </c>
      <c r="G33" s="19" t="s">
        <v>1872</v>
      </c>
      <c r="H33" s="19">
        <v>10</v>
      </c>
      <c r="I33" s="19">
        <v>3690.75</v>
      </c>
      <c r="J33" s="19">
        <v>36907.5</v>
      </c>
      <c r="L33" s="22" t="s">
        <v>1840</v>
      </c>
      <c r="M33" s="22" t="s">
        <v>1862</v>
      </c>
    </row>
    <row r="34" ht="15.25" spans="1:18">
      <c r="A34" s="18" t="s">
        <v>1916</v>
      </c>
      <c r="B34" s="19" t="s">
        <v>1861</v>
      </c>
      <c r="C34" s="19" t="s">
        <v>1610</v>
      </c>
      <c r="D34" s="19" t="s">
        <v>1879</v>
      </c>
      <c r="E34" s="19" t="s">
        <v>1851</v>
      </c>
      <c r="F34" s="19" t="s">
        <v>1859</v>
      </c>
      <c r="G34" s="19" t="s">
        <v>1872</v>
      </c>
      <c r="H34" s="19">
        <v>17</v>
      </c>
      <c r="I34" s="19">
        <v>1037.05</v>
      </c>
      <c r="J34" s="19">
        <v>17629.85</v>
      </c>
      <c r="L34" s="22" t="s">
        <v>1841</v>
      </c>
      <c r="M34" s="22" t="s">
        <v>1858</v>
      </c>
    </row>
    <row r="35" ht="15.25" spans="1:18">
      <c r="A35" s="18">
        <v>45231</v>
      </c>
      <c r="B35" s="19" t="s">
        <v>1892</v>
      </c>
      <c r="C35" s="19" t="s">
        <v>1906</v>
      </c>
      <c r="D35" s="19" t="s">
        <v>1862</v>
      </c>
      <c r="E35" s="19" t="s">
        <v>1858</v>
      </c>
      <c r="F35" s="19" t="s">
        <v>1868</v>
      </c>
      <c r="G35" s="19" t="s">
        <v>1917</v>
      </c>
      <c r="H35" s="19">
        <v>17</v>
      </c>
      <c r="I35" s="19">
        <v>2215.55</v>
      </c>
      <c r="J35" s="19">
        <v>37664.35</v>
      </c>
    </row>
    <row r="36" ht="15.25" spans="1:18">
      <c r="A36" s="18" t="s">
        <v>1919</v>
      </c>
      <c r="B36" s="19" t="s">
        <v>1892</v>
      </c>
      <c r="C36" s="19" t="s">
        <v>1864</v>
      </c>
      <c r="D36" s="19" t="s">
        <v>1857</v>
      </c>
      <c r="E36" s="19" t="s">
        <v>1858</v>
      </c>
      <c r="F36" s="19" t="s">
        <v>1865</v>
      </c>
      <c r="G36" s="19" t="s">
        <v>1920</v>
      </c>
      <c r="H36" s="19">
        <v>19</v>
      </c>
      <c r="I36" s="19">
        <v>1343.6</v>
      </c>
      <c r="J36" s="19">
        <v>25528.4</v>
      </c>
      <c r="L36" s="23"/>
      <c r="M36" s="23" t="s">
        <v>1842</v>
      </c>
      <c r="N36" s="23" t="s">
        <v>2127</v>
      </c>
      <c r="O36" s="23"/>
      <c r="P36" s="23"/>
      <c r="Q36" s="23"/>
      <c r="R36" s="23"/>
    </row>
    <row r="37" ht="26.75" spans="1:18">
      <c r="A37" s="18">
        <v>45204</v>
      </c>
      <c r="B37" s="19" t="s">
        <v>1892</v>
      </c>
      <c r="C37" s="19" t="s">
        <v>1849</v>
      </c>
      <c r="D37" s="19" t="s">
        <v>1850</v>
      </c>
      <c r="E37" s="19" t="s">
        <v>1851</v>
      </c>
      <c r="F37" s="19" t="s">
        <v>1868</v>
      </c>
      <c r="G37" s="19" t="s">
        <v>1869</v>
      </c>
      <c r="H37" s="19">
        <v>8</v>
      </c>
      <c r="I37" s="19">
        <v>4455.43</v>
      </c>
      <c r="J37" s="19">
        <v>35643.44</v>
      </c>
      <c r="L37" s="23"/>
      <c r="M37" s="23" t="s">
        <v>1876</v>
      </c>
      <c r="N37" s="23"/>
      <c r="O37" s="23" t="s">
        <v>1852</v>
      </c>
      <c r="P37" s="23"/>
      <c r="Q37" s="23" t="s">
        <v>2128</v>
      </c>
      <c r="R37" s="23" t="s">
        <v>2129</v>
      </c>
    </row>
    <row r="38" ht="15.25" spans="1:18">
      <c r="A38" s="18" t="s">
        <v>1921</v>
      </c>
      <c r="B38" s="19" t="s">
        <v>1878</v>
      </c>
      <c r="C38" s="19" t="s">
        <v>1626</v>
      </c>
      <c r="D38" s="19" t="s">
        <v>1857</v>
      </c>
      <c r="E38" s="19" t="s">
        <v>1858</v>
      </c>
      <c r="F38" s="19" t="s">
        <v>1859</v>
      </c>
      <c r="G38" s="19" t="s">
        <v>1922</v>
      </c>
      <c r="H38" s="19">
        <v>9</v>
      </c>
      <c r="I38" s="19">
        <v>3892.79</v>
      </c>
      <c r="J38" s="19">
        <v>35035.11</v>
      </c>
      <c r="L38" s="23" t="s">
        <v>1843</v>
      </c>
      <c r="M38" s="23" t="s">
        <v>2130</v>
      </c>
      <c r="N38" s="23" t="s">
        <v>2131</v>
      </c>
      <c r="O38" s="23" t="s">
        <v>2130</v>
      </c>
      <c r="P38" s="23" t="s">
        <v>2131</v>
      </c>
      <c r="Q38" s="23"/>
      <c r="R38" s="23"/>
    </row>
    <row r="39" ht="15.25" spans="1:18">
      <c r="A39" s="18">
        <v>45089</v>
      </c>
      <c r="B39" s="19" t="s">
        <v>1878</v>
      </c>
      <c r="C39" s="19" t="s">
        <v>1903</v>
      </c>
      <c r="D39" s="19" t="s">
        <v>1884</v>
      </c>
      <c r="E39" s="19" t="s">
        <v>1895</v>
      </c>
      <c r="F39" s="19" t="s">
        <v>1876</v>
      </c>
      <c r="G39" s="19" t="s">
        <v>1883</v>
      </c>
      <c r="H39" s="19">
        <v>9</v>
      </c>
      <c r="I39" s="19">
        <v>4618.59</v>
      </c>
      <c r="J39" s="19">
        <v>41567.31</v>
      </c>
      <c r="L39" s="23" t="s">
        <v>1910</v>
      </c>
      <c r="M39" s="23"/>
      <c r="N39" s="23"/>
      <c r="O39" s="23">
        <v>487997.98</v>
      </c>
      <c r="P39" s="23">
        <v>141</v>
      </c>
      <c r="Q39" s="23">
        <v>487997.98</v>
      </c>
      <c r="R39" s="23">
        <v>141</v>
      </c>
    </row>
    <row r="40" ht="15.25" spans="1:18">
      <c r="A40" s="18" t="s">
        <v>1923</v>
      </c>
      <c r="B40" s="19" t="s">
        <v>1889</v>
      </c>
      <c r="C40" s="19" t="s">
        <v>1906</v>
      </c>
      <c r="D40" s="19" t="s">
        <v>1862</v>
      </c>
      <c r="E40" s="19" t="s">
        <v>1858</v>
      </c>
      <c r="F40" s="19" t="s">
        <v>1865</v>
      </c>
      <c r="G40" s="19" t="s">
        <v>1920</v>
      </c>
      <c r="H40" s="19">
        <v>11</v>
      </c>
      <c r="I40" s="19">
        <v>3385.93</v>
      </c>
      <c r="J40" s="19">
        <v>37245.23</v>
      </c>
      <c r="L40" s="23" t="s">
        <v>1950</v>
      </c>
      <c r="M40" s="23"/>
      <c r="N40" s="23"/>
      <c r="O40" s="23">
        <v>228743.31</v>
      </c>
      <c r="P40" s="23">
        <v>97</v>
      </c>
      <c r="Q40" s="23">
        <v>228743.31</v>
      </c>
      <c r="R40" s="23">
        <v>97</v>
      </c>
    </row>
    <row r="41" ht="15.25" spans="1:18">
      <c r="A41" s="18" t="s">
        <v>1925</v>
      </c>
      <c r="B41" s="19" t="s">
        <v>1878</v>
      </c>
      <c r="C41" s="19" t="s">
        <v>1610</v>
      </c>
      <c r="D41" s="19" t="s">
        <v>1879</v>
      </c>
      <c r="E41" s="19" t="s">
        <v>1851</v>
      </c>
      <c r="F41" s="19" t="s">
        <v>1859</v>
      </c>
      <c r="G41" s="19" t="s">
        <v>1872</v>
      </c>
      <c r="H41" s="19">
        <v>14</v>
      </c>
      <c r="I41" s="19">
        <v>2452.98</v>
      </c>
      <c r="J41" s="19">
        <v>34341.72</v>
      </c>
      <c r="L41" s="23" t="s">
        <v>1877</v>
      </c>
      <c r="M41" s="23">
        <v>193818.46</v>
      </c>
      <c r="N41" s="23">
        <v>103</v>
      </c>
      <c r="O41" s="23"/>
      <c r="P41" s="23"/>
      <c r="Q41" s="23">
        <v>193818.46</v>
      </c>
      <c r="R41" s="23">
        <v>103</v>
      </c>
    </row>
    <row r="42" ht="15.25" spans="1:18">
      <c r="A42" s="18">
        <v>45024</v>
      </c>
      <c r="B42" s="19" t="s">
        <v>1848</v>
      </c>
      <c r="C42" s="19" t="s">
        <v>1602</v>
      </c>
      <c r="D42" s="19" t="s">
        <v>1862</v>
      </c>
      <c r="E42" s="19" t="s">
        <v>1858</v>
      </c>
      <c r="F42" s="19" t="s">
        <v>1876</v>
      </c>
      <c r="G42" s="19" t="s">
        <v>1877</v>
      </c>
      <c r="H42" s="19">
        <v>16</v>
      </c>
      <c r="I42" s="19">
        <v>695.96</v>
      </c>
      <c r="J42" s="19">
        <v>11135.36</v>
      </c>
      <c r="L42" s="23" t="s">
        <v>1883</v>
      </c>
      <c r="M42" s="23">
        <v>176602.85</v>
      </c>
      <c r="N42" s="23">
        <v>62</v>
      </c>
      <c r="O42" s="23"/>
      <c r="P42" s="23"/>
      <c r="Q42" s="23">
        <v>176602.85</v>
      </c>
      <c r="R42" s="23">
        <v>62</v>
      </c>
    </row>
    <row r="43" ht="15.25" spans="1:18">
      <c r="A43" s="18">
        <v>44929</v>
      </c>
      <c r="B43" s="19" t="s">
        <v>1867</v>
      </c>
      <c r="C43" s="19" t="s">
        <v>1610</v>
      </c>
      <c r="D43" s="19" t="s">
        <v>1879</v>
      </c>
      <c r="E43" s="19" t="s">
        <v>1851</v>
      </c>
      <c r="F43" s="19" t="s">
        <v>1876</v>
      </c>
      <c r="G43" s="19" t="s">
        <v>1926</v>
      </c>
      <c r="H43" s="19">
        <v>1</v>
      </c>
      <c r="I43" s="19">
        <v>1979.54</v>
      </c>
      <c r="J43" s="19">
        <v>1979.54</v>
      </c>
      <c r="L43" s="23" t="s">
        <v>1926</v>
      </c>
      <c r="M43" s="23">
        <v>305727.52</v>
      </c>
      <c r="N43" s="23">
        <v>126</v>
      </c>
      <c r="O43" s="23"/>
      <c r="P43" s="23"/>
      <c r="Q43" s="23">
        <v>305727.52</v>
      </c>
      <c r="R43" s="23">
        <v>126</v>
      </c>
    </row>
    <row r="44" ht="15.25" spans="1:18">
      <c r="A44" s="18" t="s">
        <v>1927</v>
      </c>
      <c r="B44" s="19" t="s">
        <v>1874</v>
      </c>
      <c r="C44" s="19" t="s">
        <v>1903</v>
      </c>
      <c r="D44" s="19" t="s">
        <v>1884</v>
      </c>
      <c r="E44" s="19" t="s">
        <v>1895</v>
      </c>
      <c r="F44" s="19" t="s">
        <v>1859</v>
      </c>
      <c r="G44" s="19" t="s">
        <v>1860</v>
      </c>
      <c r="H44" s="19">
        <v>9</v>
      </c>
      <c r="I44" s="19">
        <v>3727.82</v>
      </c>
      <c r="J44" s="19">
        <v>33550.38</v>
      </c>
      <c r="L44" s="23" t="s">
        <v>1934</v>
      </c>
      <c r="M44" s="23"/>
      <c r="N44" s="23"/>
      <c r="O44" s="23">
        <v>356648.2</v>
      </c>
      <c r="P44" s="23">
        <v>142</v>
      </c>
      <c r="Q44" s="23">
        <v>356648.2</v>
      </c>
      <c r="R44" s="23">
        <v>142</v>
      </c>
    </row>
    <row r="45" ht="15.25" spans="1:18">
      <c r="A45" s="18" t="s">
        <v>1928</v>
      </c>
      <c r="B45" s="19" t="s">
        <v>1848</v>
      </c>
      <c r="C45" s="19" t="s">
        <v>1898</v>
      </c>
      <c r="D45" s="19" t="s">
        <v>1879</v>
      </c>
      <c r="E45" s="19" t="s">
        <v>1851</v>
      </c>
      <c r="F45" s="19" t="s">
        <v>1868</v>
      </c>
      <c r="G45" s="19" t="s">
        <v>1917</v>
      </c>
      <c r="H45" s="19">
        <v>1</v>
      </c>
      <c r="I45" s="19">
        <v>1495.61</v>
      </c>
      <c r="J45" s="19">
        <v>1495.61</v>
      </c>
      <c r="L45" s="23" t="s">
        <v>1853</v>
      </c>
      <c r="M45" s="23"/>
      <c r="N45" s="23"/>
      <c r="O45" s="23">
        <v>207604.09</v>
      </c>
      <c r="P45" s="23">
        <v>56</v>
      </c>
      <c r="Q45" s="23">
        <v>207604.09</v>
      </c>
      <c r="R45" s="23">
        <v>56</v>
      </c>
    </row>
    <row r="46" ht="26.75" spans="1:18">
      <c r="A46" s="18" t="s">
        <v>1929</v>
      </c>
      <c r="B46" s="19" t="s">
        <v>1889</v>
      </c>
      <c r="C46" s="19" t="s">
        <v>1593</v>
      </c>
      <c r="D46" s="19" t="s">
        <v>1850</v>
      </c>
      <c r="E46" s="19" t="s">
        <v>1851</v>
      </c>
      <c r="F46" s="19" t="s">
        <v>1865</v>
      </c>
      <c r="G46" s="19" t="s">
        <v>1886</v>
      </c>
      <c r="H46" s="19">
        <v>18</v>
      </c>
      <c r="I46" s="19">
        <v>1928.15</v>
      </c>
      <c r="J46" s="19">
        <v>34706.7</v>
      </c>
      <c r="L46" s="23" t="s">
        <v>1930</v>
      </c>
      <c r="M46" s="23">
        <v>66359.9</v>
      </c>
      <c r="N46" s="23">
        <v>33</v>
      </c>
      <c r="O46" s="23"/>
      <c r="P46" s="23"/>
      <c r="Q46" s="23">
        <v>66359.9</v>
      </c>
      <c r="R46" s="23">
        <v>33</v>
      </c>
    </row>
    <row r="47" ht="26.75" spans="1:18">
      <c r="A47" s="18">
        <v>45019</v>
      </c>
      <c r="B47" s="19" t="s">
        <v>1871</v>
      </c>
      <c r="C47" s="19" t="s">
        <v>1593</v>
      </c>
      <c r="D47" s="19" t="s">
        <v>1850</v>
      </c>
      <c r="E47" s="19" t="s">
        <v>1851</v>
      </c>
      <c r="F47" s="19" t="s">
        <v>1859</v>
      </c>
      <c r="G47" s="19" t="s">
        <v>1872</v>
      </c>
      <c r="H47" s="19">
        <v>1</v>
      </c>
      <c r="I47" s="19">
        <v>4192.39</v>
      </c>
      <c r="J47" s="19">
        <v>4192.39</v>
      </c>
      <c r="L47" s="23" t="s">
        <v>2124</v>
      </c>
      <c r="M47" s="23">
        <v>742508.73</v>
      </c>
      <c r="N47" s="23">
        <v>324</v>
      </c>
      <c r="O47" s="23">
        <v>1280993.58</v>
      </c>
      <c r="P47" s="23">
        <v>436</v>
      </c>
      <c r="Q47" s="23">
        <v>2023502.31</v>
      </c>
      <c r="R47" s="23">
        <v>760</v>
      </c>
    </row>
    <row r="48" ht="15.25" spans="1:18">
      <c r="A48" s="18">
        <v>45018</v>
      </c>
      <c r="B48" s="19" t="s">
        <v>1889</v>
      </c>
      <c r="C48" s="19" t="s">
        <v>1626</v>
      </c>
      <c r="D48" s="19" t="s">
        <v>1857</v>
      </c>
      <c r="E48" s="19" t="s">
        <v>1858</v>
      </c>
      <c r="F48" s="19" t="s">
        <v>1876</v>
      </c>
      <c r="G48" s="19" t="s">
        <v>1930</v>
      </c>
      <c r="H48" s="19">
        <v>7</v>
      </c>
      <c r="I48" s="19">
        <v>4988.71</v>
      </c>
      <c r="J48" s="19">
        <v>34920.97</v>
      </c>
    </row>
    <row r="49" ht="15.25" spans="1:10">
      <c r="A49" s="18" t="s">
        <v>1932</v>
      </c>
      <c r="B49" s="19" t="s">
        <v>1878</v>
      </c>
      <c r="C49" s="19" t="s">
        <v>1906</v>
      </c>
      <c r="D49" s="19" t="s">
        <v>1862</v>
      </c>
      <c r="E49" s="19" t="s">
        <v>1858</v>
      </c>
      <c r="F49" s="19" t="s">
        <v>1865</v>
      </c>
      <c r="G49" s="19" t="s">
        <v>1886</v>
      </c>
      <c r="H49" s="19">
        <v>9</v>
      </c>
      <c r="I49" s="19">
        <v>1328.13</v>
      </c>
      <c r="J49" s="19">
        <v>11953.17</v>
      </c>
    </row>
    <row r="50" ht="26.75" spans="1:10">
      <c r="A50" s="18" t="s">
        <v>1933</v>
      </c>
      <c r="B50" s="19" t="s">
        <v>1889</v>
      </c>
      <c r="C50" s="19" t="s">
        <v>1598</v>
      </c>
      <c r="D50" s="19" t="s">
        <v>1850</v>
      </c>
      <c r="E50" s="19" t="s">
        <v>1851</v>
      </c>
      <c r="F50" s="19" t="s">
        <v>1852</v>
      </c>
      <c r="G50" s="19" t="s">
        <v>1934</v>
      </c>
      <c r="H50" s="19">
        <v>9</v>
      </c>
      <c r="I50" s="19">
        <v>722.44</v>
      </c>
      <c r="J50" s="19">
        <v>6501.96</v>
      </c>
    </row>
    <row r="51" ht="26.75" spans="1:10">
      <c r="A51" s="18" t="s">
        <v>1935</v>
      </c>
      <c r="B51" s="19" t="s">
        <v>1861</v>
      </c>
      <c r="C51" s="19" t="s">
        <v>1849</v>
      </c>
      <c r="D51" s="19" t="s">
        <v>1850</v>
      </c>
      <c r="E51" s="19" t="s">
        <v>1851</v>
      </c>
      <c r="F51" s="19" t="s">
        <v>1865</v>
      </c>
      <c r="G51" s="19" t="s">
        <v>1886</v>
      </c>
      <c r="H51" s="19">
        <v>2</v>
      </c>
      <c r="I51" s="19">
        <v>4726.06</v>
      </c>
      <c r="J51" s="19">
        <v>9452.12</v>
      </c>
    </row>
    <row r="52" ht="15.25" spans="1:10">
      <c r="A52" s="18">
        <v>45079</v>
      </c>
      <c r="B52" s="19" t="s">
        <v>1878</v>
      </c>
      <c r="C52" s="19" t="s">
        <v>1602</v>
      </c>
      <c r="D52" s="19" t="s">
        <v>1862</v>
      </c>
      <c r="E52" s="19" t="s">
        <v>1858</v>
      </c>
      <c r="F52" s="19" t="s">
        <v>1865</v>
      </c>
      <c r="G52" s="19" t="s">
        <v>1890</v>
      </c>
      <c r="H52" s="19">
        <v>3</v>
      </c>
      <c r="I52" s="19">
        <v>2263.47</v>
      </c>
      <c r="J52" s="19">
        <v>6790.41</v>
      </c>
    </row>
    <row r="53" ht="15.25" spans="1:10">
      <c r="A53" s="18" t="s">
        <v>1936</v>
      </c>
      <c r="B53" s="19" t="s">
        <v>1861</v>
      </c>
      <c r="C53" s="19" t="s">
        <v>1875</v>
      </c>
      <c r="D53" s="19" t="s">
        <v>1862</v>
      </c>
      <c r="E53" s="19" t="s">
        <v>1858</v>
      </c>
      <c r="F53" s="19" t="s">
        <v>1852</v>
      </c>
      <c r="G53" s="19" t="s">
        <v>1910</v>
      </c>
      <c r="H53" s="19">
        <v>20</v>
      </c>
      <c r="I53" s="19">
        <v>4365.58</v>
      </c>
      <c r="J53" s="19">
        <v>87311.6</v>
      </c>
    </row>
    <row r="54" ht="15.25" spans="1:10">
      <c r="A54" s="18" t="s">
        <v>1938</v>
      </c>
      <c r="B54" s="19" t="s">
        <v>1892</v>
      </c>
      <c r="C54" s="19" t="s">
        <v>1589</v>
      </c>
      <c r="D54" s="19" t="s">
        <v>1884</v>
      </c>
      <c r="E54" s="19" t="s">
        <v>1895</v>
      </c>
      <c r="F54" s="19" t="s">
        <v>1876</v>
      </c>
      <c r="G54" s="19" t="s">
        <v>1877</v>
      </c>
      <c r="H54" s="19">
        <v>20</v>
      </c>
      <c r="I54" s="19">
        <v>3925.65</v>
      </c>
      <c r="J54" s="19">
        <v>78513</v>
      </c>
    </row>
    <row r="55" ht="15.25" spans="1:10">
      <c r="A55" s="18">
        <v>44995</v>
      </c>
      <c r="B55" s="19" t="s">
        <v>1855</v>
      </c>
      <c r="C55" s="19" t="s">
        <v>1626</v>
      </c>
      <c r="D55" s="19" t="s">
        <v>1857</v>
      </c>
      <c r="E55" s="19" t="s">
        <v>1858</v>
      </c>
      <c r="F55" s="19" t="s">
        <v>1852</v>
      </c>
      <c r="G55" s="19" t="s">
        <v>1934</v>
      </c>
      <c r="H55" s="19">
        <v>3</v>
      </c>
      <c r="I55" s="19">
        <v>3613.98</v>
      </c>
      <c r="J55" s="19">
        <v>10841.94</v>
      </c>
    </row>
    <row r="56" ht="26.75" spans="1:10">
      <c r="A56" s="18">
        <v>45236</v>
      </c>
      <c r="B56" s="19" t="s">
        <v>1889</v>
      </c>
      <c r="C56" s="19" t="s">
        <v>1593</v>
      </c>
      <c r="D56" s="19" t="s">
        <v>1850</v>
      </c>
      <c r="E56" s="19" t="s">
        <v>1851</v>
      </c>
      <c r="F56" s="19" t="s">
        <v>1859</v>
      </c>
      <c r="G56" s="19" t="s">
        <v>1922</v>
      </c>
      <c r="H56" s="19">
        <v>7</v>
      </c>
      <c r="I56" s="19">
        <v>2483.54</v>
      </c>
      <c r="J56" s="19">
        <v>17384.78</v>
      </c>
    </row>
    <row r="57" ht="15.25" spans="1:10">
      <c r="A57" s="18">
        <v>44967</v>
      </c>
      <c r="B57" s="19" t="s">
        <v>1871</v>
      </c>
      <c r="C57" s="19" t="s">
        <v>1894</v>
      </c>
      <c r="D57" s="19" t="s">
        <v>1884</v>
      </c>
      <c r="E57" s="19" t="s">
        <v>1895</v>
      </c>
      <c r="F57" s="19" t="s">
        <v>1852</v>
      </c>
      <c r="G57" s="19" t="s">
        <v>1934</v>
      </c>
      <c r="H57" s="19">
        <v>14</v>
      </c>
      <c r="I57" s="19">
        <v>2145.21</v>
      </c>
      <c r="J57" s="19">
        <v>30032.94</v>
      </c>
    </row>
    <row r="58" ht="15.25" spans="1:10">
      <c r="A58" s="18" t="s">
        <v>1939</v>
      </c>
      <c r="B58" s="19" t="s">
        <v>1889</v>
      </c>
      <c r="C58" s="19" t="s">
        <v>1906</v>
      </c>
      <c r="D58" s="19" t="s">
        <v>1862</v>
      </c>
      <c r="E58" s="19" t="s">
        <v>1858</v>
      </c>
      <c r="F58" s="19" t="s">
        <v>1876</v>
      </c>
      <c r="G58" s="19" t="s">
        <v>1926</v>
      </c>
      <c r="H58" s="19">
        <v>8</v>
      </c>
      <c r="I58" s="19">
        <v>4997.45</v>
      </c>
      <c r="J58" s="19">
        <v>39979.6</v>
      </c>
    </row>
    <row r="59" ht="15.25" spans="1:10">
      <c r="A59" s="18">
        <v>45176</v>
      </c>
      <c r="B59" s="19" t="s">
        <v>1892</v>
      </c>
      <c r="C59" s="19" t="s">
        <v>1610</v>
      </c>
      <c r="D59" s="19" t="s">
        <v>1879</v>
      </c>
      <c r="E59" s="19" t="s">
        <v>1851</v>
      </c>
      <c r="F59" s="19" t="s">
        <v>1876</v>
      </c>
      <c r="G59" s="19" t="s">
        <v>1883</v>
      </c>
      <c r="H59" s="19">
        <v>3</v>
      </c>
      <c r="I59" s="19">
        <v>1753.98</v>
      </c>
      <c r="J59" s="19">
        <v>5261.94</v>
      </c>
    </row>
    <row r="60" ht="15.25" spans="1:10">
      <c r="A60" s="18" t="s">
        <v>1940</v>
      </c>
      <c r="B60" s="19" t="s">
        <v>1874</v>
      </c>
      <c r="C60" s="19" t="s">
        <v>1875</v>
      </c>
      <c r="D60" s="19" t="s">
        <v>1862</v>
      </c>
      <c r="E60" s="19" t="s">
        <v>1858</v>
      </c>
      <c r="F60" s="19" t="s">
        <v>1876</v>
      </c>
      <c r="G60" s="19" t="s">
        <v>1926</v>
      </c>
      <c r="H60" s="19">
        <v>2</v>
      </c>
      <c r="I60" s="19">
        <v>1207.92</v>
      </c>
      <c r="J60" s="19">
        <v>2415.84</v>
      </c>
    </row>
    <row r="61" ht="26.75" spans="1:10">
      <c r="A61" s="18">
        <v>45202</v>
      </c>
      <c r="B61" s="19" t="s">
        <v>1867</v>
      </c>
      <c r="C61" s="19" t="s">
        <v>1598</v>
      </c>
      <c r="D61" s="19" t="s">
        <v>1850</v>
      </c>
      <c r="E61" s="19" t="s">
        <v>1851</v>
      </c>
      <c r="F61" s="19" t="s">
        <v>1876</v>
      </c>
      <c r="G61" s="19" t="s">
        <v>1930</v>
      </c>
      <c r="H61" s="19">
        <v>13</v>
      </c>
      <c r="I61" s="19">
        <v>4196.33</v>
      </c>
      <c r="J61" s="19">
        <v>54552.29</v>
      </c>
    </row>
    <row r="62" ht="15.25" spans="1:10">
      <c r="A62" s="18">
        <v>44990</v>
      </c>
      <c r="B62" s="19" t="s">
        <v>1902</v>
      </c>
      <c r="C62" s="19" t="s">
        <v>1941</v>
      </c>
      <c r="D62" s="19" t="s">
        <v>1879</v>
      </c>
      <c r="E62" s="19" t="s">
        <v>1851</v>
      </c>
      <c r="F62" s="19" t="s">
        <v>1859</v>
      </c>
      <c r="G62" s="19" t="s">
        <v>1860</v>
      </c>
      <c r="H62" s="19">
        <v>18</v>
      </c>
      <c r="I62" s="19">
        <v>1310.78</v>
      </c>
      <c r="J62" s="19">
        <v>23594.04</v>
      </c>
    </row>
    <row r="63" ht="26.75" spans="1:10">
      <c r="A63" s="18" t="s">
        <v>1942</v>
      </c>
      <c r="B63" s="19" t="s">
        <v>1892</v>
      </c>
      <c r="C63" s="19" t="s">
        <v>1598</v>
      </c>
      <c r="D63" s="19" t="s">
        <v>1850</v>
      </c>
      <c r="E63" s="19" t="s">
        <v>1851</v>
      </c>
      <c r="F63" s="19" t="s">
        <v>1852</v>
      </c>
      <c r="G63" s="19" t="s">
        <v>1934</v>
      </c>
      <c r="H63" s="19">
        <v>20</v>
      </c>
      <c r="I63" s="19">
        <v>2142.9</v>
      </c>
      <c r="J63" s="19">
        <v>42858</v>
      </c>
    </row>
    <row r="64" ht="15.25" spans="1:10">
      <c r="A64" s="18">
        <v>44997</v>
      </c>
      <c r="B64" s="19" t="s">
        <v>1902</v>
      </c>
      <c r="C64" s="19" t="s">
        <v>1589</v>
      </c>
      <c r="D64" s="19" t="s">
        <v>1884</v>
      </c>
      <c r="E64" s="19" t="s">
        <v>1895</v>
      </c>
      <c r="F64" s="19" t="s">
        <v>1876</v>
      </c>
      <c r="G64" s="19" t="s">
        <v>1930</v>
      </c>
      <c r="H64" s="19">
        <v>19</v>
      </c>
      <c r="I64" s="19">
        <v>1359.7</v>
      </c>
      <c r="J64" s="19">
        <v>25834.3</v>
      </c>
    </row>
    <row r="65" ht="15.25" spans="1:10">
      <c r="A65" s="18" t="s">
        <v>1943</v>
      </c>
      <c r="B65" s="19" t="s">
        <v>1848</v>
      </c>
      <c r="C65" s="19" t="s">
        <v>1906</v>
      </c>
      <c r="D65" s="19" t="s">
        <v>1862</v>
      </c>
      <c r="E65" s="19" t="s">
        <v>1858</v>
      </c>
      <c r="F65" s="19" t="s">
        <v>1852</v>
      </c>
      <c r="G65" s="19" t="s">
        <v>1934</v>
      </c>
      <c r="H65" s="19">
        <v>16</v>
      </c>
      <c r="I65" s="19">
        <v>4896.07</v>
      </c>
      <c r="J65" s="19">
        <v>78337.12</v>
      </c>
    </row>
    <row r="66" ht="15.25" spans="1:10">
      <c r="A66" s="18" t="s">
        <v>1944</v>
      </c>
      <c r="B66" s="19" t="s">
        <v>1871</v>
      </c>
      <c r="C66" s="19" t="s">
        <v>1602</v>
      </c>
      <c r="D66" s="19" t="s">
        <v>1862</v>
      </c>
      <c r="E66" s="19" t="s">
        <v>1858</v>
      </c>
      <c r="F66" s="19" t="s">
        <v>1859</v>
      </c>
      <c r="G66" s="19" t="s">
        <v>1922</v>
      </c>
      <c r="H66" s="19">
        <v>8</v>
      </c>
      <c r="I66" s="19">
        <v>4216.03</v>
      </c>
      <c r="J66" s="19">
        <v>33728.24</v>
      </c>
    </row>
    <row r="67" ht="26.75" spans="1:10">
      <c r="A67" s="18">
        <v>45054</v>
      </c>
      <c r="B67" s="19" t="s">
        <v>1867</v>
      </c>
      <c r="C67" s="19" t="s">
        <v>1598</v>
      </c>
      <c r="D67" s="19" t="s">
        <v>1850</v>
      </c>
      <c r="E67" s="19" t="s">
        <v>1851</v>
      </c>
      <c r="F67" s="19" t="s">
        <v>1868</v>
      </c>
      <c r="G67" s="19" t="s">
        <v>1899</v>
      </c>
      <c r="H67" s="19">
        <v>14</v>
      </c>
      <c r="I67" s="19">
        <v>2134.06</v>
      </c>
      <c r="J67" s="19">
        <v>29876.84</v>
      </c>
    </row>
    <row r="68" ht="15.25" spans="1:10">
      <c r="A68" s="18" t="s">
        <v>1945</v>
      </c>
      <c r="B68" s="19" t="s">
        <v>1902</v>
      </c>
      <c r="C68" s="19" t="s">
        <v>1894</v>
      </c>
      <c r="D68" s="19" t="s">
        <v>1884</v>
      </c>
      <c r="E68" s="19" t="s">
        <v>1895</v>
      </c>
      <c r="F68" s="19" t="s">
        <v>1852</v>
      </c>
      <c r="G68" s="19" t="s">
        <v>1910</v>
      </c>
      <c r="H68" s="19">
        <v>6</v>
      </c>
      <c r="I68" s="19">
        <v>1523.33</v>
      </c>
      <c r="J68" s="19">
        <v>9139.98</v>
      </c>
    </row>
    <row r="69" ht="15.25" spans="1:10">
      <c r="A69" s="18" t="s">
        <v>1946</v>
      </c>
      <c r="B69" s="19" t="s">
        <v>1861</v>
      </c>
      <c r="C69" s="19" t="s">
        <v>1864</v>
      </c>
      <c r="D69" s="19" t="s">
        <v>1857</v>
      </c>
      <c r="E69" s="19" t="s">
        <v>1858</v>
      </c>
      <c r="F69" s="19" t="s">
        <v>1868</v>
      </c>
      <c r="G69" s="19" t="s">
        <v>1869</v>
      </c>
      <c r="H69" s="19">
        <v>13</v>
      </c>
      <c r="I69" s="19">
        <v>646.63</v>
      </c>
      <c r="J69" s="19">
        <v>8406.19</v>
      </c>
    </row>
    <row r="70" ht="15.25" spans="1:10">
      <c r="A70" s="18" t="s">
        <v>1927</v>
      </c>
      <c r="B70" s="19" t="s">
        <v>1874</v>
      </c>
      <c r="C70" s="19" t="s">
        <v>1906</v>
      </c>
      <c r="D70" s="19" t="s">
        <v>1862</v>
      </c>
      <c r="E70" s="19" t="s">
        <v>1858</v>
      </c>
      <c r="F70" s="19" t="s">
        <v>1859</v>
      </c>
      <c r="G70" s="19" t="s">
        <v>1947</v>
      </c>
      <c r="H70" s="19">
        <v>4</v>
      </c>
      <c r="I70" s="19">
        <v>4965.34</v>
      </c>
      <c r="J70" s="19">
        <v>19861.36</v>
      </c>
    </row>
    <row r="71" ht="26.75" spans="1:10">
      <c r="A71" s="18" t="s">
        <v>1948</v>
      </c>
      <c r="B71" s="19" t="s">
        <v>1889</v>
      </c>
      <c r="C71" s="19" t="s">
        <v>1598</v>
      </c>
      <c r="D71" s="19" t="s">
        <v>1850</v>
      </c>
      <c r="E71" s="19" t="s">
        <v>1851</v>
      </c>
      <c r="F71" s="19" t="s">
        <v>1859</v>
      </c>
      <c r="G71" s="19" t="s">
        <v>1872</v>
      </c>
      <c r="H71" s="19">
        <v>14</v>
      </c>
      <c r="I71" s="19">
        <v>2883.11</v>
      </c>
      <c r="J71" s="19">
        <v>40363.54</v>
      </c>
    </row>
    <row r="72" ht="15.25" spans="1:10">
      <c r="A72" s="18" t="s">
        <v>1949</v>
      </c>
      <c r="B72" s="19" t="s">
        <v>1871</v>
      </c>
      <c r="C72" s="19" t="s">
        <v>1903</v>
      </c>
      <c r="D72" s="19" t="s">
        <v>1884</v>
      </c>
      <c r="E72" s="19" t="s">
        <v>1895</v>
      </c>
      <c r="F72" s="19" t="s">
        <v>1868</v>
      </c>
      <c r="G72" s="19" t="s">
        <v>1899</v>
      </c>
      <c r="H72" s="19">
        <v>9</v>
      </c>
      <c r="I72" s="19">
        <v>2819.87</v>
      </c>
      <c r="J72" s="19">
        <v>25378.83</v>
      </c>
    </row>
    <row r="73" ht="26.75" spans="1:10">
      <c r="A73" s="18" t="s">
        <v>1881</v>
      </c>
      <c r="B73" s="19" t="s">
        <v>1867</v>
      </c>
      <c r="C73" s="19" t="s">
        <v>1593</v>
      </c>
      <c r="D73" s="19" t="s">
        <v>1850</v>
      </c>
      <c r="E73" s="19" t="s">
        <v>1851</v>
      </c>
      <c r="F73" s="19" t="s">
        <v>1865</v>
      </c>
      <c r="G73" s="19" t="s">
        <v>1866</v>
      </c>
      <c r="H73" s="19">
        <v>12</v>
      </c>
      <c r="I73" s="19">
        <v>3961.23</v>
      </c>
      <c r="J73" s="19">
        <v>47534.76</v>
      </c>
    </row>
    <row r="74" ht="15.25" spans="1:10">
      <c r="A74" s="18">
        <v>44960</v>
      </c>
      <c r="B74" s="19" t="s">
        <v>1874</v>
      </c>
      <c r="C74" s="19" t="s">
        <v>1864</v>
      </c>
      <c r="D74" s="19" t="s">
        <v>1857</v>
      </c>
      <c r="E74" s="19" t="s">
        <v>1858</v>
      </c>
      <c r="F74" s="19" t="s">
        <v>1865</v>
      </c>
      <c r="G74" s="19" t="s">
        <v>1866</v>
      </c>
      <c r="H74" s="19">
        <v>15</v>
      </c>
      <c r="I74" s="19">
        <v>2194.72</v>
      </c>
      <c r="J74" s="19">
        <v>32920.8</v>
      </c>
    </row>
    <row r="75" ht="15.25" spans="1:10">
      <c r="A75" s="18" t="s">
        <v>1951</v>
      </c>
      <c r="B75" s="19" t="s">
        <v>1871</v>
      </c>
      <c r="C75" s="19" t="s">
        <v>1875</v>
      </c>
      <c r="D75" s="19" t="s">
        <v>1862</v>
      </c>
      <c r="E75" s="19" t="s">
        <v>1858</v>
      </c>
      <c r="F75" s="19" t="s">
        <v>1876</v>
      </c>
      <c r="G75" s="19" t="s">
        <v>1926</v>
      </c>
      <c r="H75" s="19">
        <v>5</v>
      </c>
      <c r="I75" s="19">
        <v>3058.74</v>
      </c>
      <c r="J75" s="19">
        <v>15293.7</v>
      </c>
    </row>
    <row r="76" ht="26.75" spans="1:10">
      <c r="A76" s="18">
        <v>45211</v>
      </c>
      <c r="B76" s="19" t="s">
        <v>1878</v>
      </c>
      <c r="C76" s="19" t="s">
        <v>1593</v>
      </c>
      <c r="D76" s="19" t="s">
        <v>1850</v>
      </c>
      <c r="E76" s="19" t="s">
        <v>1851</v>
      </c>
      <c r="F76" s="19" t="s">
        <v>1865</v>
      </c>
      <c r="G76" s="19" t="s">
        <v>1866</v>
      </c>
      <c r="H76" s="19">
        <v>11</v>
      </c>
      <c r="I76" s="19">
        <v>827.59</v>
      </c>
      <c r="J76" s="19">
        <v>9103.49</v>
      </c>
    </row>
    <row r="77" ht="15.25" spans="1:10">
      <c r="A77" s="18" t="s">
        <v>1952</v>
      </c>
      <c r="B77" s="19" t="s">
        <v>1889</v>
      </c>
      <c r="C77" s="19" t="s">
        <v>1864</v>
      </c>
      <c r="D77" s="19" t="s">
        <v>1857</v>
      </c>
      <c r="E77" s="19" t="s">
        <v>1858</v>
      </c>
      <c r="F77" s="19" t="s">
        <v>1876</v>
      </c>
      <c r="G77" s="19" t="s">
        <v>1930</v>
      </c>
      <c r="H77" s="19">
        <v>10</v>
      </c>
      <c r="I77" s="19">
        <v>2008.29</v>
      </c>
      <c r="J77" s="19">
        <v>20082.9</v>
      </c>
    </row>
    <row r="78" ht="15.25" spans="1:10">
      <c r="A78" s="18" t="s">
        <v>1897</v>
      </c>
      <c r="B78" s="19" t="s">
        <v>1878</v>
      </c>
      <c r="C78" s="19" t="s">
        <v>1898</v>
      </c>
      <c r="D78" s="19" t="s">
        <v>1879</v>
      </c>
      <c r="E78" s="19" t="s">
        <v>1851</v>
      </c>
      <c r="F78" s="19" t="s">
        <v>1865</v>
      </c>
      <c r="G78" s="19" t="s">
        <v>1886</v>
      </c>
      <c r="H78" s="19">
        <v>3</v>
      </c>
      <c r="I78" s="19">
        <v>4157.17</v>
      </c>
      <c r="J78" s="19">
        <v>12471.51</v>
      </c>
    </row>
    <row r="79" ht="15.25" spans="1:10">
      <c r="A79" s="18">
        <v>45109</v>
      </c>
      <c r="B79" s="19" t="s">
        <v>1867</v>
      </c>
      <c r="C79" s="19" t="s">
        <v>1906</v>
      </c>
      <c r="D79" s="19" t="s">
        <v>1862</v>
      </c>
      <c r="E79" s="19" t="s">
        <v>1858</v>
      </c>
      <c r="F79" s="19" t="s">
        <v>1852</v>
      </c>
      <c r="G79" s="19" t="s">
        <v>1950</v>
      </c>
      <c r="H79" s="19">
        <v>19</v>
      </c>
      <c r="I79" s="19">
        <v>2880.28</v>
      </c>
      <c r="J79" s="19">
        <v>54725.32</v>
      </c>
    </row>
    <row r="80" ht="15.25" spans="1:10">
      <c r="A80" s="18" t="s">
        <v>1954</v>
      </c>
      <c r="B80" s="19" t="s">
        <v>1902</v>
      </c>
      <c r="C80" s="19" t="s">
        <v>1610</v>
      </c>
      <c r="D80" s="19" t="s">
        <v>1879</v>
      </c>
      <c r="E80" s="19" t="s">
        <v>1851</v>
      </c>
      <c r="F80" s="19" t="s">
        <v>1876</v>
      </c>
      <c r="G80" s="19" t="s">
        <v>1883</v>
      </c>
      <c r="H80" s="19">
        <v>6</v>
      </c>
      <c r="I80" s="19">
        <v>1212.76</v>
      </c>
      <c r="J80" s="19">
        <v>7276.56</v>
      </c>
    </row>
    <row r="81" ht="15.25" spans="1:10">
      <c r="A81" s="18" t="s">
        <v>1955</v>
      </c>
      <c r="B81" s="19" t="s">
        <v>1871</v>
      </c>
      <c r="C81" s="19" t="s">
        <v>1941</v>
      </c>
      <c r="D81" s="19" t="s">
        <v>1879</v>
      </c>
      <c r="E81" s="19" t="s">
        <v>1851</v>
      </c>
      <c r="F81" s="19" t="s">
        <v>1876</v>
      </c>
      <c r="G81" s="19" t="s">
        <v>1926</v>
      </c>
      <c r="H81" s="19">
        <v>11</v>
      </c>
      <c r="I81" s="19">
        <v>4463.48</v>
      </c>
      <c r="J81" s="19">
        <v>49098.28</v>
      </c>
    </row>
    <row r="82" ht="15.25" spans="1:10">
      <c r="A82" s="18">
        <v>45236</v>
      </c>
      <c r="B82" s="19" t="s">
        <v>1889</v>
      </c>
      <c r="C82" s="19" t="s">
        <v>1875</v>
      </c>
      <c r="D82" s="19" t="s">
        <v>1862</v>
      </c>
      <c r="E82" s="19" t="s">
        <v>1858</v>
      </c>
      <c r="F82" s="19" t="s">
        <v>1859</v>
      </c>
      <c r="G82" s="19" t="s">
        <v>1872</v>
      </c>
      <c r="H82" s="19">
        <v>17</v>
      </c>
      <c r="I82" s="19">
        <v>3975.74</v>
      </c>
      <c r="J82" s="19">
        <v>67587.58</v>
      </c>
    </row>
    <row r="83" ht="15.25" spans="1:10">
      <c r="A83" s="18" t="s">
        <v>1956</v>
      </c>
      <c r="B83" s="19" t="s">
        <v>1848</v>
      </c>
      <c r="C83" s="19" t="s">
        <v>1856</v>
      </c>
      <c r="D83" s="19" t="s">
        <v>1857</v>
      </c>
      <c r="E83" s="19" t="s">
        <v>1858</v>
      </c>
      <c r="F83" s="19" t="s">
        <v>1865</v>
      </c>
      <c r="G83" s="19" t="s">
        <v>1890</v>
      </c>
      <c r="H83" s="19">
        <v>15</v>
      </c>
      <c r="I83" s="19">
        <v>2158.22</v>
      </c>
      <c r="J83" s="19">
        <v>32373.3</v>
      </c>
    </row>
    <row r="84" ht="15.25" spans="1:10">
      <c r="A84" s="18" t="s">
        <v>1958</v>
      </c>
      <c r="B84" s="19" t="s">
        <v>1861</v>
      </c>
      <c r="C84" s="19" t="s">
        <v>1898</v>
      </c>
      <c r="D84" s="19" t="s">
        <v>1879</v>
      </c>
      <c r="E84" s="19" t="s">
        <v>1851</v>
      </c>
      <c r="F84" s="19" t="s">
        <v>1865</v>
      </c>
      <c r="G84" s="19" t="s">
        <v>1886</v>
      </c>
      <c r="H84" s="19">
        <v>17</v>
      </c>
      <c r="I84" s="19">
        <v>1720.9</v>
      </c>
      <c r="J84" s="19">
        <v>29255.3</v>
      </c>
    </row>
    <row r="85" ht="26.75" spans="1:10">
      <c r="A85" s="18" t="s">
        <v>1959</v>
      </c>
      <c r="B85" s="19" t="s">
        <v>1878</v>
      </c>
      <c r="C85" s="19" t="s">
        <v>1593</v>
      </c>
      <c r="D85" s="19" t="s">
        <v>1850</v>
      </c>
      <c r="E85" s="19" t="s">
        <v>1851</v>
      </c>
      <c r="F85" s="19" t="s">
        <v>1865</v>
      </c>
      <c r="G85" s="19" t="s">
        <v>1866</v>
      </c>
      <c r="H85" s="19">
        <v>11</v>
      </c>
      <c r="I85" s="19">
        <v>3562.92</v>
      </c>
      <c r="J85" s="19">
        <v>39192.12</v>
      </c>
    </row>
    <row r="86" ht="26.75" spans="1:10">
      <c r="A86" s="18" t="s">
        <v>1960</v>
      </c>
      <c r="B86" s="19" t="s">
        <v>1871</v>
      </c>
      <c r="C86" s="19" t="s">
        <v>1593</v>
      </c>
      <c r="D86" s="19" t="s">
        <v>1850</v>
      </c>
      <c r="E86" s="19" t="s">
        <v>1851</v>
      </c>
      <c r="F86" s="19" t="s">
        <v>1859</v>
      </c>
      <c r="G86" s="19" t="s">
        <v>1872</v>
      </c>
      <c r="H86" s="19">
        <v>17</v>
      </c>
      <c r="I86" s="19">
        <v>608.79</v>
      </c>
      <c r="J86" s="19">
        <v>10349.43</v>
      </c>
    </row>
    <row r="87" ht="15.25" spans="1:10">
      <c r="A87" s="18" t="s">
        <v>1932</v>
      </c>
      <c r="B87" s="19" t="s">
        <v>1874</v>
      </c>
      <c r="C87" s="19" t="s">
        <v>1610</v>
      </c>
      <c r="D87" s="19" t="s">
        <v>1879</v>
      </c>
      <c r="E87" s="19" t="s">
        <v>1851</v>
      </c>
      <c r="F87" s="19" t="s">
        <v>1868</v>
      </c>
      <c r="G87" s="19" t="s">
        <v>1869</v>
      </c>
      <c r="H87" s="19">
        <v>20</v>
      </c>
      <c r="I87" s="19">
        <v>4856.17</v>
      </c>
      <c r="J87" s="19">
        <v>97123.4</v>
      </c>
    </row>
    <row r="88" ht="15.25" spans="1:10">
      <c r="A88" s="18" t="s">
        <v>1946</v>
      </c>
      <c r="B88" s="19" t="s">
        <v>1902</v>
      </c>
      <c r="C88" s="19" t="s">
        <v>1894</v>
      </c>
      <c r="D88" s="19" t="s">
        <v>1884</v>
      </c>
      <c r="E88" s="19" t="s">
        <v>1895</v>
      </c>
      <c r="F88" s="19" t="s">
        <v>1859</v>
      </c>
      <c r="G88" s="19" t="s">
        <v>1860</v>
      </c>
      <c r="H88" s="19">
        <v>12</v>
      </c>
      <c r="I88" s="19">
        <v>4298</v>
      </c>
      <c r="J88" s="19">
        <v>51576</v>
      </c>
    </row>
    <row r="89" ht="15.25" spans="1:10">
      <c r="A89" s="18">
        <v>45020</v>
      </c>
      <c r="B89" s="19" t="s">
        <v>1871</v>
      </c>
      <c r="C89" s="19" t="s">
        <v>1903</v>
      </c>
      <c r="D89" s="19" t="s">
        <v>1884</v>
      </c>
      <c r="E89" s="19" t="s">
        <v>1895</v>
      </c>
      <c r="F89" s="19" t="s">
        <v>1876</v>
      </c>
      <c r="G89" s="19" t="s">
        <v>1926</v>
      </c>
      <c r="H89" s="19">
        <v>7</v>
      </c>
      <c r="I89" s="19">
        <v>1160.35</v>
      </c>
      <c r="J89" s="19">
        <v>8122.45</v>
      </c>
    </row>
    <row r="90" ht="15.25" spans="1:10">
      <c r="A90" s="18">
        <v>45115</v>
      </c>
      <c r="B90" s="19" t="s">
        <v>1878</v>
      </c>
      <c r="C90" s="19" t="s">
        <v>1894</v>
      </c>
      <c r="D90" s="19" t="s">
        <v>1884</v>
      </c>
      <c r="E90" s="19" t="s">
        <v>1895</v>
      </c>
      <c r="F90" s="19" t="s">
        <v>1865</v>
      </c>
      <c r="G90" s="19" t="s">
        <v>1886</v>
      </c>
      <c r="H90" s="19">
        <v>3</v>
      </c>
      <c r="I90" s="19">
        <v>2488.34</v>
      </c>
      <c r="J90" s="19">
        <v>7465.02</v>
      </c>
    </row>
    <row r="91" ht="15.25" spans="1:10">
      <c r="A91" s="18" t="s">
        <v>1956</v>
      </c>
      <c r="B91" s="19" t="s">
        <v>1861</v>
      </c>
      <c r="C91" s="19" t="s">
        <v>1856</v>
      </c>
      <c r="D91" s="19" t="s">
        <v>1857</v>
      </c>
      <c r="E91" s="19" t="s">
        <v>1858</v>
      </c>
      <c r="F91" s="19" t="s">
        <v>1852</v>
      </c>
      <c r="G91" s="19" t="s">
        <v>1934</v>
      </c>
      <c r="H91" s="19">
        <v>8</v>
      </c>
      <c r="I91" s="19">
        <v>1990</v>
      </c>
      <c r="J91" s="19">
        <v>15920</v>
      </c>
    </row>
    <row r="92" ht="15.25" spans="1:10">
      <c r="A92" s="18" t="s">
        <v>1961</v>
      </c>
      <c r="B92" s="19" t="s">
        <v>1874</v>
      </c>
      <c r="C92" s="19" t="s">
        <v>1941</v>
      </c>
      <c r="D92" s="19" t="s">
        <v>1879</v>
      </c>
      <c r="E92" s="19" t="s">
        <v>1851</v>
      </c>
      <c r="F92" s="19" t="s">
        <v>1876</v>
      </c>
      <c r="G92" s="19" t="s">
        <v>1926</v>
      </c>
      <c r="H92" s="19">
        <v>20</v>
      </c>
      <c r="I92" s="19">
        <v>2446.21</v>
      </c>
      <c r="J92" s="19">
        <v>48924.2</v>
      </c>
    </row>
    <row r="93" ht="15.25" spans="1:10">
      <c r="A93" s="18" t="s">
        <v>1962</v>
      </c>
      <c r="B93" s="19" t="s">
        <v>1867</v>
      </c>
      <c r="C93" s="19" t="s">
        <v>1906</v>
      </c>
      <c r="D93" s="19" t="s">
        <v>1862</v>
      </c>
      <c r="E93" s="19" t="s">
        <v>1858</v>
      </c>
      <c r="F93" s="19" t="s">
        <v>1859</v>
      </c>
      <c r="G93" s="19" t="s">
        <v>1947</v>
      </c>
      <c r="H93" s="19">
        <v>11</v>
      </c>
      <c r="I93" s="19">
        <v>1841.84</v>
      </c>
      <c r="J93" s="19">
        <v>20260.24</v>
      </c>
    </row>
    <row r="94" ht="15.25" spans="1:10">
      <c r="A94" s="18">
        <v>44938</v>
      </c>
      <c r="B94" s="19" t="s">
        <v>1874</v>
      </c>
      <c r="C94" s="19" t="s">
        <v>1589</v>
      </c>
      <c r="D94" s="19" t="s">
        <v>1884</v>
      </c>
      <c r="E94" s="19" t="s">
        <v>1895</v>
      </c>
      <c r="F94" s="19" t="s">
        <v>1876</v>
      </c>
      <c r="G94" s="19" t="s">
        <v>1877</v>
      </c>
      <c r="H94" s="19">
        <v>5</v>
      </c>
      <c r="I94" s="19">
        <v>3289.83</v>
      </c>
      <c r="J94" s="19">
        <v>16449.15</v>
      </c>
    </row>
    <row r="95" ht="26.75" spans="1:10">
      <c r="A95" s="18" t="s">
        <v>1963</v>
      </c>
      <c r="B95" s="19" t="s">
        <v>1878</v>
      </c>
      <c r="C95" s="19" t="s">
        <v>1593</v>
      </c>
      <c r="D95" s="19" t="s">
        <v>1850</v>
      </c>
      <c r="E95" s="19" t="s">
        <v>1851</v>
      </c>
      <c r="F95" s="19" t="s">
        <v>1868</v>
      </c>
      <c r="G95" s="19" t="s">
        <v>1907</v>
      </c>
      <c r="H95" s="19">
        <v>6</v>
      </c>
      <c r="I95" s="19">
        <v>549.8</v>
      </c>
      <c r="J95" s="19">
        <v>3298.8</v>
      </c>
    </row>
    <row r="96" ht="15.25" spans="1:10">
      <c r="A96" s="18">
        <v>44987</v>
      </c>
      <c r="B96" s="19" t="s">
        <v>1889</v>
      </c>
      <c r="C96" s="19" t="s">
        <v>1864</v>
      </c>
      <c r="D96" s="19" t="s">
        <v>1857</v>
      </c>
      <c r="E96" s="19" t="s">
        <v>1858</v>
      </c>
      <c r="F96" s="19" t="s">
        <v>1876</v>
      </c>
      <c r="G96" s="19" t="s">
        <v>1877</v>
      </c>
      <c r="H96" s="19">
        <v>20</v>
      </c>
      <c r="I96" s="19">
        <v>4397.46</v>
      </c>
      <c r="J96" s="19">
        <v>87949.2</v>
      </c>
    </row>
    <row r="97" ht="15.25" spans="1:10">
      <c r="A97" s="18">
        <v>45235</v>
      </c>
      <c r="B97" s="19" t="s">
        <v>1878</v>
      </c>
      <c r="C97" s="19" t="s">
        <v>1602</v>
      </c>
      <c r="D97" s="19" t="s">
        <v>1862</v>
      </c>
      <c r="E97" s="19" t="s">
        <v>1858</v>
      </c>
      <c r="F97" s="19" t="s">
        <v>1868</v>
      </c>
      <c r="G97" s="19" t="s">
        <v>1869</v>
      </c>
      <c r="H97" s="19">
        <v>3</v>
      </c>
      <c r="I97" s="19">
        <v>3107.88</v>
      </c>
      <c r="J97" s="19">
        <v>9323.64</v>
      </c>
    </row>
    <row r="98" ht="15.25" spans="1:10">
      <c r="A98" s="18" t="s">
        <v>1939</v>
      </c>
      <c r="B98" s="19" t="s">
        <v>1848</v>
      </c>
      <c r="C98" s="19" t="s">
        <v>1898</v>
      </c>
      <c r="D98" s="19" t="s">
        <v>1879</v>
      </c>
      <c r="E98" s="19" t="s">
        <v>1851</v>
      </c>
      <c r="F98" s="19" t="s">
        <v>1852</v>
      </c>
      <c r="G98" s="19" t="s">
        <v>1950</v>
      </c>
      <c r="H98" s="19">
        <v>11</v>
      </c>
      <c r="I98" s="19">
        <v>1451.86</v>
      </c>
      <c r="J98" s="19">
        <v>15970.46</v>
      </c>
    </row>
    <row r="99" ht="15.25" spans="1:10">
      <c r="A99" s="18">
        <v>44992</v>
      </c>
      <c r="B99" s="19" t="s">
        <v>1878</v>
      </c>
      <c r="C99" s="19" t="s">
        <v>1856</v>
      </c>
      <c r="D99" s="19" t="s">
        <v>1857</v>
      </c>
      <c r="E99" s="19" t="s">
        <v>1858</v>
      </c>
      <c r="F99" s="19" t="s">
        <v>1868</v>
      </c>
      <c r="G99" s="19" t="s">
        <v>1917</v>
      </c>
      <c r="H99" s="19">
        <v>13</v>
      </c>
      <c r="I99" s="19">
        <v>4087.03</v>
      </c>
      <c r="J99" s="19">
        <v>53131.39</v>
      </c>
    </row>
    <row r="100" ht="15.25" spans="1:10">
      <c r="A100" s="18">
        <v>44966</v>
      </c>
      <c r="B100" s="19" t="s">
        <v>1848</v>
      </c>
      <c r="C100" s="19" t="s">
        <v>1894</v>
      </c>
      <c r="D100" s="19" t="s">
        <v>1884</v>
      </c>
      <c r="E100" s="19" t="s">
        <v>1895</v>
      </c>
      <c r="F100" s="19" t="s">
        <v>1859</v>
      </c>
      <c r="G100" s="19" t="s">
        <v>1860</v>
      </c>
      <c r="H100" s="19">
        <v>12</v>
      </c>
      <c r="I100" s="19">
        <v>3040.08</v>
      </c>
      <c r="J100" s="19">
        <v>36480.96</v>
      </c>
    </row>
    <row r="101" ht="15.25" spans="1:10">
      <c r="A101" s="18" t="s">
        <v>1952</v>
      </c>
      <c r="B101" s="19" t="s">
        <v>1874</v>
      </c>
      <c r="C101" s="19" t="s">
        <v>1589</v>
      </c>
      <c r="D101" s="19" t="s">
        <v>1884</v>
      </c>
      <c r="E101" s="19" t="s">
        <v>1895</v>
      </c>
      <c r="F101" s="19" t="s">
        <v>1868</v>
      </c>
      <c r="G101" s="19" t="s">
        <v>1907</v>
      </c>
      <c r="H101" s="19">
        <v>19</v>
      </c>
      <c r="I101" s="19">
        <v>3968.42</v>
      </c>
      <c r="J101" s="19">
        <v>75399.98</v>
      </c>
    </row>
    <row r="102" ht="15.25" spans="1:10">
      <c r="A102" s="18" t="s">
        <v>1964</v>
      </c>
      <c r="B102" s="19" t="s">
        <v>1902</v>
      </c>
      <c r="C102" s="19" t="s">
        <v>1875</v>
      </c>
      <c r="D102" s="19" t="s">
        <v>1862</v>
      </c>
      <c r="E102" s="19" t="s">
        <v>1858</v>
      </c>
      <c r="F102" s="19" t="s">
        <v>1876</v>
      </c>
      <c r="G102" s="19" t="s">
        <v>1883</v>
      </c>
      <c r="H102" s="19">
        <v>4</v>
      </c>
      <c r="I102" s="19">
        <v>894.64</v>
      </c>
      <c r="J102" s="19">
        <v>3578.56</v>
      </c>
    </row>
    <row r="103" ht="15.25" spans="1:10">
      <c r="A103" s="18">
        <v>44996</v>
      </c>
      <c r="B103" s="19" t="s">
        <v>1878</v>
      </c>
      <c r="C103" s="19" t="s">
        <v>1875</v>
      </c>
      <c r="D103" s="19" t="s">
        <v>1862</v>
      </c>
      <c r="E103" s="19" t="s">
        <v>1858</v>
      </c>
      <c r="F103" s="19" t="s">
        <v>1868</v>
      </c>
      <c r="G103" s="19" t="s">
        <v>1917</v>
      </c>
      <c r="H103" s="19">
        <v>20</v>
      </c>
      <c r="I103" s="19">
        <v>1787.99</v>
      </c>
      <c r="J103" s="19">
        <v>35759.8</v>
      </c>
    </row>
    <row r="104" ht="26.75" spans="1:10">
      <c r="A104" s="18" t="s">
        <v>1965</v>
      </c>
      <c r="B104" s="19" t="s">
        <v>1848</v>
      </c>
      <c r="C104" s="19" t="s">
        <v>1593</v>
      </c>
      <c r="D104" s="19" t="s">
        <v>1850</v>
      </c>
      <c r="E104" s="19" t="s">
        <v>1851</v>
      </c>
      <c r="F104" s="19" t="s">
        <v>1852</v>
      </c>
      <c r="G104" s="19" t="s">
        <v>1910</v>
      </c>
      <c r="H104" s="19">
        <v>17</v>
      </c>
      <c r="I104" s="19">
        <v>2910.12</v>
      </c>
      <c r="J104" s="19">
        <v>49472.04</v>
      </c>
    </row>
    <row r="105" ht="15.25" spans="1:10">
      <c r="A105" s="18">
        <v>44987</v>
      </c>
      <c r="B105" s="19" t="s">
        <v>1902</v>
      </c>
      <c r="C105" s="19" t="s">
        <v>1856</v>
      </c>
      <c r="D105" s="19" t="s">
        <v>1857</v>
      </c>
      <c r="E105" s="19" t="s">
        <v>1858</v>
      </c>
      <c r="F105" s="19" t="s">
        <v>1868</v>
      </c>
      <c r="G105" s="19" t="s">
        <v>1869</v>
      </c>
      <c r="H105" s="19">
        <v>16</v>
      </c>
      <c r="I105" s="19">
        <v>827.8</v>
      </c>
      <c r="J105" s="19">
        <v>13244.8</v>
      </c>
    </row>
    <row r="106" ht="15.25" spans="1:10">
      <c r="A106" s="18">
        <v>45174</v>
      </c>
      <c r="B106" s="19" t="s">
        <v>1861</v>
      </c>
      <c r="C106" s="19" t="s">
        <v>1894</v>
      </c>
      <c r="D106" s="19" t="s">
        <v>1884</v>
      </c>
      <c r="E106" s="19" t="s">
        <v>1895</v>
      </c>
      <c r="F106" s="19" t="s">
        <v>1859</v>
      </c>
      <c r="G106" s="19" t="s">
        <v>1872</v>
      </c>
      <c r="H106" s="19">
        <v>18</v>
      </c>
      <c r="I106" s="19">
        <v>3093.44</v>
      </c>
      <c r="J106" s="19">
        <v>55681.92</v>
      </c>
    </row>
    <row r="107" ht="15.25" spans="1:10">
      <c r="A107" s="18" t="s">
        <v>1966</v>
      </c>
      <c r="B107" s="19" t="s">
        <v>1878</v>
      </c>
      <c r="C107" s="19" t="s">
        <v>1626</v>
      </c>
      <c r="D107" s="19" t="s">
        <v>1857</v>
      </c>
      <c r="E107" s="19" t="s">
        <v>1858</v>
      </c>
      <c r="F107" s="19" t="s">
        <v>1865</v>
      </c>
      <c r="G107" s="19" t="s">
        <v>1890</v>
      </c>
      <c r="H107" s="19">
        <v>10</v>
      </c>
      <c r="I107" s="19">
        <v>2469.04</v>
      </c>
      <c r="J107" s="19">
        <v>24690.4</v>
      </c>
    </row>
    <row r="108" ht="15.25" spans="1:10">
      <c r="A108" s="18" t="s">
        <v>1967</v>
      </c>
      <c r="B108" s="19" t="s">
        <v>1861</v>
      </c>
      <c r="C108" s="19" t="s">
        <v>1626</v>
      </c>
      <c r="D108" s="19" t="s">
        <v>1857</v>
      </c>
      <c r="E108" s="19" t="s">
        <v>1858</v>
      </c>
      <c r="F108" s="19" t="s">
        <v>1859</v>
      </c>
      <c r="G108" s="19" t="s">
        <v>1860</v>
      </c>
      <c r="H108" s="19">
        <v>12</v>
      </c>
      <c r="I108" s="19">
        <v>2127.28</v>
      </c>
      <c r="J108" s="19">
        <v>25527.36</v>
      </c>
    </row>
    <row r="109" ht="15.25" spans="1:10">
      <c r="A109" s="18" t="s">
        <v>1968</v>
      </c>
      <c r="B109" s="19" t="s">
        <v>1874</v>
      </c>
      <c r="C109" s="19" t="s">
        <v>1626</v>
      </c>
      <c r="D109" s="19" t="s">
        <v>1857</v>
      </c>
      <c r="E109" s="19" t="s">
        <v>1858</v>
      </c>
      <c r="F109" s="19" t="s">
        <v>1876</v>
      </c>
      <c r="G109" s="19" t="s">
        <v>1883</v>
      </c>
      <c r="H109" s="19">
        <v>1</v>
      </c>
      <c r="I109" s="19">
        <v>1811.76</v>
      </c>
      <c r="J109" s="19">
        <v>1811.76</v>
      </c>
    </row>
    <row r="110" ht="15.25" spans="1:10">
      <c r="A110" s="18" t="s">
        <v>1969</v>
      </c>
      <c r="B110" s="19" t="s">
        <v>1892</v>
      </c>
      <c r="C110" s="19" t="s">
        <v>1906</v>
      </c>
      <c r="D110" s="19" t="s">
        <v>1862</v>
      </c>
      <c r="E110" s="19" t="s">
        <v>1858</v>
      </c>
      <c r="F110" s="19" t="s">
        <v>1852</v>
      </c>
      <c r="G110" s="19" t="s">
        <v>1910</v>
      </c>
      <c r="H110" s="19">
        <v>4</v>
      </c>
      <c r="I110" s="19">
        <v>4485.82</v>
      </c>
      <c r="J110" s="19">
        <v>17943.28</v>
      </c>
    </row>
    <row r="111" ht="15.25" spans="1:10">
      <c r="A111" s="18">
        <v>44994</v>
      </c>
      <c r="B111" s="19" t="s">
        <v>1892</v>
      </c>
      <c r="C111" s="19" t="s">
        <v>1875</v>
      </c>
      <c r="D111" s="19" t="s">
        <v>1862</v>
      </c>
      <c r="E111" s="19" t="s">
        <v>1858</v>
      </c>
      <c r="F111" s="19" t="s">
        <v>1876</v>
      </c>
      <c r="G111" s="19" t="s">
        <v>1883</v>
      </c>
      <c r="H111" s="19">
        <v>8</v>
      </c>
      <c r="I111" s="19">
        <v>4649.35</v>
      </c>
      <c r="J111" s="19">
        <v>37194.8</v>
      </c>
    </row>
    <row r="112" ht="15.25" spans="1:10">
      <c r="A112" s="18" t="s">
        <v>1970</v>
      </c>
      <c r="B112" s="19" t="s">
        <v>1855</v>
      </c>
      <c r="C112" s="19" t="s">
        <v>1864</v>
      </c>
      <c r="D112" s="19" t="s">
        <v>1857</v>
      </c>
      <c r="E112" s="19" t="s">
        <v>1858</v>
      </c>
      <c r="F112" s="19" t="s">
        <v>1852</v>
      </c>
      <c r="G112" s="19" t="s">
        <v>1950</v>
      </c>
      <c r="H112" s="19">
        <v>3</v>
      </c>
      <c r="I112" s="19">
        <v>4027.17</v>
      </c>
      <c r="J112" s="19">
        <v>12081.51</v>
      </c>
    </row>
    <row r="113" ht="15.25" spans="1:10">
      <c r="A113" s="18" t="s">
        <v>1971</v>
      </c>
      <c r="B113" s="19" t="s">
        <v>1892</v>
      </c>
      <c r="C113" s="19" t="s">
        <v>1589</v>
      </c>
      <c r="D113" s="19" t="s">
        <v>1884</v>
      </c>
      <c r="E113" s="19" t="s">
        <v>1895</v>
      </c>
      <c r="F113" s="19" t="s">
        <v>1876</v>
      </c>
      <c r="G113" s="19" t="s">
        <v>1926</v>
      </c>
      <c r="H113" s="19">
        <v>14</v>
      </c>
      <c r="I113" s="19">
        <v>4406.29</v>
      </c>
      <c r="J113" s="19">
        <v>61688.06</v>
      </c>
    </row>
    <row r="114" ht="15.25" spans="1:10">
      <c r="A114" s="18" t="s">
        <v>1972</v>
      </c>
      <c r="B114" s="19" t="s">
        <v>1855</v>
      </c>
      <c r="C114" s="19" t="s">
        <v>1626</v>
      </c>
      <c r="D114" s="19" t="s">
        <v>1857</v>
      </c>
      <c r="E114" s="19" t="s">
        <v>1858</v>
      </c>
      <c r="F114" s="19" t="s">
        <v>1868</v>
      </c>
      <c r="G114" s="19" t="s">
        <v>1907</v>
      </c>
      <c r="H114" s="19">
        <v>20</v>
      </c>
      <c r="I114" s="19">
        <v>4072.4</v>
      </c>
      <c r="J114" s="19">
        <v>81448</v>
      </c>
    </row>
    <row r="115" ht="15.25" spans="1:10">
      <c r="A115" s="18" t="s">
        <v>1973</v>
      </c>
      <c r="B115" s="19" t="s">
        <v>1871</v>
      </c>
      <c r="C115" s="19" t="s">
        <v>1589</v>
      </c>
      <c r="D115" s="19" t="s">
        <v>1884</v>
      </c>
      <c r="E115" s="19" t="s">
        <v>1895</v>
      </c>
      <c r="F115" s="19" t="s">
        <v>1868</v>
      </c>
      <c r="G115" s="19" t="s">
        <v>1917</v>
      </c>
      <c r="H115" s="19">
        <v>1</v>
      </c>
      <c r="I115" s="19">
        <v>4801.38</v>
      </c>
      <c r="J115" s="19">
        <v>4801.38</v>
      </c>
    </row>
    <row r="116" ht="15.25" spans="1:10">
      <c r="A116" s="18">
        <v>45078</v>
      </c>
      <c r="B116" s="19" t="s">
        <v>1878</v>
      </c>
      <c r="C116" s="19" t="s">
        <v>1602</v>
      </c>
      <c r="D116" s="19" t="s">
        <v>1862</v>
      </c>
      <c r="E116" s="19" t="s">
        <v>1858</v>
      </c>
      <c r="F116" s="19" t="s">
        <v>1865</v>
      </c>
      <c r="G116" s="19" t="s">
        <v>1890</v>
      </c>
      <c r="H116" s="19">
        <v>17</v>
      </c>
      <c r="I116" s="19">
        <v>828.26</v>
      </c>
      <c r="J116" s="19">
        <v>14080.42</v>
      </c>
    </row>
    <row r="117" ht="15.25" spans="1:10">
      <c r="A117" s="18">
        <v>45170</v>
      </c>
      <c r="B117" s="19" t="s">
        <v>1867</v>
      </c>
      <c r="C117" s="19" t="s">
        <v>1898</v>
      </c>
      <c r="D117" s="19" t="s">
        <v>1879</v>
      </c>
      <c r="E117" s="19" t="s">
        <v>1851</v>
      </c>
      <c r="F117" s="19" t="s">
        <v>1868</v>
      </c>
      <c r="G117" s="19" t="s">
        <v>1907</v>
      </c>
      <c r="H117" s="19">
        <v>13</v>
      </c>
      <c r="I117" s="19">
        <v>4331.5</v>
      </c>
      <c r="J117" s="19">
        <v>56309.5</v>
      </c>
    </row>
    <row r="118" ht="26.75" spans="1:10">
      <c r="A118" s="18">
        <v>44994</v>
      </c>
      <c r="B118" s="19" t="s">
        <v>1871</v>
      </c>
      <c r="C118" s="19" t="s">
        <v>1598</v>
      </c>
      <c r="D118" s="19" t="s">
        <v>1850</v>
      </c>
      <c r="E118" s="19" t="s">
        <v>1851</v>
      </c>
      <c r="F118" s="19" t="s">
        <v>1865</v>
      </c>
      <c r="G118" s="19" t="s">
        <v>1890</v>
      </c>
      <c r="H118" s="19">
        <v>14</v>
      </c>
      <c r="I118" s="19">
        <v>3404.4</v>
      </c>
      <c r="J118" s="19">
        <v>47661.6</v>
      </c>
    </row>
    <row r="119" ht="26.75" spans="1:10">
      <c r="A119" s="18" t="s">
        <v>1974</v>
      </c>
      <c r="B119" s="19" t="s">
        <v>1892</v>
      </c>
      <c r="C119" s="19" t="s">
        <v>1849</v>
      </c>
      <c r="D119" s="19" t="s">
        <v>1850</v>
      </c>
      <c r="E119" s="19" t="s">
        <v>1851</v>
      </c>
      <c r="F119" s="19" t="s">
        <v>1852</v>
      </c>
      <c r="G119" s="19" t="s">
        <v>1950</v>
      </c>
      <c r="H119" s="19">
        <v>20</v>
      </c>
      <c r="I119" s="19">
        <v>3734.44</v>
      </c>
      <c r="J119" s="19">
        <v>74688.8</v>
      </c>
    </row>
    <row r="120" ht="26.75" spans="1:10">
      <c r="A120" s="18" t="s">
        <v>1975</v>
      </c>
      <c r="B120" s="19" t="s">
        <v>1902</v>
      </c>
      <c r="C120" s="19" t="s">
        <v>1849</v>
      </c>
      <c r="D120" s="19" t="s">
        <v>1850</v>
      </c>
      <c r="E120" s="19" t="s">
        <v>1851</v>
      </c>
      <c r="F120" s="19" t="s">
        <v>1852</v>
      </c>
      <c r="G120" s="19" t="s">
        <v>1910</v>
      </c>
      <c r="H120" s="19">
        <v>6</v>
      </c>
      <c r="I120" s="19">
        <v>112.76</v>
      </c>
      <c r="J120" s="19">
        <v>676.56</v>
      </c>
    </row>
    <row r="121" ht="15.25" spans="1:10">
      <c r="A121" s="18" t="s">
        <v>1976</v>
      </c>
      <c r="B121" s="19" t="s">
        <v>1902</v>
      </c>
      <c r="C121" s="19" t="s">
        <v>1903</v>
      </c>
      <c r="D121" s="19" t="s">
        <v>1884</v>
      </c>
      <c r="E121" s="19" t="s">
        <v>1895</v>
      </c>
      <c r="F121" s="19" t="s">
        <v>1876</v>
      </c>
      <c r="G121" s="19" t="s">
        <v>1877</v>
      </c>
      <c r="H121" s="19">
        <v>6</v>
      </c>
      <c r="I121" s="19">
        <v>4751.77</v>
      </c>
      <c r="J121" s="19">
        <v>28510.62</v>
      </c>
    </row>
    <row r="122" ht="15.25" spans="1:10">
      <c r="A122" s="18">
        <v>45145</v>
      </c>
      <c r="B122" s="19" t="s">
        <v>1861</v>
      </c>
      <c r="C122" s="19" t="s">
        <v>1898</v>
      </c>
      <c r="D122" s="19" t="s">
        <v>1879</v>
      </c>
      <c r="E122" s="19" t="s">
        <v>1851</v>
      </c>
      <c r="F122" s="19" t="s">
        <v>1868</v>
      </c>
      <c r="G122" s="19" t="s">
        <v>1907</v>
      </c>
      <c r="H122" s="19">
        <v>4</v>
      </c>
      <c r="I122" s="19">
        <v>3214.1</v>
      </c>
      <c r="J122" s="19">
        <v>12856.4</v>
      </c>
    </row>
    <row r="123" ht="15.25" spans="1:10">
      <c r="A123" s="18" t="s">
        <v>1977</v>
      </c>
      <c r="B123" s="19" t="s">
        <v>1848</v>
      </c>
      <c r="C123" s="19" t="s">
        <v>1903</v>
      </c>
      <c r="D123" s="19" t="s">
        <v>1884</v>
      </c>
      <c r="E123" s="19" t="s">
        <v>1895</v>
      </c>
      <c r="F123" s="19" t="s">
        <v>1876</v>
      </c>
      <c r="G123" s="19" t="s">
        <v>1883</v>
      </c>
      <c r="H123" s="19">
        <v>20</v>
      </c>
      <c r="I123" s="19">
        <v>598.97</v>
      </c>
      <c r="J123" s="19">
        <v>11979.4</v>
      </c>
    </row>
    <row r="124" ht="26.75" spans="1:10">
      <c r="A124" s="18" t="s">
        <v>1928</v>
      </c>
      <c r="B124" s="19" t="s">
        <v>1902</v>
      </c>
      <c r="C124" s="19" t="s">
        <v>1849</v>
      </c>
      <c r="D124" s="19" t="s">
        <v>1850</v>
      </c>
      <c r="E124" s="19" t="s">
        <v>1851</v>
      </c>
      <c r="F124" s="19" t="s">
        <v>1852</v>
      </c>
      <c r="G124" s="19" t="s">
        <v>1910</v>
      </c>
      <c r="H124" s="19">
        <v>15</v>
      </c>
      <c r="I124" s="19">
        <v>1513.67</v>
      </c>
      <c r="J124" s="19">
        <v>22705.05</v>
      </c>
    </row>
    <row r="125" ht="15.25" spans="1:10">
      <c r="A125" s="18" t="s">
        <v>1978</v>
      </c>
      <c r="B125" s="19" t="s">
        <v>1878</v>
      </c>
      <c r="C125" s="19" t="s">
        <v>1941</v>
      </c>
      <c r="D125" s="19" t="s">
        <v>1879</v>
      </c>
      <c r="E125" s="19" t="s">
        <v>1851</v>
      </c>
      <c r="F125" s="19" t="s">
        <v>1865</v>
      </c>
      <c r="G125" s="19" t="s">
        <v>1886</v>
      </c>
      <c r="H125" s="19">
        <v>6</v>
      </c>
      <c r="I125" s="19">
        <v>194.62</v>
      </c>
      <c r="J125" s="19">
        <v>1167.72</v>
      </c>
    </row>
    <row r="126" ht="15.25" spans="1:10">
      <c r="A126" s="18">
        <v>44938</v>
      </c>
      <c r="B126" s="19" t="s">
        <v>1889</v>
      </c>
      <c r="C126" s="19" t="s">
        <v>1941</v>
      </c>
      <c r="D126" s="19" t="s">
        <v>1879</v>
      </c>
      <c r="E126" s="19" t="s">
        <v>1851</v>
      </c>
      <c r="F126" s="19" t="s">
        <v>1865</v>
      </c>
      <c r="G126" s="19" t="s">
        <v>1886</v>
      </c>
      <c r="H126" s="19">
        <v>6</v>
      </c>
      <c r="I126" s="19">
        <v>4508.3</v>
      </c>
      <c r="J126" s="19">
        <v>27049.8</v>
      </c>
    </row>
    <row r="127" ht="15.25" spans="1:10">
      <c r="A127" s="18">
        <v>45239</v>
      </c>
      <c r="B127" s="19" t="s">
        <v>1874</v>
      </c>
      <c r="C127" s="19" t="s">
        <v>1610</v>
      </c>
      <c r="D127" s="19" t="s">
        <v>1879</v>
      </c>
      <c r="E127" s="19" t="s">
        <v>1851</v>
      </c>
      <c r="F127" s="19" t="s">
        <v>1852</v>
      </c>
      <c r="G127" s="19" t="s">
        <v>1950</v>
      </c>
      <c r="H127" s="19">
        <v>20</v>
      </c>
      <c r="I127" s="19">
        <v>4055.72</v>
      </c>
      <c r="J127" s="19">
        <v>81114.4</v>
      </c>
    </row>
    <row r="128" ht="15.25" spans="1:10">
      <c r="A128" s="18">
        <v>44995</v>
      </c>
      <c r="B128" s="19" t="s">
        <v>1878</v>
      </c>
      <c r="C128" s="19" t="s">
        <v>1864</v>
      </c>
      <c r="D128" s="19" t="s">
        <v>1857</v>
      </c>
      <c r="E128" s="19" t="s">
        <v>1858</v>
      </c>
      <c r="F128" s="19" t="s">
        <v>1852</v>
      </c>
      <c r="G128" s="19" t="s">
        <v>1950</v>
      </c>
      <c r="H128" s="19">
        <v>8</v>
      </c>
      <c r="I128" s="19">
        <v>2986.89</v>
      </c>
      <c r="J128" s="19">
        <v>23895.12</v>
      </c>
    </row>
    <row r="129" ht="15.25" spans="1:10">
      <c r="A129" s="18" t="s">
        <v>1945</v>
      </c>
      <c r="B129" s="19" t="s">
        <v>1871</v>
      </c>
      <c r="C129" s="19" t="s">
        <v>1894</v>
      </c>
      <c r="D129" s="19" t="s">
        <v>1884</v>
      </c>
      <c r="E129" s="19" t="s">
        <v>1895</v>
      </c>
      <c r="F129" s="19" t="s">
        <v>1876</v>
      </c>
      <c r="G129" s="19" t="s">
        <v>1926</v>
      </c>
      <c r="H129" s="19">
        <v>7</v>
      </c>
      <c r="I129" s="19">
        <v>4933.06</v>
      </c>
      <c r="J129" s="19">
        <v>34531.42</v>
      </c>
    </row>
    <row r="130" ht="15.25" spans="1:10">
      <c r="A130" s="18" t="s">
        <v>1979</v>
      </c>
      <c r="B130" s="19" t="s">
        <v>1892</v>
      </c>
      <c r="C130" s="19" t="s">
        <v>1602</v>
      </c>
      <c r="D130" s="19" t="s">
        <v>1862</v>
      </c>
      <c r="E130" s="19" t="s">
        <v>1858</v>
      </c>
      <c r="F130" s="19" t="s">
        <v>1859</v>
      </c>
      <c r="G130" s="19" t="s">
        <v>1860</v>
      </c>
      <c r="H130" s="19">
        <v>4</v>
      </c>
      <c r="I130" s="19">
        <v>4837.17</v>
      </c>
      <c r="J130" s="19">
        <v>19348.68</v>
      </c>
    </row>
    <row r="131" ht="15.25" spans="1:10">
      <c r="A131" s="18">
        <v>45026</v>
      </c>
      <c r="B131" s="19" t="s">
        <v>1878</v>
      </c>
      <c r="C131" s="19" t="s">
        <v>1903</v>
      </c>
      <c r="D131" s="19" t="s">
        <v>1884</v>
      </c>
      <c r="E131" s="19" t="s">
        <v>1895</v>
      </c>
      <c r="F131" s="19" t="s">
        <v>1859</v>
      </c>
      <c r="G131" s="19" t="s">
        <v>1860</v>
      </c>
      <c r="H131" s="19">
        <v>1</v>
      </c>
      <c r="I131" s="19">
        <v>4813.23</v>
      </c>
      <c r="J131" s="19">
        <v>4813.23</v>
      </c>
    </row>
    <row r="132" ht="15.25" spans="1:10">
      <c r="A132" s="18" t="s">
        <v>1909</v>
      </c>
      <c r="B132" s="19" t="s">
        <v>1878</v>
      </c>
      <c r="C132" s="19" t="s">
        <v>1875</v>
      </c>
      <c r="D132" s="19" t="s">
        <v>1862</v>
      </c>
      <c r="E132" s="19" t="s">
        <v>1858</v>
      </c>
      <c r="F132" s="19" t="s">
        <v>1865</v>
      </c>
      <c r="G132" s="19" t="s">
        <v>1920</v>
      </c>
      <c r="H132" s="19">
        <v>16</v>
      </c>
      <c r="I132" s="19">
        <v>3158.66</v>
      </c>
      <c r="J132" s="19">
        <v>50538.56</v>
      </c>
    </row>
    <row r="133" ht="26.75" spans="1:10">
      <c r="A133" s="18">
        <v>45086</v>
      </c>
      <c r="B133" s="19" t="s">
        <v>1855</v>
      </c>
      <c r="C133" s="19" t="s">
        <v>1849</v>
      </c>
      <c r="D133" s="19" t="s">
        <v>1850</v>
      </c>
      <c r="E133" s="19" t="s">
        <v>1851</v>
      </c>
      <c r="F133" s="19" t="s">
        <v>1876</v>
      </c>
      <c r="G133" s="19" t="s">
        <v>1883</v>
      </c>
      <c r="H133" s="19">
        <v>6</v>
      </c>
      <c r="I133" s="19">
        <v>2920.43</v>
      </c>
      <c r="J133" s="19">
        <v>17522.58</v>
      </c>
    </row>
    <row r="134" ht="26.75" spans="1:10">
      <c r="A134" s="18">
        <v>45119</v>
      </c>
      <c r="B134" s="19" t="s">
        <v>1855</v>
      </c>
      <c r="C134" s="19" t="s">
        <v>1849</v>
      </c>
      <c r="D134" s="19" t="s">
        <v>1850</v>
      </c>
      <c r="E134" s="19" t="s">
        <v>1851</v>
      </c>
      <c r="F134" s="19" t="s">
        <v>1865</v>
      </c>
      <c r="G134" s="19" t="s">
        <v>1886</v>
      </c>
      <c r="H134" s="19">
        <v>12</v>
      </c>
      <c r="I134" s="19">
        <v>2170.02</v>
      </c>
      <c r="J134" s="19">
        <v>26040.24</v>
      </c>
    </row>
    <row r="135" ht="26.75" spans="1:10">
      <c r="A135" s="18" t="s">
        <v>1980</v>
      </c>
      <c r="B135" s="19" t="s">
        <v>1871</v>
      </c>
      <c r="C135" s="19" t="s">
        <v>1849</v>
      </c>
      <c r="D135" s="19" t="s">
        <v>1850</v>
      </c>
      <c r="E135" s="19" t="s">
        <v>1851</v>
      </c>
      <c r="F135" s="19" t="s">
        <v>1876</v>
      </c>
      <c r="G135" s="19" t="s">
        <v>1877</v>
      </c>
      <c r="H135" s="19">
        <v>2</v>
      </c>
      <c r="I135" s="19">
        <v>4542.61</v>
      </c>
      <c r="J135" s="19">
        <v>9085.22</v>
      </c>
    </row>
    <row r="136" ht="26.75" spans="1:10">
      <c r="A136" s="18" t="s">
        <v>1870</v>
      </c>
      <c r="B136" s="19" t="s">
        <v>1861</v>
      </c>
      <c r="C136" s="19" t="s">
        <v>1598</v>
      </c>
      <c r="D136" s="19" t="s">
        <v>1850</v>
      </c>
      <c r="E136" s="19" t="s">
        <v>1851</v>
      </c>
      <c r="F136" s="19" t="s">
        <v>1876</v>
      </c>
      <c r="G136" s="19" t="s">
        <v>1877</v>
      </c>
      <c r="H136" s="19">
        <v>1</v>
      </c>
      <c r="I136" s="19">
        <v>3091.48</v>
      </c>
      <c r="J136" s="19">
        <v>3091.48</v>
      </c>
    </row>
    <row r="137" ht="15.25" spans="1:10">
      <c r="A137" s="18">
        <v>45017</v>
      </c>
      <c r="B137" s="19" t="s">
        <v>1878</v>
      </c>
      <c r="C137" s="19" t="s">
        <v>1898</v>
      </c>
      <c r="D137" s="19" t="s">
        <v>1879</v>
      </c>
      <c r="E137" s="19" t="s">
        <v>1851</v>
      </c>
      <c r="F137" s="19" t="s">
        <v>1852</v>
      </c>
      <c r="G137" s="19" t="s">
        <v>1853</v>
      </c>
      <c r="H137" s="19">
        <v>3</v>
      </c>
      <c r="I137" s="19">
        <v>2205.6</v>
      </c>
      <c r="J137" s="19">
        <v>6616.8</v>
      </c>
    </row>
    <row r="138" ht="26.75" spans="1:10">
      <c r="A138" s="18" t="s">
        <v>1981</v>
      </c>
      <c r="B138" s="19" t="s">
        <v>1861</v>
      </c>
      <c r="C138" s="19" t="s">
        <v>1849</v>
      </c>
      <c r="D138" s="19" t="s">
        <v>1850</v>
      </c>
      <c r="E138" s="19" t="s">
        <v>1851</v>
      </c>
      <c r="F138" s="19" t="s">
        <v>1876</v>
      </c>
      <c r="G138" s="19" t="s">
        <v>1926</v>
      </c>
      <c r="H138" s="19">
        <v>10</v>
      </c>
      <c r="I138" s="19">
        <v>4282.18</v>
      </c>
      <c r="J138" s="19">
        <v>42821.8</v>
      </c>
    </row>
    <row r="139" ht="15.25" spans="1:10">
      <c r="A139" s="18" t="s">
        <v>1982</v>
      </c>
      <c r="B139" s="19" t="s">
        <v>1871</v>
      </c>
      <c r="C139" s="19" t="s">
        <v>1602</v>
      </c>
      <c r="D139" s="19" t="s">
        <v>1862</v>
      </c>
      <c r="E139" s="19" t="s">
        <v>1858</v>
      </c>
      <c r="F139" s="19" t="s">
        <v>1859</v>
      </c>
      <c r="G139" s="19" t="s">
        <v>1860</v>
      </c>
      <c r="H139" s="19">
        <v>5</v>
      </c>
      <c r="I139" s="19">
        <v>4252.84</v>
      </c>
      <c r="J139" s="19">
        <v>21264.2</v>
      </c>
    </row>
    <row r="140" ht="15.25" spans="1:10">
      <c r="A140" s="18">
        <v>45139</v>
      </c>
      <c r="B140" s="19" t="s">
        <v>1855</v>
      </c>
      <c r="C140" s="19" t="s">
        <v>1589</v>
      </c>
      <c r="D140" s="19" t="s">
        <v>1884</v>
      </c>
      <c r="E140" s="19" t="s">
        <v>1895</v>
      </c>
      <c r="F140" s="19" t="s">
        <v>1852</v>
      </c>
      <c r="G140" s="19" t="s">
        <v>1950</v>
      </c>
      <c r="H140" s="19">
        <v>3</v>
      </c>
      <c r="I140" s="19">
        <v>916.33</v>
      </c>
      <c r="J140" s="19">
        <v>2748.99</v>
      </c>
    </row>
    <row r="141" ht="15.25" spans="1:10">
      <c r="A141" s="18" t="s">
        <v>1983</v>
      </c>
      <c r="B141" s="19" t="s">
        <v>1855</v>
      </c>
      <c r="C141" s="19" t="s">
        <v>1610</v>
      </c>
      <c r="D141" s="19" t="s">
        <v>1879</v>
      </c>
      <c r="E141" s="19" t="s">
        <v>1851</v>
      </c>
      <c r="F141" s="19" t="s">
        <v>1852</v>
      </c>
      <c r="G141" s="19" t="s">
        <v>1950</v>
      </c>
      <c r="H141" s="19">
        <v>3</v>
      </c>
      <c r="I141" s="19">
        <v>1270.15</v>
      </c>
      <c r="J141" s="19">
        <v>3810.45</v>
      </c>
    </row>
    <row r="142" ht="15.25" spans="1:10">
      <c r="A142" s="18">
        <v>45232</v>
      </c>
      <c r="B142" s="19" t="s">
        <v>1861</v>
      </c>
      <c r="C142" s="19" t="s">
        <v>1856</v>
      </c>
      <c r="D142" s="19" t="s">
        <v>1857</v>
      </c>
      <c r="E142" s="19" t="s">
        <v>1858</v>
      </c>
      <c r="F142" s="19" t="s">
        <v>1852</v>
      </c>
      <c r="G142" s="19" t="s">
        <v>1910</v>
      </c>
      <c r="H142" s="19">
        <v>6</v>
      </c>
      <c r="I142" s="19">
        <v>1750.35</v>
      </c>
      <c r="J142" s="19">
        <v>10502.1</v>
      </c>
    </row>
    <row r="143" ht="15.25" spans="1:10">
      <c r="A143" s="18" t="s">
        <v>1984</v>
      </c>
      <c r="B143" s="19" t="s">
        <v>1848</v>
      </c>
      <c r="C143" s="19" t="s">
        <v>1856</v>
      </c>
      <c r="D143" s="19" t="s">
        <v>1857</v>
      </c>
      <c r="E143" s="19" t="s">
        <v>1858</v>
      </c>
      <c r="F143" s="19" t="s">
        <v>1868</v>
      </c>
      <c r="G143" s="19" t="s">
        <v>1869</v>
      </c>
      <c r="H143" s="19">
        <v>6</v>
      </c>
      <c r="I143" s="19">
        <v>1105.03</v>
      </c>
      <c r="J143" s="19">
        <v>6630.18</v>
      </c>
    </row>
    <row r="144" ht="15.25" spans="1:10">
      <c r="A144" s="18" t="s">
        <v>1985</v>
      </c>
      <c r="B144" s="19" t="s">
        <v>1878</v>
      </c>
      <c r="C144" s="19" t="s">
        <v>1856</v>
      </c>
      <c r="D144" s="19" t="s">
        <v>1857</v>
      </c>
      <c r="E144" s="19" t="s">
        <v>1858</v>
      </c>
      <c r="F144" s="19" t="s">
        <v>1852</v>
      </c>
      <c r="G144" s="19" t="s">
        <v>1853</v>
      </c>
      <c r="H144" s="19">
        <v>17</v>
      </c>
      <c r="I144" s="19">
        <v>1801.69</v>
      </c>
      <c r="J144" s="19">
        <v>30628.73</v>
      </c>
    </row>
    <row r="145" ht="15.25" spans="1:10">
      <c r="A145" s="18">
        <v>45176</v>
      </c>
      <c r="B145" s="19" t="s">
        <v>1889</v>
      </c>
      <c r="C145" s="19" t="s">
        <v>1906</v>
      </c>
      <c r="D145" s="19" t="s">
        <v>1862</v>
      </c>
      <c r="E145" s="19" t="s">
        <v>1858</v>
      </c>
      <c r="F145" s="19" t="s">
        <v>1876</v>
      </c>
      <c r="G145" s="19" t="s">
        <v>1877</v>
      </c>
      <c r="H145" s="19">
        <v>19</v>
      </c>
      <c r="I145" s="19">
        <v>717.29</v>
      </c>
      <c r="J145" s="19">
        <v>13628.51</v>
      </c>
    </row>
    <row r="146" ht="15.25" spans="1:10">
      <c r="A146" s="18" t="s">
        <v>1962</v>
      </c>
      <c r="B146" s="19" t="s">
        <v>1861</v>
      </c>
      <c r="C146" s="19" t="s">
        <v>1941</v>
      </c>
      <c r="D146" s="19" t="s">
        <v>1879</v>
      </c>
      <c r="E146" s="19" t="s">
        <v>1851</v>
      </c>
      <c r="F146" s="19" t="s">
        <v>1859</v>
      </c>
      <c r="G146" s="19" t="s">
        <v>1922</v>
      </c>
      <c r="H146" s="19">
        <v>2</v>
      </c>
      <c r="I146" s="19">
        <v>4547.16</v>
      </c>
      <c r="J146" s="19">
        <v>9094.32</v>
      </c>
    </row>
    <row r="147" ht="15.25" spans="1:10">
      <c r="A147" s="18">
        <v>45027</v>
      </c>
      <c r="B147" s="19" t="s">
        <v>1878</v>
      </c>
      <c r="C147" s="19" t="s">
        <v>1589</v>
      </c>
      <c r="D147" s="19" t="s">
        <v>1884</v>
      </c>
      <c r="E147" s="19" t="s">
        <v>1895</v>
      </c>
      <c r="F147" s="19" t="s">
        <v>1865</v>
      </c>
      <c r="G147" s="19" t="s">
        <v>1866</v>
      </c>
      <c r="H147" s="19">
        <v>2</v>
      </c>
      <c r="I147" s="19">
        <v>4818.49</v>
      </c>
      <c r="J147" s="19">
        <v>9636.98</v>
      </c>
    </row>
    <row r="148" ht="15.25" spans="1:10">
      <c r="A148" s="18">
        <v>45210</v>
      </c>
      <c r="B148" s="19" t="s">
        <v>1867</v>
      </c>
      <c r="C148" s="19" t="s">
        <v>1626</v>
      </c>
      <c r="D148" s="19" t="s">
        <v>1857</v>
      </c>
      <c r="E148" s="19" t="s">
        <v>1858</v>
      </c>
      <c r="F148" s="19" t="s">
        <v>1859</v>
      </c>
      <c r="G148" s="19" t="s">
        <v>1860</v>
      </c>
      <c r="H148" s="19">
        <v>14</v>
      </c>
      <c r="I148" s="19">
        <v>1410.91</v>
      </c>
      <c r="J148" s="19">
        <v>19752.74</v>
      </c>
    </row>
    <row r="149" ht="15.25" spans="1:10">
      <c r="A149" s="18" t="s">
        <v>1986</v>
      </c>
      <c r="B149" s="19" t="s">
        <v>1902</v>
      </c>
      <c r="C149" s="19" t="s">
        <v>1602</v>
      </c>
      <c r="D149" s="19" t="s">
        <v>1862</v>
      </c>
      <c r="E149" s="19" t="s">
        <v>1858</v>
      </c>
      <c r="F149" s="19" t="s">
        <v>1865</v>
      </c>
      <c r="G149" s="19" t="s">
        <v>1866</v>
      </c>
      <c r="H149" s="19">
        <v>20</v>
      </c>
      <c r="I149" s="19">
        <v>239.35</v>
      </c>
      <c r="J149" s="19">
        <v>4787</v>
      </c>
    </row>
    <row r="150" ht="15.25" spans="1:10">
      <c r="A150" s="18">
        <v>44963</v>
      </c>
      <c r="B150" s="19" t="s">
        <v>1871</v>
      </c>
      <c r="C150" s="19" t="s">
        <v>1941</v>
      </c>
      <c r="D150" s="19" t="s">
        <v>1879</v>
      </c>
      <c r="E150" s="19" t="s">
        <v>1851</v>
      </c>
      <c r="F150" s="19" t="s">
        <v>1859</v>
      </c>
      <c r="G150" s="19" t="s">
        <v>1922</v>
      </c>
      <c r="H150" s="19">
        <v>16</v>
      </c>
      <c r="I150" s="19">
        <v>4096.74</v>
      </c>
      <c r="J150" s="19">
        <v>65547.84</v>
      </c>
    </row>
    <row r="151" ht="15.25" spans="1:10">
      <c r="A151" s="18" t="s">
        <v>1987</v>
      </c>
      <c r="B151" s="19" t="s">
        <v>1871</v>
      </c>
      <c r="C151" s="19" t="s">
        <v>1626</v>
      </c>
      <c r="D151" s="19" t="s">
        <v>1857</v>
      </c>
      <c r="E151" s="19" t="s">
        <v>1858</v>
      </c>
      <c r="F151" s="19" t="s">
        <v>1859</v>
      </c>
      <c r="G151" s="19" t="s">
        <v>1872</v>
      </c>
      <c r="H151" s="19">
        <v>14</v>
      </c>
      <c r="I151" s="19">
        <v>3507.25</v>
      </c>
      <c r="J151" s="19">
        <v>49101.5</v>
      </c>
    </row>
    <row r="152" ht="26.75" spans="1:10">
      <c r="A152" s="18" t="s">
        <v>1988</v>
      </c>
      <c r="B152" s="19" t="s">
        <v>1867</v>
      </c>
      <c r="C152" s="19" t="s">
        <v>1598</v>
      </c>
      <c r="D152" s="19" t="s">
        <v>1850</v>
      </c>
      <c r="E152" s="19" t="s">
        <v>1851</v>
      </c>
      <c r="F152" s="19" t="s">
        <v>1859</v>
      </c>
      <c r="G152" s="19" t="s">
        <v>1922</v>
      </c>
      <c r="H152" s="19">
        <v>16</v>
      </c>
      <c r="I152" s="19">
        <v>4507.37</v>
      </c>
      <c r="J152" s="19">
        <v>72117.92</v>
      </c>
    </row>
    <row r="153" ht="15.25" spans="1:10">
      <c r="A153" s="18" t="s">
        <v>1943</v>
      </c>
      <c r="B153" s="19" t="s">
        <v>1871</v>
      </c>
      <c r="C153" s="19" t="s">
        <v>1589</v>
      </c>
      <c r="D153" s="19" t="s">
        <v>1884</v>
      </c>
      <c r="E153" s="19" t="s">
        <v>1895</v>
      </c>
      <c r="F153" s="19" t="s">
        <v>1852</v>
      </c>
      <c r="G153" s="19" t="s">
        <v>1910</v>
      </c>
      <c r="H153" s="19">
        <v>10</v>
      </c>
      <c r="I153" s="19">
        <v>239.55</v>
      </c>
      <c r="J153" s="19">
        <v>2395.5</v>
      </c>
    </row>
    <row r="154" ht="26.75" spans="1:10">
      <c r="A154" s="18" t="s">
        <v>1949</v>
      </c>
      <c r="B154" s="19" t="s">
        <v>1848</v>
      </c>
      <c r="C154" s="19" t="s">
        <v>1849</v>
      </c>
      <c r="D154" s="19" t="s">
        <v>1850</v>
      </c>
      <c r="E154" s="19" t="s">
        <v>1851</v>
      </c>
      <c r="F154" s="19" t="s">
        <v>1859</v>
      </c>
      <c r="G154" s="19" t="s">
        <v>1872</v>
      </c>
      <c r="H154" s="19">
        <v>17</v>
      </c>
      <c r="I154" s="19">
        <v>679.78</v>
      </c>
      <c r="J154" s="19">
        <v>11556.26</v>
      </c>
    </row>
    <row r="155" ht="15.25" spans="1:10">
      <c r="A155" s="18" t="s">
        <v>1989</v>
      </c>
      <c r="B155" s="19" t="s">
        <v>1871</v>
      </c>
      <c r="C155" s="19" t="s">
        <v>1875</v>
      </c>
      <c r="D155" s="19" t="s">
        <v>1862</v>
      </c>
      <c r="E155" s="19" t="s">
        <v>1858</v>
      </c>
      <c r="F155" s="19" t="s">
        <v>1852</v>
      </c>
      <c r="G155" s="19" t="s">
        <v>1950</v>
      </c>
      <c r="H155" s="19">
        <v>18</v>
      </c>
      <c r="I155" s="19">
        <v>2658.57</v>
      </c>
      <c r="J155" s="19">
        <v>47854.26</v>
      </c>
    </row>
    <row r="156" ht="15.25" spans="1:10">
      <c r="A156" s="18" t="s">
        <v>1967</v>
      </c>
      <c r="B156" s="19" t="s">
        <v>1889</v>
      </c>
      <c r="C156" s="19" t="s">
        <v>1856</v>
      </c>
      <c r="D156" s="19" t="s">
        <v>1857</v>
      </c>
      <c r="E156" s="19" t="s">
        <v>1858</v>
      </c>
      <c r="F156" s="19" t="s">
        <v>1852</v>
      </c>
      <c r="G156" s="19" t="s">
        <v>1853</v>
      </c>
      <c r="H156" s="19">
        <v>18</v>
      </c>
      <c r="I156" s="19">
        <v>4937.99</v>
      </c>
      <c r="J156" s="19">
        <v>88883.82</v>
      </c>
    </row>
    <row r="157" ht="15.25" spans="1:10">
      <c r="A157" s="18" t="s">
        <v>1971</v>
      </c>
      <c r="B157" s="19" t="s">
        <v>1889</v>
      </c>
      <c r="C157" s="19" t="s">
        <v>1898</v>
      </c>
      <c r="D157" s="19" t="s">
        <v>1879</v>
      </c>
      <c r="E157" s="19" t="s">
        <v>1851</v>
      </c>
      <c r="F157" s="19" t="s">
        <v>1852</v>
      </c>
      <c r="G157" s="19" t="s">
        <v>1934</v>
      </c>
      <c r="H157" s="19">
        <v>17</v>
      </c>
      <c r="I157" s="19">
        <v>3421.31</v>
      </c>
      <c r="J157" s="19">
        <v>58162.27</v>
      </c>
    </row>
    <row r="158" ht="15.25" spans="1:10">
      <c r="A158" s="18" t="s">
        <v>1982</v>
      </c>
      <c r="B158" s="19" t="s">
        <v>1902</v>
      </c>
      <c r="C158" s="19" t="s">
        <v>1903</v>
      </c>
      <c r="D158" s="19" t="s">
        <v>1884</v>
      </c>
      <c r="E158" s="19" t="s">
        <v>1895</v>
      </c>
      <c r="F158" s="19" t="s">
        <v>1876</v>
      </c>
      <c r="G158" s="19" t="s">
        <v>1877</v>
      </c>
      <c r="H158" s="19">
        <v>4</v>
      </c>
      <c r="I158" s="19">
        <v>1555.9</v>
      </c>
      <c r="J158" s="19">
        <v>6223.6</v>
      </c>
    </row>
    <row r="159" ht="26.75" spans="1:10">
      <c r="A159" s="18" t="s">
        <v>1990</v>
      </c>
      <c r="B159" s="19" t="s">
        <v>1874</v>
      </c>
      <c r="C159" s="19" t="s">
        <v>1598</v>
      </c>
      <c r="D159" s="19" t="s">
        <v>1850</v>
      </c>
      <c r="E159" s="19" t="s">
        <v>1851</v>
      </c>
      <c r="F159" s="19" t="s">
        <v>1876</v>
      </c>
      <c r="G159" s="19" t="s">
        <v>1877</v>
      </c>
      <c r="H159" s="19">
        <v>12</v>
      </c>
      <c r="I159" s="19">
        <v>932.42</v>
      </c>
      <c r="J159" s="19">
        <v>11189.04</v>
      </c>
    </row>
    <row r="160" ht="15.25" spans="1:10">
      <c r="A160" s="18" t="s">
        <v>1973</v>
      </c>
      <c r="B160" s="19" t="s">
        <v>1871</v>
      </c>
      <c r="C160" s="19" t="s">
        <v>1875</v>
      </c>
      <c r="D160" s="19" t="s">
        <v>1862</v>
      </c>
      <c r="E160" s="19" t="s">
        <v>1858</v>
      </c>
      <c r="F160" s="19" t="s">
        <v>1852</v>
      </c>
      <c r="G160" s="19" t="s">
        <v>1950</v>
      </c>
      <c r="H160" s="19">
        <v>20</v>
      </c>
      <c r="I160" s="19">
        <v>459.48</v>
      </c>
      <c r="J160" s="19">
        <v>9189.6</v>
      </c>
    </row>
    <row r="161" ht="15.25" spans="1:10">
      <c r="A161" s="18" t="s">
        <v>1963</v>
      </c>
      <c r="B161" s="19" t="s">
        <v>1855</v>
      </c>
      <c r="C161" s="19" t="s">
        <v>1602</v>
      </c>
      <c r="D161" s="19" t="s">
        <v>1862</v>
      </c>
      <c r="E161" s="19" t="s">
        <v>1858</v>
      </c>
      <c r="F161" s="19" t="s">
        <v>1876</v>
      </c>
      <c r="G161" s="19" t="s">
        <v>1926</v>
      </c>
      <c r="H161" s="19">
        <v>5</v>
      </c>
      <c r="I161" s="19">
        <v>568.87</v>
      </c>
      <c r="J161" s="19">
        <v>2844.35</v>
      </c>
    </row>
    <row r="162" ht="15.25" spans="1:10">
      <c r="A162" s="18" t="s">
        <v>1958</v>
      </c>
      <c r="B162" s="19" t="s">
        <v>1861</v>
      </c>
      <c r="C162" s="19" t="s">
        <v>1906</v>
      </c>
      <c r="D162" s="19" t="s">
        <v>1862</v>
      </c>
      <c r="E162" s="19" t="s">
        <v>1858</v>
      </c>
      <c r="F162" s="19" t="s">
        <v>1865</v>
      </c>
      <c r="G162" s="19" t="s">
        <v>1920</v>
      </c>
      <c r="H162" s="19">
        <v>10</v>
      </c>
      <c r="I162" s="19">
        <v>1468.96</v>
      </c>
      <c r="J162" s="19">
        <v>14689.6</v>
      </c>
    </row>
    <row r="163" ht="15.25" spans="1:10">
      <c r="A163" s="18" t="s">
        <v>1981</v>
      </c>
      <c r="B163" s="19" t="s">
        <v>1902</v>
      </c>
      <c r="C163" s="19" t="s">
        <v>1903</v>
      </c>
      <c r="D163" s="19" t="s">
        <v>1884</v>
      </c>
      <c r="E163" s="19" t="s">
        <v>1895</v>
      </c>
      <c r="F163" s="19" t="s">
        <v>1852</v>
      </c>
      <c r="G163" s="19" t="s">
        <v>1950</v>
      </c>
      <c r="H163" s="19">
        <v>6</v>
      </c>
      <c r="I163" s="19">
        <v>3080.25</v>
      </c>
      <c r="J163" s="19">
        <v>18481.5</v>
      </c>
    </row>
    <row r="164" ht="15.25" spans="1:10">
      <c r="A164" s="18" t="s">
        <v>1991</v>
      </c>
      <c r="B164" s="19" t="s">
        <v>1902</v>
      </c>
      <c r="C164" s="19" t="s">
        <v>1602</v>
      </c>
      <c r="D164" s="19" t="s">
        <v>1862</v>
      </c>
      <c r="E164" s="19" t="s">
        <v>1858</v>
      </c>
      <c r="F164" s="19" t="s">
        <v>1865</v>
      </c>
      <c r="G164" s="19" t="s">
        <v>1886</v>
      </c>
      <c r="H164" s="19">
        <v>11</v>
      </c>
      <c r="I164" s="19">
        <v>1817.43</v>
      </c>
      <c r="J164" s="19">
        <v>19991.73</v>
      </c>
    </row>
    <row r="165" ht="15.25" spans="1:10">
      <c r="A165" s="18" t="s">
        <v>1992</v>
      </c>
      <c r="B165" s="19" t="s">
        <v>1848</v>
      </c>
      <c r="C165" s="19" t="s">
        <v>1589</v>
      </c>
      <c r="D165" s="19" t="s">
        <v>1884</v>
      </c>
      <c r="E165" s="19" t="s">
        <v>1895</v>
      </c>
      <c r="F165" s="19" t="s">
        <v>1859</v>
      </c>
      <c r="G165" s="19" t="s">
        <v>1922</v>
      </c>
      <c r="H165" s="19">
        <v>19</v>
      </c>
      <c r="I165" s="19">
        <v>3800.55</v>
      </c>
      <c r="J165" s="19">
        <v>72210.45</v>
      </c>
    </row>
    <row r="166" ht="15.25" spans="1:10">
      <c r="A166" s="18" t="s">
        <v>1993</v>
      </c>
      <c r="B166" s="19" t="s">
        <v>1874</v>
      </c>
      <c r="C166" s="19" t="s">
        <v>1941</v>
      </c>
      <c r="D166" s="19" t="s">
        <v>1879</v>
      </c>
      <c r="E166" s="19" t="s">
        <v>1851</v>
      </c>
      <c r="F166" s="19" t="s">
        <v>1876</v>
      </c>
      <c r="G166" s="19" t="s">
        <v>1877</v>
      </c>
      <c r="H166" s="19">
        <v>17</v>
      </c>
      <c r="I166" s="19">
        <v>2809.13</v>
      </c>
      <c r="J166" s="19">
        <v>47755.21</v>
      </c>
    </row>
    <row r="167" ht="15.25" spans="1:10">
      <c r="A167" s="18">
        <v>45083</v>
      </c>
      <c r="B167" s="19" t="s">
        <v>1861</v>
      </c>
      <c r="C167" s="19" t="s">
        <v>1875</v>
      </c>
      <c r="D167" s="19" t="s">
        <v>1862</v>
      </c>
      <c r="E167" s="19" t="s">
        <v>1858</v>
      </c>
      <c r="F167" s="19" t="s">
        <v>1859</v>
      </c>
      <c r="G167" s="19" t="s">
        <v>1860</v>
      </c>
      <c r="H167" s="19">
        <v>9</v>
      </c>
      <c r="I167" s="19">
        <v>4712.98</v>
      </c>
      <c r="J167" s="19">
        <v>42416.82</v>
      </c>
    </row>
    <row r="168" ht="15.25" spans="1:10">
      <c r="A168" s="18">
        <v>44969</v>
      </c>
      <c r="B168" s="19" t="s">
        <v>1861</v>
      </c>
      <c r="C168" s="19" t="s">
        <v>1941</v>
      </c>
      <c r="D168" s="19" t="s">
        <v>1879</v>
      </c>
      <c r="E168" s="19" t="s">
        <v>1851</v>
      </c>
      <c r="F168" s="19" t="s">
        <v>1876</v>
      </c>
      <c r="G168" s="19" t="s">
        <v>1930</v>
      </c>
      <c r="H168" s="19">
        <v>1</v>
      </c>
      <c r="I168" s="19">
        <v>4541.77</v>
      </c>
      <c r="J168" s="19">
        <v>4541.77</v>
      </c>
    </row>
    <row r="169" ht="15.25" spans="1:10">
      <c r="A169" s="18">
        <v>44988</v>
      </c>
      <c r="B169" s="19" t="s">
        <v>1878</v>
      </c>
      <c r="C169" s="19" t="s">
        <v>1894</v>
      </c>
      <c r="D169" s="19" t="s">
        <v>1884</v>
      </c>
      <c r="E169" s="19" t="s">
        <v>1895</v>
      </c>
      <c r="F169" s="19" t="s">
        <v>1876</v>
      </c>
      <c r="G169" s="19" t="s">
        <v>1883</v>
      </c>
      <c r="H169" s="19">
        <v>9</v>
      </c>
      <c r="I169" s="19">
        <v>3122.72</v>
      </c>
      <c r="J169" s="19">
        <v>28104.48</v>
      </c>
    </row>
    <row r="170" ht="26.75" spans="1:10">
      <c r="A170" s="18" t="s">
        <v>1986</v>
      </c>
      <c r="B170" s="19" t="s">
        <v>1874</v>
      </c>
      <c r="C170" s="19" t="s">
        <v>1593</v>
      </c>
      <c r="D170" s="19" t="s">
        <v>1850</v>
      </c>
      <c r="E170" s="19" t="s">
        <v>1851</v>
      </c>
      <c r="F170" s="19" t="s">
        <v>1859</v>
      </c>
      <c r="G170" s="19" t="s">
        <v>1922</v>
      </c>
      <c r="H170" s="19">
        <v>9</v>
      </c>
      <c r="I170" s="19">
        <v>4198.92</v>
      </c>
      <c r="J170" s="19">
        <v>37790.28</v>
      </c>
    </row>
    <row r="171" ht="15.25" spans="1:10">
      <c r="A171" s="18">
        <v>45019</v>
      </c>
      <c r="B171" s="19" t="s">
        <v>1871</v>
      </c>
      <c r="C171" s="19" t="s">
        <v>1856</v>
      </c>
      <c r="D171" s="19" t="s">
        <v>1857</v>
      </c>
      <c r="E171" s="19" t="s">
        <v>1858</v>
      </c>
      <c r="F171" s="19" t="s">
        <v>1852</v>
      </c>
      <c r="G171" s="19" t="s">
        <v>1934</v>
      </c>
      <c r="H171" s="19">
        <v>17</v>
      </c>
      <c r="I171" s="19">
        <v>4415.85</v>
      </c>
      <c r="J171" s="19">
        <v>75069.45</v>
      </c>
    </row>
    <row r="172" ht="15.25" spans="1:10">
      <c r="A172" s="18" t="s">
        <v>1994</v>
      </c>
      <c r="B172" s="19" t="s">
        <v>1892</v>
      </c>
      <c r="C172" s="19" t="s">
        <v>1602</v>
      </c>
      <c r="D172" s="19" t="s">
        <v>1862</v>
      </c>
      <c r="E172" s="19" t="s">
        <v>1858</v>
      </c>
      <c r="F172" s="19" t="s">
        <v>1868</v>
      </c>
      <c r="G172" s="19" t="s">
        <v>1907</v>
      </c>
      <c r="H172" s="19">
        <v>16</v>
      </c>
      <c r="I172" s="19">
        <v>4684.86</v>
      </c>
      <c r="J172" s="19">
        <v>74957.76</v>
      </c>
    </row>
    <row r="173" ht="15.25" spans="1:10">
      <c r="A173" s="18" t="s">
        <v>1870</v>
      </c>
      <c r="B173" s="19" t="s">
        <v>1861</v>
      </c>
      <c r="C173" s="19" t="s">
        <v>1602</v>
      </c>
      <c r="D173" s="19" t="s">
        <v>1862</v>
      </c>
      <c r="E173" s="19" t="s">
        <v>1858</v>
      </c>
      <c r="F173" s="19" t="s">
        <v>1852</v>
      </c>
      <c r="G173" s="19" t="s">
        <v>1910</v>
      </c>
      <c r="H173" s="19">
        <v>17</v>
      </c>
      <c r="I173" s="19">
        <v>4156.25</v>
      </c>
      <c r="J173" s="19">
        <v>70656.25</v>
      </c>
    </row>
    <row r="174" ht="15.25" spans="1:10">
      <c r="A174" s="18">
        <v>45051</v>
      </c>
      <c r="B174" s="19" t="s">
        <v>1861</v>
      </c>
      <c r="C174" s="19" t="s">
        <v>1856</v>
      </c>
      <c r="D174" s="19" t="s">
        <v>1857</v>
      </c>
      <c r="E174" s="19" t="s">
        <v>1858</v>
      </c>
      <c r="F174" s="19" t="s">
        <v>1859</v>
      </c>
      <c r="G174" s="19" t="s">
        <v>1922</v>
      </c>
      <c r="H174" s="19">
        <v>10</v>
      </c>
      <c r="I174" s="19">
        <v>3776.8</v>
      </c>
      <c r="J174" s="19">
        <v>37768</v>
      </c>
    </row>
    <row r="175" ht="15.25" spans="1:10">
      <c r="A175" s="18" t="s">
        <v>1921</v>
      </c>
      <c r="B175" s="19" t="s">
        <v>1889</v>
      </c>
      <c r="C175" s="19" t="s">
        <v>1898</v>
      </c>
      <c r="D175" s="19" t="s">
        <v>1879</v>
      </c>
      <c r="E175" s="19" t="s">
        <v>1851</v>
      </c>
      <c r="F175" s="19" t="s">
        <v>1876</v>
      </c>
      <c r="G175" s="19" t="s">
        <v>1877</v>
      </c>
      <c r="H175" s="19">
        <v>8</v>
      </c>
      <c r="I175" s="19">
        <v>310.33</v>
      </c>
      <c r="J175" s="19">
        <v>2482.64</v>
      </c>
    </row>
    <row r="176" ht="15.25" spans="1:10">
      <c r="A176" s="18">
        <v>45051</v>
      </c>
      <c r="B176" s="19" t="s">
        <v>1871</v>
      </c>
      <c r="C176" s="19" t="s">
        <v>1941</v>
      </c>
      <c r="D176" s="19" t="s">
        <v>1879</v>
      </c>
      <c r="E176" s="19" t="s">
        <v>1851</v>
      </c>
      <c r="F176" s="19" t="s">
        <v>1868</v>
      </c>
      <c r="G176" s="19" t="s">
        <v>1899</v>
      </c>
      <c r="H176" s="19">
        <v>5</v>
      </c>
      <c r="I176" s="19">
        <v>1313.4</v>
      </c>
      <c r="J176" s="19">
        <v>6567</v>
      </c>
    </row>
    <row r="177" ht="26.75" spans="1:10">
      <c r="A177" s="18" t="s">
        <v>1995</v>
      </c>
      <c r="B177" s="19" t="s">
        <v>1902</v>
      </c>
      <c r="C177" s="19" t="s">
        <v>1849</v>
      </c>
      <c r="D177" s="19" t="s">
        <v>1850</v>
      </c>
      <c r="E177" s="19" t="s">
        <v>1851</v>
      </c>
      <c r="F177" s="19" t="s">
        <v>1868</v>
      </c>
      <c r="G177" s="19" t="s">
        <v>1907</v>
      </c>
      <c r="H177" s="19">
        <v>6</v>
      </c>
      <c r="I177" s="19">
        <v>2332.11</v>
      </c>
      <c r="J177" s="19">
        <v>13992.66</v>
      </c>
    </row>
    <row r="178" ht="15.25" spans="1:10">
      <c r="A178" s="18" t="s">
        <v>1996</v>
      </c>
      <c r="B178" s="19" t="s">
        <v>1855</v>
      </c>
      <c r="C178" s="19" t="s">
        <v>1589</v>
      </c>
      <c r="D178" s="19" t="s">
        <v>1884</v>
      </c>
      <c r="E178" s="19" t="s">
        <v>1895</v>
      </c>
      <c r="F178" s="19" t="s">
        <v>1859</v>
      </c>
      <c r="G178" s="19" t="s">
        <v>1947</v>
      </c>
      <c r="H178" s="19">
        <v>3</v>
      </c>
      <c r="I178" s="19">
        <v>4955.22</v>
      </c>
      <c r="J178" s="19">
        <v>14865.66</v>
      </c>
    </row>
    <row r="179" ht="26.75" spans="1:10">
      <c r="A179" s="18" t="s">
        <v>1997</v>
      </c>
      <c r="B179" s="19" t="s">
        <v>1855</v>
      </c>
      <c r="C179" s="19" t="s">
        <v>1849</v>
      </c>
      <c r="D179" s="19" t="s">
        <v>1850</v>
      </c>
      <c r="E179" s="19" t="s">
        <v>1851</v>
      </c>
      <c r="F179" s="19" t="s">
        <v>1852</v>
      </c>
      <c r="G179" s="19" t="s">
        <v>1853</v>
      </c>
      <c r="H179" s="19">
        <v>17</v>
      </c>
      <c r="I179" s="19">
        <v>3827.64</v>
      </c>
      <c r="J179" s="19">
        <v>65069.88</v>
      </c>
    </row>
    <row r="180" ht="15.25" spans="1:10">
      <c r="A180" s="18">
        <v>45025</v>
      </c>
      <c r="B180" s="19" t="s">
        <v>1848</v>
      </c>
      <c r="C180" s="19" t="s">
        <v>1898</v>
      </c>
      <c r="D180" s="19" t="s">
        <v>1879</v>
      </c>
      <c r="E180" s="19" t="s">
        <v>1851</v>
      </c>
      <c r="F180" s="19" t="s">
        <v>1865</v>
      </c>
      <c r="G180" s="19" t="s">
        <v>1866</v>
      </c>
      <c r="H180" s="19">
        <v>17</v>
      </c>
      <c r="I180" s="19">
        <v>3857.33</v>
      </c>
      <c r="J180" s="19">
        <v>65574.61</v>
      </c>
    </row>
    <row r="181" ht="15.25" spans="1:10">
      <c r="A181" s="18" t="s">
        <v>1998</v>
      </c>
      <c r="B181" s="19" t="s">
        <v>1861</v>
      </c>
      <c r="C181" s="19" t="s">
        <v>1864</v>
      </c>
      <c r="D181" s="19" t="s">
        <v>1857</v>
      </c>
      <c r="E181" s="19" t="s">
        <v>1858</v>
      </c>
      <c r="F181" s="19" t="s">
        <v>1865</v>
      </c>
      <c r="G181" s="19" t="s">
        <v>1890</v>
      </c>
      <c r="H181" s="19">
        <v>8</v>
      </c>
      <c r="I181" s="19">
        <v>1421.21</v>
      </c>
      <c r="J181" s="19">
        <v>11369.68</v>
      </c>
    </row>
    <row r="182" ht="26.75" spans="1:10">
      <c r="A182" s="18" t="s">
        <v>1999</v>
      </c>
      <c r="B182" s="19" t="s">
        <v>1855</v>
      </c>
      <c r="C182" s="19" t="s">
        <v>1593</v>
      </c>
      <c r="D182" s="19" t="s">
        <v>1850</v>
      </c>
      <c r="E182" s="19" t="s">
        <v>1851</v>
      </c>
      <c r="F182" s="19" t="s">
        <v>1868</v>
      </c>
      <c r="G182" s="19" t="s">
        <v>1917</v>
      </c>
      <c r="H182" s="19">
        <v>1</v>
      </c>
      <c r="I182" s="19">
        <v>1544.87</v>
      </c>
      <c r="J182" s="19">
        <v>1544.87</v>
      </c>
    </row>
    <row r="183" ht="15.25" spans="1:10">
      <c r="A183" s="18" t="s">
        <v>2000</v>
      </c>
      <c r="B183" s="19" t="s">
        <v>1861</v>
      </c>
      <c r="C183" s="19" t="s">
        <v>1898</v>
      </c>
      <c r="D183" s="19" t="s">
        <v>1879</v>
      </c>
      <c r="E183" s="19" t="s">
        <v>1851</v>
      </c>
      <c r="F183" s="19" t="s">
        <v>1868</v>
      </c>
      <c r="G183" s="19" t="s">
        <v>1907</v>
      </c>
      <c r="H183" s="19">
        <v>14</v>
      </c>
      <c r="I183" s="19">
        <v>2764.71</v>
      </c>
      <c r="J183" s="19">
        <v>38705.94</v>
      </c>
    </row>
    <row r="184" ht="15.25" spans="1:10">
      <c r="A184" s="18">
        <v>45023</v>
      </c>
      <c r="B184" s="19" t="s">
        <v>1874</v>
      </c>
      <c r="C184" s="19" t="s">
        <v>1875</v>
      </c>
      <c r="D184" s="19" t="s">
        <v>1862</v>
      </c>
      <c r="E184" s="19" t="s">
        <v>1858</v>
      </c>
      <c r="F184" s="19" t="s">
        <v>1865</v>
      </c>
      <c r="G184" s="19" t="s">
        <v>1866</v>
      </c>
      <c r="H184" s="19">
        <v>9</v>
      </c>
      <c r="I184" s="19">
        <v>2210.8</v>
      </c>
      <c r="J184" s="19">
        <v>19897.2</v>
      </c>
    </row>
    <row r="185" ht="15.25" spans="1:10">
      <c r="A185" s="18">
        <v>44958</v>
      </c>
      <c r="B185" s="19" t="s">
        <v>1861</v>
      </c>
      <c r="C185" s="19" t="s">
        <v>1626</v>
      </c>
      <c r="D185" s="19" t="s">
        <v>1857</v>
      </c>
      <c r="E185" s="19" t="s">
        <v>1858</v>
      </c>
      <c r="F185" s="19" t="s">
        <v>1852</v>
      </c>
      <c r="G185" s="19" t="s">
        <v>1950</v>
      </c>
      <c r="H185" s="19">
        <v>3</v>
      </c>
      <c r="I185" s="19">
        <v>4359.9</v>
      </c>
      <c r="J185" s="19">
        <v>13079.7</v>
      </c>
    </row>
    <row r="186" ht="15.25" spans="1:10">
      <c r="A186" s="18" t="s">
        <v>1909</v>
      </c>
      <c r="B186" s="19" t="s">
        <v>1889</v>
      </c>
      <c r="C186" s="19" t="s">
        <v>1602</v>
      </c>
      <c r="D186" s="19" t="s">
        <v>1862</v>
      </c>
      <c r="E186" s="19" t="s">
        <v>1858</v>
      </c>
      <c r="F186" s="19" t="s">
        <v>1852</v>
      </c>
      <c r="G186" s="19" t="s">
        <v>1853</v>
      </c>
      <c r="H186" s="19">
        <v>7</v>
      </c>
      <c r="I186" s="19">
        <v>3836.77</v>
      </c>
      <c r="J186" s="19">
        <v>26857.39</v>
      </c>
    </row>
    <row r="187" ht="15.25" spans="1:10">
      <c r="A187" s="18" t="s">
        <v>2001</v>
      </c>
      <c r="B187" s="19" t="s">
        <v>1878</v>
      </c>
      <c r="C187" s="19" t="s">
        <v>1898</v>
      </c>
      <c r="D187" s="19" t="s">
        <v>1879</v>
      </c>
      <c r="E187" s="19" t="s">
        <v>1851</v>
      </c>
      <c r="F187" s="19" t="s">
        <v>1859</v>
      </c>
      <c r="G187" s="19" t="s">
        <v>1922</v>
      </c>
      <c r="H187" s="19">
        <v>7</v>
      </c>
      <c r="I187" s="19">
        <v>560.58</v>
      </c>
      <c r="J187" s="19">
        <v>3924.06</v>
      </c>
    </row>
    <row r="188" ht="15.25" spans="1:10">
      <c r="A188" s="18">
        <v>45266</v>
      </c>
      <c r="B188" s="19" t="s">
        <v>1871</v>
      </c>
      <c r="C188" s="19" t="s">
        <v>1894</v>
      </c>
      <c r="D188" s="19" t="s">
        <v>1884</v>
      </c>
      <c r="E188" s="19" t="s">
        <v>1895</v>
      </c>
      <c r="F188" s="19" t="s">
        <v>1876</v>
      </c>
      <c r="G188" s="19" t="s">
        <v>1877</v>
      </c>
      <c r="H188" s="19">
        <v>17</v>
      </c>
      <c r="I188" s="19">
        <v>1574.45</v>
      </c>
      <c r="J188" s="19">
        <v>26765.65</v>
      </c>
    </row>
    <row r="189" ht="15.25" spans="1:10">
      <c r="A189" s="18">
        <v>44960</v>
      </c>
      <c r="B189" s="19" t="s">
        <v>1867</v>
      </c>
      <c r="C189" s="19" t="s">
        <v>1894</v>
      </c>
      <c r="D189" s="19" t="s">
        <v>1884</v>
      </c>
      <c r="E189" s="19" t="s">
        <v>1895</v>
      </c>
      <c r="F189" s="19" t="s">
        <v>1852</v>
      </c>
      <c r="G189" s="19" t="s">
        <v>1853</v>
      </c>
      <c r="H189" s="19">
        <v>17</v>
      </c>
      <c r="I189" s="19">
        <v>578.67</v>
      </c>
      <c r="J189" s="19">
        <v>9837.39</v>
      </c>
    </row>
    <row r="190" ht="15.25" spans="1:10">
      <c r="A190" s="18" t="s">
        <v>1944</v>
      </c>
      <c r="B190" s="19" t="s">
        <v>1878</v>
      </c>
      <c r="C190" s="19" t="s">
        <v>1856</v>
      </c>
      <c r="D190" s="19" t="s">
        <v>1857</v>
      </c>
      <c r="E190" s="19" t="s">
        <v>1858</v>
      </c>
      <c r="F190" s="19" t="s">
        <v>1868</v>
      </c>
      <c r="G190" s="19" t="s">
        <v>1869</v>
      </c>
      <c r="H190" s="19">
        <v>19</v>
      </c>
      <c r="I190" s="19">
        <v>1441.02</v>
      </c>
      <c r="J190" s="19">
        <v>27379.38</v>
      </c>
    </row>
    <row r="191" ht="15.25" spans="1:10">
      <c r="A191" s="18" t="s">
        <v>2002</v>
      </c>
      <c r="B191" s="19" t="s">
        <v>1848</v>
      </c>
      <c r="C191" s="19" t="s">
        <v>1626</v>
      </c>
      <c r="D191" s="19" t="s">
        <v>1857</v>
      </c>
      <c r="E191" s="19" t="s">
        <v>1858</v>
      </c>
      <c r="F191" s="19" t="s">
        <v>1852</v>
      </c>
      <c r="G191" s="19" t="s">
        <v>1934</v>
      </c>
      <c r="H191" s="19">
        <v>19</v>
      </c>
      <c r="I191" s="19">
        <v>618.02</v>
      </c>
      <c r="J191" s="19">
        <v>11742.38</v>
      </c>
    </row>
    <row r="192" ht="15.25" spans="1:10">
      <c r="A192" s="18" t="s">
        <v>1988</v>
      </c>
      <c r="B192" s="19" t="s">
        <v>1889</v>
      </c>
      <c r="C192" s="19" t="s">
        <v>1941</v>
      </c>
      <c r="D192" s="19" t="s">
        <v>1879</v>
      </c>
      <c r="E192" s="19" t="s">
        <v>1851</v>
      </c>
      <c r="F192" s="19" t="s">
        <v>1859</v>
      </c>
      <c r="G192" s="19" t="s">
        <v>1872</v>
      </c>
      <c r="H192" s="19">
        <v>15</v>
      </c>
      <c r="I192" s="19">
        <v>4093.93</v>
      </c>
      <c r="J192" s="19">
        <v>61408.95</v>
      </c>
    </row>
    <row r="193" ht="15.25" spans="1:10">
      <c r="A193" s="18" t="s">
        <v>1974</v>
      </c>
      <c r="B193" s="19" t="s">
        <v>1855</v>
      </c>
      <c r="C193" s="19" t="s">
        <v>1610</v>
      </c>
      <c r="D193" s="19" t="s">
        <v>1879</v>
      </c>
      <c r="E193" s="19" t="s">
        <v>1851</v>
      </c>
      <c r="F193" s="19" t="s">
        <v>1852</v>
      </c>
      <c r="G193" s="19" t="s">
        <v>1910</v>
      </c>
      <c r="H193" s="19">
        <v>16</v>
      </c>
      <c r="I193" s="19">
        <v>2714.37</v>
      </c>
      <c r="J193" s="19">
        <v>43429.92</v>
      </c>
    </row>
    <row r="194" ht="15.25" spans="1:10">
      <c r="A194" s="18" t="s">
        <v>1973</v>
      </c>
      <c r="B194" s="19" t="s">
        <v>1874</v>
      </c>
      <c r="C194" s="19" t="s">
        <v>1941</v>
      </c>
      <c r="D194" s="19" t="s">
        <v>1879</v>
      </c>
      <c r="E194" s="19" t="s">
        <v>1851</v>
      </c>
      <c r="F194" s="19" t="s">
        <v>1865</v>
      </c>
      <c r="G194" s="19" t="s">
        <v>1866</v>
      </c>
      <c r="H194" s="19">
        <v>8</v>
      </c>
      <c r="I194" s="19">
        <v>4658.57</v>
      </c>
      <c r="J194" s="19">
        <v>37268.56</v>
      </c>
    </row>
    <row r="195" ht="26.75" spans="1:10">
      <c r="A195" s="18">
        <v>45268</v>
      </c>
      <c r="B195" s="19" t="s">
        <v>1878</v>
      </c>
      <c r="C195" s="19" t="s">
        <v>1849</v>
      </c>
      <c r="D195" s="19" t="s">
        <v>1850</v>
      </c>
      <c r="E195" s="19" t="s">
        <v>1851</v>
      </c>
      <c r="F195" s="19" t="s">
        <v>1859</v>
      </c>
      <c r="G195" s="19" t="s">
        <v>1947</v>
      </c>
      <c r="H195" s="19">
        <v>20</v>
      </c>
      <c r="I195" s="19">
        <v>3203.76</v>
      </c>
      <c r="J195" s="19">
        <v>64075.2</v>
      </c>
    </row>
    <row r="196" ht="15.25" spans="1:10">
      <c r="A196" s="18" t="s">
        <v>1893</v>
      </c>
      <c r="B196" s="19" t="s">
        <v>1878</v>
      </c>
      <c r="C196" s="19" t="s">
        <v>1903</v>
      </c>
      <c r="D196" s="19" t="s">
        <v>1884</v>
      </c>
      <c r="E196" s="19" t="s">
        <v>1895</v>
      </c>
      <c r="F196" s="19" t="s">
        <v>1876</v>
      </c>
      <c r="G196" s="19" t="s">
        <v>1926</v>
      </c>
      <c r="H196" s="19">
        <v>5</v>
      </c>
      <c r="I196" s="19">
        <v>3572.02</v>
      </c>
      <c r="J196" s="19">
        <v>17860.1</v>
      </c>
    </row>
    <row r="197" ht="15.25" spans="1:10">
      <c r="A197" s="18" t="s">
        <v>2003</v>
      </c>
      <c r="B197" s="19" t="s">
        <v>1848</v>
      </c>
      <c r="C197" s="19" t="s">
        <v>1898</v>
      </c>
      <c r="D197" s="19" t="s">
        <v>1879</v>
      </c>
      <c r="E197" s="19" t="s">
        <v>1851</v>
      </c>
      <c r="F197" s="19" t="s">
        <v>1868</v>
      </c>
      <c r="G197" s="19" t="s">
        <v>1917</v>
      </c>
      <c r="H197" s="19">
        <v>4</v>
      </c>
      <c r="I197" s="19">
        <v>328.82</v>
      </c>
      <c r="J197" s="19">
        <v>1315.28</v>
      </c>
    </row>
    <row r="198" ht="15.25" spans="1:10">
      <c r="A198" s="18">
        <v>45083</v>
      </c>
      <c r="B198" s="19" t="s">
        <v>1848</v>
      </c>
      <c r="C198" s="19" t="s">
        <v>1589</v>
      </c>
      <c r="D198" s="19" t="s">
        <v>1884</v>
      </c>
      <c r="E198" s="19" t="s">
        <v>1895</v>
      </c>
      <c r="F198" s="19" t="s">
        <v>1859</v>
      </c>
      <c r="G198" s="19" t="s">
        <v>1872</v>
      </c>
      <c r="H198" s="19">
        <v>10</v>
      </c>
      <c r="I198" s="19">
        <v>4210.63</v>
      </c>
      <c r="J198" s="19">
        <v>42106.3</v>
      </c>
    </row>
    <row r="199" ht="15.25" spans="1:10">
      <c r="A199" s="18" t="s">
        <v>2004</v>
      </c>
      <c r="B199" s="19" t="s">
        <v>1867</v>
      </c>
      <c r="C199" s="19" t="s">
        <v>1602</v>
      </c>
      <c r="D199" s="19" t="s">
        <v>1862</v>
      </c>
      <c r="E199" s="19" t="s">
        <v>1858</v>
      </c>
      <c r="F199" s="19" t="s">
        <v>1865</v>
      </c>
      <c r="G199" s="19" t="s">
        <v>1866</v>
      </c>
      <c r="H199" s="19">
        <v>15</v>
      </c>
      <c r="I199" s="19">
        <v>211.9</v>
      </c>
      <c r="J199" s="19">
        <v>3178.5</v>
      </c>
    </row>
    <row r="200" ht="15.25" spans="1:10">
      <c r="A200" s="18" t="s">
        <v>2005</v>
      </c>
      <c r="B200" s="19" t="s">
        <v>1902</v>
      </c>
      <c r="C200" s="19" t="s">
        <v>1903</v>
      </c>
      <c r="D200" s="19" t="s">
        <v>1884</v>
      </c>
      <c r="E200" s="19" t="s">
        <v>1895</v>
      </c>
      <c r="F200" s="19" t="s">
        <v>1852</v>
      </c>
      <c r="G200" s="19" t="s">
        <v>1853</v>
      </c>
      <c r="H200" s="19">
        <v>6</v>
      </c>
      <c r="I200" s="19">
        <v>1847.42</v>
      </c>
      <c r="J200" s="19">
        <v>11084.52</v>
      </c>
    </row>
    <row r="201" ht="15.25" spans="1:10">
      <c r="A201" s="18" t="s">
        <v>2006</v>
      </c>
      <c r="B201" s="19" t="s">
        <v>1855</v>
      </c>
      <c r="C201" s="19" t="s">
        <v>1903</v>
      </c>
      <c r="D201" s="19" t="s">
        <v>1884</v>
      </c>
      <c r="E201" s="19" t="s">
        <v>1895</v>
      </c>
      <c r="F201" s="19" t="s">
        <v>1868</v>
      </c>
      <c r="G201" s="19" t="s">
        <v>1899</v>
      </c>
      <c r="H201" s="19">
        <v>15</v>
      </c>
      <c r="I201" s="19">
        <v>3875.6</v>
      </c>
      <c r="J201" s="19">
        <v>58134</v>
      </c>
    </row>
    <row r="202" ht="15.25" spans="1:10">
      <c r="A202" s="18" t="s">
        <v>2007</v>
      </c>
      <c r="B202" s="19" t="s">
        <v>1874</v>
      </c>
      <c r="C202" s="19" t="s">
        <v>1903</v>
      </c>
      <c r="D202" s="19" t="s">
        <v>1884</v>
      </c>
      <c r="E202" s="19" t="s">
        <v>1895</v>
      </c>
      <c r="F202" s="19" t="s">
        <v>1859</v>
      </c>
      <c r="G202" s="19" t="s">
        <v>1872</v>
      </c>
      <c r="H202" s="19">
        <v>1</v>
      </c>
      <c r="I202" s="19">
        <v>1323.63</v>
      </c>
      <c r="J202" s="19">
        <v>1323.63</v>
      </c>
    </row>
    <row r="203" ht="15.25" spans="1:10">
      <c r="A203" s="18">
        <v>44988</v>
      </c>
      <c r="B203" s="19" t="s">
        <v>1892</v>
      </c>
      <c r="C203" s="19" t="s">
        <v>1898</v>
      </c>
      <c r="D203" s="19" t="s">
        <v>1879</v>
      </c>
      <c r="E203" s="19" t="s">
        <v>1851</v>
      </c>
      <c r="F203" s="19" t="s">
        <v>1876</v>
      </c>
      <c r="G203" s="19" t="s">
        <v>1926</v>
      </c>
      <c r="H203" s="19">
        <v>18</v>
      </c>
      <c r="I203" s="19">
        <v>3916.11</v>
      </c>
      <c r="J203" s="19">
        <v>70489.98</v>
      </c>
    </row>
    <row r="204" ht="15.25" spans="1:10">
      <c r="A204" s="18" t="s">
        <v>2008</v>
      </c>
      <c r="B204" s="19" t="s">
        <v>1861</v>
      </c>
      <c r="C204" s="19" t="s">
        <v>1610</v>
      </c>
      <c r="D204" s="19" t="s">
        <v>1879</v>
      </c>
      <c r="E204" s="19" t="s">
        <v>1851</v>
      </c>
      <c r="F204" s="19" t="s">
        <v>1852</v>
      </c>
      <c r="G204" s="19" t="s">
        <v>1934</v>
      </c>
      <c r="H204" s="19">
        <v>16</v>
      </c>
      <c r="I204" s="19">
        <v>4624.91</v>
      </c>
      <c r="J204" s="19">
        <v>73998.56</v>
      </c>
    </row>
    <row r="205" ht="26.75" spans="1:10">
      <c r="A205" s="18" t="s">
        <v>1885</v>
      </c>
      <c r="B205" s="19" t="s">
        <v>1861</v>
      </c>
      <c r="C205" s="19" t="s">
        <v>1849</v>
      </c>
      <c r="D205" s="19" t="s">
        <v>1850</v>
      </c>
      <c r="E205" s="19" t="s">
        <v>1851</v>
      </c>
      <c r="F205" s="19" t="s">
        <v>1859</v>
      </c>
      <c r="G205" s="19" t="s">
        <v>1947</v>
      </c>
      <c r="H205" s="19">
        <v>8</v>
      </c>
      <c r="I205" s="19">
        <v>4091.1</v>
      </c>
      <c r="J205" s="19">
        <v>32728.8</v>
      </c>
    </row>
    <row r="206" ht="26.75" spans="1:10">
      <c r="A206" s="18" t="s">
        <v>2009</v>
      </c>
      <c r="B206" s="19" t="s">
        <v>1848</v>
      </c>
      <c r="C206" s="19" t="s">
        <v>1849</v>
      </c>
      <c r="D206" s="19" t="s">
        <v>1850</v>
      </c>
      <c r="E206" s="19" t="s">
        <v>1851</v>
      </c>
      <c r="F206" s="19" t="s">
        <v>1852</v>
      </c>
      <c r="G206" s="19" t="s">
        <v>1934</v>
      </c>
      <c r="H206" s="19">
        <v>16</v>
      </c>
      <c r="I206" s="19">
        <v>3369.55</v>
      </c>
      <c r="J206" s="19">
        <v>53912.8</v>
      </c>
    </row>
    <row r="207" ht="15.25" spans="1:10">
      <c r="A207" s="18">
        <v>45209</v>
      </c>
      <c r="B207" s="19" t="s">
        <v>1871</v>
      </c>
      <c r="C207" s="19" t="s">
        <v>1906</v>
      </c>
      <c r="D207" s="19" t="s">
        <v>1862</v>
      </c>
      <c r="E207" s="19" t="s">
        <v>1858</v>
      </c>
      <c r="F207" s="19" t="s">
        <v>1852</v>
      </c>
      <c r="G207" s="19" t="s">
        <v>1910</v>
      </c>
      <c r="H207" s="19">
        <v>3</v>
      </c>
      <c r="I207" s="19">
        <v>3591.92</v>
      </c>
      <c r="J207" s="19">
        <v>10775.76</v>
      </c>
    </row>
    <row r="208" ht="26.75" spans="1:10">
      <c r="A208" s="18" t="s">
        <v>2010</v>
      </c>
      <c r="B208" s="19" t="s">
        <v>1889</v>
      </c>
      <c r="C208" s="19" t="s">
        <v>1593</v>
      </c>
      <c r="D208" s="19" t="s">
        <v>1850</v>
      </c>
      <c r="E208" s="19" t="s">
        <v>1851</v>
      </c>
      <c r="F208" s="19" t="s">
        <v>1865</v>
      </c>
      <c r="G208" s="19" t="s">
        <v>1866</v>
      </c>
      <c r="H208" s="19">
        <v>4</v>
      </c>
      <c r="I208" s="19">
        <v>4298.35</v>
      </c>
      <c r="J208" s="19">
        <v>17193.4</v>
      </c>
    </row>
    <row r="209" ht="15.25" spans="1:10">
      <c r="A209" s="18">
        <v>45115</v>
      </c>
      <c r="B209" s="19" t="s">
        <v>1848</v>
      </c>
      <c r="C209" s="19" t="s">
        <v>1898</v>
      </c>
      <c r="D209" s="19" t="s">
        <v>1879</v>
      </c>
      <c r="E209" s="19" t="s">
        <v>1851</v>
      </c>
      <c r="F209" s="19" t="s">
        <v>1859</v>
      </c>
      <c r="G209" s="19" t="s">
        <v>1922</v>
      </c>
      <c r="H209" s="19">
        <v>11</v>
      </c>
      <c r="I209" s="19">
        <v>3687.73</v>
      </c>
      <c r="J209" s="19">
        <v>40565.03</v>
      </c>
    </row>
    <row r="210" ht="15.25" spans="1:10">
      <c r="A210" s="18" t="s">
        <v>1995</v>
      </c>
      <c r="B210" s="19" t="s">
        <v>1855</v>
      </c>
      <c r="C210" s="19" t="s">
        <v>1610</v>
      </c>
      <c r="D210" s="19" t="s">
        <v>1879</v>
      </c>
      <c r="E210" s="19" t="s">
        <v>1851</v>
      </c>
      <c r="F210" s="19" t="s">
        <v>1868</v>
      </c>
      <c r="G210" s="19" t="s">
        <v>1917</v>
      </c>
      <c r="H210" s="19">
        <v>12</v>
      </c>
      <c r="I210" s="19">
        <v>548.36</v>
      </c>
      <c r="J210" s="19">
        <v>6580.32</v>
      </c>
    </row>
    <row r="211" ht="15.25" spans="1:10">
      <c r="A211" s="18">
        <v>45175</v>
      </c>
      <c r="B211" s="19" t="s">
        <v>1878</v>
      </c>
      <c r="C211" s="19" t="s">
        <v>1602</v>
      </c>
      <c r="D211" s="19" t="s">
        <v>1862</v>
      </c>
      <c r="E211" s="19" t="s">
        <v>1858</v>
      </c>
      <c r="F211" s="19" t="s">
        <v>1865</v>
      </c>
      <c r="G211" s="19" t="s">
        <v>1866</v>
      </c>
      <c r="H211" s="19">
        <v>6</v>
      </c>
      <c r="I211" s="19">
        <v>3931.61</v>
      </c>
      <c r="J211" s="19">
        <v>23589.66</v>
      </c>
    </row>
    <row r="212" ht="26.75" spans="1:10">
      <c r="A212" s="18">
        <v>45237</v>
      </c>
      <c r="B212" s="19" t="s">
        <v>1848</v>
      </c>
      <c r="C212" s="19" t="s">
        <v>1849</v>
      </c>
      <c r="D212" s="19" t="s">
        <v>1850</v>
      </c>
      <c r="E212" s="19" t="s">
        <v>1851</v>
      </c>
      <c r="F212" s="19" t="s">
        <v>1865</v>
      </c>
      <c r="G212" s="19" t="s">
        <v>1886</v>
      </c>
      <c r="H212" s="19">
        <v>18</v>
      </c>
      <c r="I212" s="19">
        <v>1120.1</v>
      </c>
      <c r="J212" s="19">
        <v>20161.8</v>
      </c>
    </row>
    <row r="213" ht="15.25" spans="1:10">
      <c r="A213" s="18" t="s">
        <v>2011</v>
      </c>
      <c r="B213" s="19" t="s">
        <v>1892</v>
      </c>
      <c r="C213" s="19" t="s">
        <v>1875</v>
      </c>
      <c r="D213" s="19" t="s">
        <v>1862</v>
      </c>
      <c r="E213" s="19" t="s">
        <v>1858</v>
      </c>
      <c r="F213" s="19" t="s">
        <v>1859</v>
      </c>
      <c r="G213" s="19" t="s">
        <v>1947</v>
      </c>
      <c r="H213" s="19">
        <v>11</v>
      </c>
      <c r="I213" s="19">
        <v>1473.35</v>
      </c>
      <c r="J213" s="19">
        <v>16206.85</v>
      </c>
    </row>
    <row r="214" ht="15.25" spans="1:10">
      <c r="A214" s="18" t="s">
        <v>2012</v>
      </c>
      <c r="B214" s="19" t="s">
        <v>1867</v>
      </c>
      <c r="C214" s="19" t="s">
        <v>1898</v>
      </c>
      <c r="D214" s="19" t="s">
        <v>1879</v>
      </c>
      <c r="E214" s="19" t="s">
        <v>1851</v>
      </c>
      <c r="F214" s="19" t="s">
        <v>1876</v>
      </c>
      <c r="G214" s="19" t="s">
        <v>1883</v>
      </c>
      <c r="H214" s="19">
        <v>6</v>
      </c>
      <c r="I214" s="19">
        <v>297.27</v>
      </c>
      <c r="J214" s="19">
        <v>1783.62</v>
      </c>
    </row>
    <row r="215" ht="26.75" spans="1:10">
      <c r="A215" s="18" t="s">
        <v>2013</v>
      </c>
      <c r="B215" s="19" t="s">
        <v>1848</v>
      </c>
      <c r="C215" s="19" t="s">
        <v>1593</v>
      </c>
      <c r="D215" s="19" t="s">
        <v>1850</v>
      </c>
      <c r="E215" s="19" t="s">
        <v>1851</v>
      </c>
      <c r="F215" s="19" t="s">
        <v>1868</v>
      </c>
      <c r="G215" s="19" t="s">
        <v>1899</v>
      </c>
      <c r="H215" s="19">
        <v>5</v>
      </c>
      <c r="I215" s="19">
        <v>4872.89</v>
      </c>
      <c r="J215" s="19">
        <v>24364.45</v>
      </c>
    </row>
    <row r="216" ht="15.25" spans="1:10">
      <c r="A216" s="18" t="s">
        <v>1964</v>
      </c>
      <c r="B216" s="19" t="s">
        <v>1874</v>
      </c>
      <c r="C216" s="19" t="s">
        <v>1894</v>
      </c>
      <c r="D216" s="19" t="s">
        <v>1884</v>
      </c>
      <c r="E216" s="19" t="s">
        <v>1895</v>
      </c>
      <c r="F216" s="19" t="s">
        <v>1868</v>
      </c>
      <c r="G216" s="19" t="s">
        <v>1907</v>
      </c>
      <c r="H216" s="19">
        <v>20</v>
      </c>
      <c r="I216" s="19">
        <v>4711.51</v>
      </c>
      <c r="J216" s="19">
        <v>94230.2</v>
      </c>
    </row>
    <row r="217" ht="15.25" spans="1:10">
      <c r="A217" s="18" t="s">
        <v>1971</v>
      </c>
      <c r="B217" s="19" t="s">
        <v>1902</v>
      </c>
      <c r="C217" s="19" t="s">
        <v>1898</v>
      </c>
      <c r="D217" s="19" t="s">
        <v>1879</v>
      </c>
      <c r="E217" s="19" t="s">
        <v>1851</v>
      </c>
      <c r="F217" s="19" t="s">
        <v>1876</v>
      </c>
      <c r="G217" s="19" t="s">
        <v>1883</v>
      </c>
      <c r="H217" s="19">
        <v>5</v>
      </c>
      <c r="I217" s="19">
        <v>4096.54</v>
      </c>
      <c r="J217" s="19">
        <v>20482.7</v>
      </c>
    </row>
    <row r="218" ht="15.25" spans="1:10">
      <c r="A218" s="18" t="s">
        <v>1863</v>
      </c>
      <c r="B218" s="19" t="s">
        <v>1878</v>
      </c>
      <c r="C218" s="19" t="s">
        <v>1894</v>
      </c>
      <c r="D218" s="19" t="s">
        <v>1884</v>
      </c>
      <c r="E218" s="19" t="s">
        <v>1895</v>
      </c>
      <c r="F218" s="19" t="s">
        <v>1868</v>
      </c>
      <c r="G218" s="19" t="s">
        <v>1907</v>
      </c>
      <c r="H218" s="19">
        <v>6</v>
      </c>
      <c r="I218" s="19">
        <v>830.82</v>
      </c>
      <c r="J218" s="19">
        <v>4984.92</v>
      </c>
    </row>
    <row r="219" ht="15.25" spans="1:10">
      <c r="A219" s="18">
        <v>44992</v>
      </c>
      <c r="B219" s="19" t="s">
        <v>1889</v>
      </c>
      <c r="C219" s="19" t="s">
        <v>1903</v>
      </c>
      <c r="D219" s="19" t="s">
        <v>1884</v>
      </c>
      <c r="E219" s="19" t="s">
        <v>1895</v>
      </c>
      <c r="F219" s="19" t="s">
        <v>1868</v>
      </c>
      <c r="G219" s="19" t="s">
        <v>1869</v>
      </c>
      <c r="H219" s="19">
        <v>3</v>
      </c>
      <c r="I219" s="19">
        <v>4637.38</v>
      </c>
      <c r="J219" s="19">
        <v>13912.14</v>
      </c>
    </row>
    <row r="220" ht="15.25" spans="1:10">
      <c r="A220" s="18">
        <v>44959</v>
      </c>
      <c r="B220" s="19" t="s">
        <v>1892</v>
      </c>
      <c r="C220" s="19" t="s">
        <v>1602</v>
      </c>
      <c r="D220" s="19" t="s">
        <v>1862</v>
      </c>
      <c r="E220" s="19" t="s">
        <v>1858</v>
      </c>
      <c r="F220" s="19" t="s">
        <v>1859</v>
      </c>
      <c r="G220" s="19" t="s">
        <v>1860</v>
      </c>
      <c r="H220" s="19">
        <v>5</v>
      </c>
      <c r="I220" s="19">
        <v>3770.1</v>
      </c>
      <c r="J220" s="19">
        <v>18850.5</v>
      </c>
    </row>
    <row r="221" ht="15.25" spans="1:10">
      <c r="A221" s="18" t="s">
        <v>1919</v>
      </c>
      <c r="B221" s="19" t="s">
        <v>1871</v>
      </c>
      <c r="C221" s="19" t="s">
        <v>1906</v>
      </c>
      <c r="D221" s="19" t="s">
        <v>1862</v>
      </c>
      <c r="E221" s="19" t="s">
        <v>1858</v>
      </c>
      <c r="F221" s="19" t="s">
        <v>1868</v>
      </c>
      <c r="G221" s="19" t="s">
        <v>1899</v>
      </c>
      <c r="H221" s="19">
        <v>20</v>
      </c>
      <c r="I221" s="19">
        <v>285.96</v>
      </c>
      <c r="J221" s="19">
        <v>5719.2</v>
      </c>
    </row>
    <row r="222" ht="15.25" spans="1:10">
      <c r="A222" s="18">
        <v>45142</v>
      </c>
      <c r="B222" s="19" t="s">
        <v>1874</v>
      </c>
      <c r="C222" s="19" t="s">
        <v>1903</v>
      </c>
      <c r="D222" s="19" t="s">
        <v>1884</v>
      </c>
      <c r="E222" s="19" t="s">
        <v>1895</v>
      </c>
      <c r="F222" s="19" t="s">
        <v>1852</v>
      </c>
      <c r="G222" s="19" t="s">
        <v>1950</v>
      </c>
      <c r="H222" s="19">
        <v>6</v>
      </c>
      <c r="I222" s="19">
        <v>1912.36</v>
      </c>
      <c r="J222" s="19">
        <v>11474.16</v>
      </c>
    </row>
    <row r="223" ht="15.25" spans="1:10">
      <c r="A223" s="18" t="s">
        <v>2014</v>
      </c>
      <c r="B223" s="19" t="s">
        <v>1855</v>
      </c>
      <c r="C223" s="19" t="s">
        <v>1941</v>
      </c>
      <c r="D223" s="19" t="s">
        <v>1879</v>
      </c>
      <c r="E223" s="19" t="s">
        <v>1851</v>
      </c>
      <c r="F223" s="19" t="s">
        <v>1865</v>
      </c>
      <c r="G223" s="19" t="s">
        <v>1866</v>
      </c>
      <c r="H223" s="19">
        <v>19</v>
      </c>
      <c r="I223" s="19">
        <v>3648.27</v>
      </c>
      <c r="J223" s="19">
        <v>69317.13</v>
      </c>
    </row>
    <row r="224" ht="15.25" spans="1:10">
      <c r="A224" s="18">
        <v>45022</v>
      </c>
      <c r="B224" s="19" t="s">
        <v>1861</v>
      </c>
      <c r="C224" s="19" t="s">
        <v>1602</v>
      </c>
      <c r="D224" s="19" t="s">
        <v>1862</v>
      </c>
      <c r="E224" s="19" t="s">
        <v>1858</v>
      </c>
      <c r="F224" s="19" t="s">
        <v>1852</v>
      </c>
      <c r="G224" s="19" t="s">
        <v>1934</v>
      </c>
      <c r="H224" s="19">
        <v>20</v>
      </c>
      <c r="I224" s="19">
        <v>473.23</v>
      </c>
      <c r="J224" s="19">
        <v>9464.6</v>
      </c>
    </row>
    <row r="225" ht="15.25" spans="1:10">
      <c r="A225" s="18" t="s">
        <v>1939</v>
      </c>
      <c r="B225" s="19" t="s">
        <v>1848</v>
      </c>
      <c r="C225" s="19" t="s">
        <v>1864</v>
      </c>
      <c r="D225" s="19" t="s">
        <v>1857</v>
      </c>
      <c r="E225" s="19" t="s">
        <v>1858</v>
      </c>
      <c r="F225" s="19" t="s">
        <v>1876</v>
      </c>
      <c r="G225" s="19" t="s">
        <v>1877</v>
      </c>
      <c r="H225" s="19">
        <v>16</v>
      </c>
      <c r="I225" s="19">
        <v>1870.47</v>
      </c>
      <c r="J225" s="19">
        <v>29927.52</v>
      </c>
    </row>
    <row r="226" ht="15.25" spans="1:10">
      <c r="A226" s="18" t="s">
        <v>2015</v>
      </c>
      <c r="B226" s="19" t="s">
        <v>1878</v>
      </c>
      <c r="C226" s="19" t="s">
        <v>1589</v>
      </c>
      <c r="D226" s="19" t="s">
        <v>1884</v>
      </c>
      <c r="E226" s="19" t="s">
        <v>1895</v>
      </c>
      <c r="F226" s="19" t="s">
        <v>1868</v>
      </c>
      <c r="G226" s="19" t="s">
        <v>1907</v>
      </c>
      <c r="H226" s="19">
        <v>18</v>
      </c>
      <c r="I226" s="19">
        <v>835.8</v>
      </c>
      <c r="J226" s="19">
        <v>15044.4</v>
      </c>
    </row>
    <row r="227" ht="26.75" spans="1:10">
      <c r="A227" s="18">
        <v>44992</v>
      </c>
      <c r="B227" s="19" t="s">
        <v>1902</v>
      </c>
      <c r="C227" s="19" t="s">
        <v>1849</v>
      </c>
      <c r="D227" s="19" t="s">
        <v>1850</v>
      </c>
      <c r="E227" s="19" t="s">
        <v>1851</v>
      </c>
      <c r="F227" s="19" t="s">
        <v>1859</v>
      </c>
      <c r="G227" s="19" t="s">
        <v>1922</v>
      </c>
      <c r="H227" s="19">
        <v>18</v>
      </c>
      <c r="I227" s="19">
        <v>4850.91</v>
      </c>
      <c r="J227" s="19">
        <v>87316.38</v>
      </c>
    </row>
    <row r="228" ht="26.75" spans="1:10">
      <c r="A228" s="18" t="s">
        <v>1885</v>
      </c>
      <c r="B228" s="19" t="s">
        <v>1861</v>
      </c>
      <c r="C228" s="19" t="s">
        <v>1598</v>
      </c>
      <c r="D228" s="19" t="s">
        <v>1850</v>
      </c>
      <c r="E228" s="19" t="s">
        <v>1851</v>
      </c>
      <c r="F228" s="19" t="s">
        <v>1852</v>
      </c>
      <c r="G228" s="19" t="s">
        <v>1853</v>
      </c>
      <c r="H228" s="19">
        <v>10</v>
      </c>
      <c r="I228" s="19">
        <v>2200.91</v>
      </c>
      <c r="J228" s="19">
        <v>22009.1</v>
      </c>
    </row>
    <row r="229" ht="15.25" spans="1:10">
      <c r="A229" s="18">
        <v>45211</v>
      </c>
      <c r="B229" s="19" t="s">
        <v>1892</v>
      </c>
      <c r="C229" s="19" t="s">
        <v>1875</v>
      </c>
      <c r="D229" s="19" t="s">
        <v>1862</v>
      </c>
      <c r="E229" s="19" t="s">
        <v>1858</v>
      </c>
      <c r="F229" s="19" t="s">
        <v>1876</v>
      </c>
      <c r="G229" s="19" t="s">
        <v>1877</v>
      </c>
      <c r="H229" s="19">
        <v>9</v>
      </c>
      <c r="I229" s="19">
        <v>1694.83</v>
      </c>
      <c r="J229" s="19">
        <v>15253.47</v>
      </c>
    </row>
    <row r="230" ht="15.25" spans="1:10">
      <c r="A230" s="18">
        <v>45079</v>
      </c>
      <c r="B230" s="19" t="s">
        <v>1902</v>
      </c>
      <c r="C230" s="19" t="s">
        <v>1856</v>
      </c>
      <c r="D230" s="19" t="s">
        <v>1857</v>
      </c>
      <c r="E230" s="19" t="s">
        <v>1858</v>
      </c>
      <c r="F230" s="19" t="s">
        <v>1852</v>
      </c>
      <c r="G230" s="19" t="s">
        <v>1934</v>
      </c>
      <c r="H230" s="19">
        <v>10</v>
      </c>
      <c r="I230" s="19">
        <v>1229.56</v>
      </c>
      <c r="J230" s="19">
        <v>12295.6</v>
      </c>
    </row>
    <row r="231" ht="15.25" spans="1:10">
      <c r="A231" s="18" t="s">
        <v>1888</v>
      </c>
      <c r="B231" s="19" t="s">
        <v>1902</v>
      </c>
      <c r="C231" s="19" t="s">
        <v>1898</v>
      </c>
      <c r="D231" s="19" t="s">
        <v>1879</v>
      </c>
      <c r="E231" s="19" t="s">
        <v>1851</v>
      </c>
      <c r="F231" s="19" t="s">
        <v>1868</v>
      </c>
      <c r="G231" s="19" t="s">
        <v>1869</v>
      </c>
      <c r="H231" s="19">
        <v>14</v>
      </c>
      <c r="I231" s="19">
        <v>705.15</v>
      </c>
      <c r="J231" s="19">
        <v>9872.1</v>
      </c>
    </row>
    <row r="232" ht="15.25" spans="1:10">
      <c r="A232" s="18" t="s">
        <v>2016</v>
      </c>
      <c r="B232" s="19" t="s">
        <v>1889</v>
      </c>
      <c r="C232" s="19" t="s">
        <v>1903</v>
      </c>
      <c r="D232" s="19" t="s">
        <v>1884</v>
      </c>
      <c r="E232" s="19" t="s">
        <v>1895</v>
      </c>
      <c r="F232" s="19" t="s">
        <v>1865</v>
      </c>
      <c r="G232" s="19" t="s">
        <v>1886</v>
      </c>
      <c r="H232" s="19">
        <v>19</v>
      </c>
      <c r="I232" s="19">
        <v>3485.85</v>
      </c>
      <c r="J232" s="19">
        <v>66231.15</v>
      </c>
    </row>
    <row r="233" ht="15.25" spans="1:10">
      <c r="A233" s="18" t="s">
        <v>2017</v>
      </c>
      <c r="B233" s="19" t="s">
        <v>1855</v>
      </c>
      <c r="C233" s="19" t="s">
        <v>1894</v>
      </c>
      <c r="D233" s="19" t="s">
        <v>1884</v>
      </c>
      <c r="E233" s="19" t="s">
        <v>1895</v>
      </c>
      <c r="F233" s="19" t="s">
        <v>1876</v>
      </c>
      <c r="G233" s="19" t="s">
        <v>1877</v>
      </c>
      <c r="H233" s="19">
        <v>10</v>
      </c>
      <c r="I233" s="19">
        <v>3633.26</v>
      </c>
      <c r="J233" s="19">
        <v>36332.6</v>
      </c>
    </row>
    <row r="234" ht="26.75" spans="1:10">
      <c r="A234" s="18">
        <v>45208</v>
      </c>
      <c r="B234" s="19" t="s">
        <v>1889</v>
      </c>
      <c r="C234" s="19" t="s">
        <v>1849</v>
      </c>
      <c r="D234" s="19" t="s">
        <v>1850</v>
      </c>
      <c r="E234" s="19" t="s">
        <v>1851</v>
      </c>
      <c r="F234" s="19" t="s">
        <v>1868</v>
      </c>
      <c r="G234" s="19" t="s">
        <v>1917</v>
      </c>
      <c r="H234" s="19">
        <v>14</v>
      </c>
      <c r="I234" s="19">
        <v>1245.9</v>
      </c>
      <c r="J234" s="19">
        <v>17442.6</v>
      </c>
    </row>
    <row r="235" ht="15.25" spans="1:10">
      <c r="A235" s="18" t="s">
        <v>2018</v>
      </c>
      <c r="B235" s="19" t="s">
        <v>1867</v>
      </c>
      <c r="C235" s="19" t="s">
        <v>1894</v>
      </c>
      <c r="D235" s="19" t="s">
        <v>1884</v>
      </c>
      <c r="E235" s="19" t="s">
        <v>1895</v>
      </c>
      <c r="F235" s="19" t="s">
        <v>1852</v>
      </c>
      <c r="G235" s="19" t="s">
        <v>1853</v>
      </c>
      <c r="H235" s="19">
        <v>4</v>
      </c>
      <c r="I235" s="19">
        <v>4553.52</v>
      </c>
      <c r="J235" s="19">
        <v>18214.08</v>
      </c>
    </row>
    <row r="236" ht="26.75" spans="1:10">
      <c r="A236" s="18">
        <v>45146</v>
      </c>
      <c r="B236" s="19" t="s">
        <v>1855</v>
      </c>
      <c r="C236" s="19" t="s">
        <v>1598</v>
      </c>
      <c r="D236" s="19" t="s">
        <v>1850</v>
      </c>
      <c r="E236" s="19" t="s">
        <v>1851</v>
      </c>
      <c r="F236" s="19" t="s">
        <v>1852</v>
      </c>
      <c r="G236" s="19" t="s">
        <v>1910</v>
      </c>
      <c r="H236" s="19">
        <v>3</v>
      </c>
      <c r="I236" s="19">
        <v>1417.18</v>
      </c>
      <c r="J236" s="19">
        <v>4251.54</v>
      </c>
    </row>
    <row r="237" ht="26.75" spans="1:10">
      <c r="A237" s="18" t="s">
        <v>2019</v>
      </c>
      <c r="B237" s="19" t="s">
        <v>1874</v>
      </c>
      <c r="C237" s="19" t="s">
        <v>1849</v>
      </c>
      <c r="D237" s="19" t="s">
        <v>1850</v>
      </c>
      <c r="E237" s="19" t="s">
        <v>1851</v>
      </c>
      <c r="F237" s="19" t="s">
        <v>1876</v>
      </c>
      <c r="G237" s="19" t="s">
        <v>1930</v>
      </c>
      <c r="H237" s="19">
        <v>7</v>
      </c>
      <c r="I237" s="19">
        <v>1249.36</v>
      </c>
      <c r="J237" s="19">
        <v>8745.52</v>
      </c>
    </row>
    <row r="238" ht="15.25" spans="1:10">
      <c r="A238" s="18" t="s">
        <v>1973</v>
      </c>
      <c r="B238" s="19" t="s">
        <v>1871</v>
      </c>
      <c r="C238" s="19" t="s">
        <v>1856</v>
      </c>
      <c r="D238" s="19" t="s">
        <v>1857</v>
      </c>
      <c r="E238" s="19" t="s">
        <v>1858</v>
      </c>
      <c r="F238" s="19" t="s">
        <v>1865</v>
      </c>
      <c r="G238" s="19" t="s">
        <v>1920</v>
      </c>
      <c r="H238" s="19">
        <v>7</v>
      </c>
      <c r="I238" s="19">
        <v>3911.96</v>
      </c>
      <c r="J238" s="19">
        <v>27383.72</v>
      </c>
    </row>
    <row r="239" ht="15.25" spans="1:10">
      <c r="A239" s="18" t="s">
        <v>1946</v>
      </c>
      <c r="B239" s="19" t="s">
        <v>1867</v>
      </c>
      <c r="C239" s="19" t="s">
        <v>1875</v>
      </c>
      <c r="D239" s="19" t="s">
        <v>1862</v>
      </c>
      <c r="E239" s="19" t="s">
        <v>1858</v>
      </c>
      <c r="F239" s="19" t="s">
        <v>1865</v>
      </c>
      <c r="G239" s="19" t="s">
        <v>1886</v>
      </c>
      <c r="H239" s="19">
        <v>4</v>
      </c>
      <c r="I239" s="19">
        <v>3087.87</v>
      </c>
      <c r="J239" s="19">
        <v>12351.48</v>
      </c>
    </row>
    <row r="240" ht="26.75" spans="1:10">
      <c r="A240" s="18">
        <v>45241</v>
      </c>
      <c r="B240" s="19" t="s">
        <v>1867</v>
      </c>
      <c r="C240" s="19" t="s">
        <v>1849</v>
      </c>
      <c r="D240" s="19" t="s">
        <v>1850</v>
      </c>
      <c r="E240" s="19" t="s">
        <v>1851</v>
      </c>
      <c r="F240" s="19" t="s">
        <v>1876</v>
      </c>
      <c r="G240" s="19" t="s">
        <v>1930</v>
      </c>
      <c r="H240" s="19">
        <v>16</v>
      </c>
      <c r="I240" s="19">
        <v>628.15</v>
      </c>
      <c r="J240" s="19">
        <v>10050.4</v>
      </c>
    </row>
    <row r="241" ht="15.25" spans="1:10">
      <c r="A241" s="18" t="s">
        <v>2020</v>
      </c>
      <c r="B241" s="19" t="s">
        <v>1874</v>
      </c>
      <c r="C241" s="19" t="s">
        <v>1602</v>
      </c>
      <c r="D241" s="19" t="s">
        <v>1862</v>
      </c>
      <c r="E241" s="19" t="s">
        <v>1858</v>
      </c>
      <c r="F241" s="19" t="s">
        <v>1868</v>
      </c>
      <c r="G241" s="19" t="s">
        <v>1917</v>
      </c>
      <c r="H241" s="19">
        <v>15</v>
      </c>
      <c r="I241" s="19">
        <v>3100.61</v>
      </c>
      <c r="J241" s="19">
        <v>46509.15</v>
      </c>
    </row>
    <row r="242" ht="15.25" spans="1:10">
      <c r="A242" s="18" t="s">
        <v>2021</v>
      </c>
      <c r="B242" s="19" t="s">
        <v>1855</v>
      </c>
      <c r="C242" s="19" t="s">
        <v>1875</v>
      </c>
      <c r="D242" s="19" t="s">
        <v>1862</v>
      </c>
      <c r="E242" s="19" t="s">
        <v>1858</v>
      </c>
      <c r="F242" s="19" t="s">
        <v>1865</v>
      </c>
      <c r="G242" s="19" t="s">
        <v>1886</v>
      </c>
      <c r="H242" s="19">
        <v>10</v>
      </c>
      <c r="I242" s="19">
        <v>4017.66</v>
      </c>
      <c r="J242" s="19">
        <v>40176.6</v>
      </c>
    </row>
    <row r="243" ht="15.25" spans="1:10">
      <c r="A243" s="18" t="s">
        <v>2022</v>
      </c>
      <c r="B243" s="19" t="s">
        <v>1855</v>
      </c>
      <c r="C243" s="19" t="s">
        <v>1906</v>
      </c>
      <c r="D243" s="19" t="s">
        <v>1862</v>
      </c>
      <c r="E243" s="19" t="s">
        <v>1858</v>
      </c>
      <c r="F243" s="19" t="s">
        <v>1852</v>
      </c>
      <c r="G243" s="19" t="s">
        <v>1910</v>
      </c>
      <c r="H243" s="19">
        <v>3</v>
      </c>
      <c r="I243" s="19">
        <v>3389.2</v>
      </c>
      <c r="J243" s="19">
        <v>10167.6</v>
      </c>
    </row>
    <row r="244" ht="26.75" spans="1:10">
      <c r="A244" s="18" t="s">
        <v>1943</v>
      </c>
      <c r="B244" s="19" t="s">
        <v>1861</v>
      </c>
      <c r="C244" s="19" t="s">
        <v>1849</v>
      </c>
      <c r="D244" s="19" t="s">
        <v>1850</v>
      </c>
      <c r="E244" s="19" t="s">
        <v>1851</v>
      </c>
      <c r="F244" s="19" t="s">
        <v>1868</v>
      </c>
      <c r="G244" s="19" t="s">
        <v>1869</v>
      </c>
      <c r="H244" s="19">
        <v>20</v>
      </c>
      <c r="I244" s="19">
        <v>2441.83</v>
      </c>
      <c r="J244" s="19">
        <v>48836.6</v>
      </c>
    </row>
    <row r="245" ht="15.25" spans="1:10">
      <c r="A245" s="18">
        <v>45181</v>
      </c>
      <c r="B245" s="19" t="s">
        <v>1855</v>
      </c>
      <c r="C245" s="19" t="s">
        <v>1589</v>
      </c>
      <c r="D245" s="19" t="s">
        <v>1884</v>
      </c>
      <c r="E245" s="19" t="s">
        <v>1895</v>
      </c>
      <c r="F245" s="19" t="s">
        <v>1852</v>
      </c>
      <c r="G245" s="19" t="s">
        <v>1934</v>
      </c>
      <c r="H245" s="19">
        <v>17</v>
      </c>
      <c r="I245" s="19">
        <v>2655.98</v>
      </c>
      <c r="J245" s="19">
        <v>45151.66</v>
      </c>
    </row>
    <row r="246" ht="15.25" spans="1:10">
      <c r="A246" s="18">
        <v>44986</v>
      </c>
      <c r="B246" s="19" t="s">
        <v>1855</v>
      </c>
      <c r="C246" s="19" t="s">
        <v>1875</v>
      </c>
      <c r="D246" s="19" t="s">
        <v>1862</v>
      </c>
      <c r="E246" s="19" t="s">
        <v>1858</v>
      </c>
      <c r="F246" s="19" t="s">
        <v>1876</v>
      </c>
      <c r="G246" s="19" t="s">
        <v>1930</v>
      </c>
      <c r="H246" s="19">
        <v>3</v>
      </c>
      <c r="I246" s="19">
        <v>4908.74</v>
      </c>
      <c r="J246" s="19">
        <v>14726.22</v>
      </c>
    </row>
    <row r="247" ht="15.25" spans="1:10">
      <c r="A247" s="18" t="s">
        <v>1977</v>
      </c>
      <c r="B247" s="19" t="s">
        <v>1889</v>
      </c>
      <c r="C247" s="19" t="s">
        <v>1903</v>
      </c>
      <c r="D247" s="19" t="s">
        <v>1884</v>
      </c>
      <c r="E247" s="19" t="s">
        <v>1895</v>
      </c>
      <c r="F247" s="19" t="s">
        <v>1876</v>
      </c>
      <c r="G247" s="19" t="s">
        <v>1930</v>
      </c>
      <c r="H247" s="19">
        <v>13</v>
      </c>
      <c r="I247" s="19">
        <v>4121.8</v>
      </c>
      <c r="J247" s="19">
        <v>53583.4</v>
      </c>
    </row>
    <row r="248" ht="26.75" spans="1:10">
      <c r="A248" s="18">
        <v>45080</v>
      </c>
      <c r="B248" s="19" t="s">
        <v>1902</v>
      </c>
      <c r="C248" s="19" t="s">
        <v>1849</v>
      </c>
      <c r="D248" s="19" t="s">
        <v>1850</v>
      </c>
      <c r="E248" s="19" t="s">
        <v>1851</v>
      </c>
      <c r="F248" s="19" t="s">
        <v>1876</v>
      </c>
      <c r="G248" s="19" t="s">
        <v>1930</v>
      </c>
      <c r="H248" s="19">
        <v>7</v>
      </c>
      <c r="I248" s="19">
        <v>2083.78</v>
      </c>
      <c r="J248" s="19">
        <v>14586.46</v>
      </c>
    </row>
    <row r="249" ht="26.75" spans="1:10">
      <c r="A249" s="18">
        <v>45201</v>
      </c>
      <c r="B249" s="19" t="s">
        <v>1874</v>
      </c>
      <c r="C249" s="19" t="s">
        <v>1598</v>
      </c>
      <c r="D249" s="19" t="s">
        <v>1850</v>
      </c>
      <c r="E249" s="19" t="s">
        <v>1851</v>
      </c>
      <c r="F249" s="19" t="s">
        <v>1865</v>
      </c>
      <c r="G249" s="19" t="s">
        <v>1920</v>
      </c>
      <c r="H249" s="19">
        <v>4</v>
      </c>
      <c r="I249" s="19">
        <v>697.88</v>
      </c>
      <c r="J249" s="19">
        <v>2791.52</v>
      </c>
    </row>
    <row r="250" ht="15.25" spans="1:10">
      <c r="A250" s="18">
        <v>44930</v>
      </c>
      <c r="B250" s="19" t="s">
        <v>1902</v>
      </c>
      <c r="C250" s="19" t="s">
        <v>1894</v>
      </c>
      <c r="D250" s="19" t="s">
        <v>1884</v>
      </c>
      <c r="E250" s="19" t="s">
        <v>1895</v>
      </c>
      <c r="F250" s="19" t="s">
        <v>1876</v>
      </c>
      <c r="G250" s="19" t="s">
        <v>1926</v>
      </c>
      <c r="H250" s="19">
        <v>3</v>
      </c>
      <c r="I250" s="19">
        <v>3754.7</v>
      </c>
      <c r="J250" s="19">
        <v>11264.1</v>
      </c>
    </row>
    <row r="251" ht="15.25" spans="1:10">
      <c r="A251" s="18" t="s">
        <v>2023</v>
      </c>
      <c r="B251" s="19" t="s">
        <v>1861</v>
      </c>
      <c r="C251" s="19" t="s">
        <v>1856</v>
      </c>
      <c r="D251" s="19" t="s">
        <v>1857</v>
      </c>
      <c r="E251" s="19" t="s">
        <v>1858</v>
      </c>
      <c r="F251" s="19" t="s">
        <v>1852</v>
      </c>
      <c r="G251" s="19" t="s">
        <v>1950</v>
      </c>
      <c r="H251" s="19">
        <v>20</v>
      </c>
      <c r="I251" s="19">
        <v>2449.44</v>
      </c>
      <c r="J251" s="19">
        <v>48988.8</v>
      </c>
    </row>
    <row r="252" ht="15.25" spans="1:10">
      <c r="A252" s="18">
        <v>44964</v>
      </c>
      <c r="B252" s="19" t="s">
        <v>1867</v>
      </c>
      <c r="C252" s="19" t="s">
        <v>1626</v>
      </c>
      <c r="D252" s="19" t="s">
        <v>1857</v>
      </c>
      <c r="E252" s="19" t="s">
        <v>1858</v>
      </c>
      <c r="F252" s="19" t="s">
        <v>1876</v>
      </c>
      <c r="G252" s="19" t="s">
        <v>1883</v>
      </c>
      <c r="H252" s="19">
        <v>6</v>
      </c>
      <c r="I252" s="19">
        <v>2862.86</v>
      </c>
      <c r="J252" s="19">
        <v>17177.16</v>
      </c>
    </row>
    <row r="253" ht="15.25" spans="1:10">
      <c r="A253" s="18" t="s">
        <v>2024</v>
      </c>
      <c r="B253" s="19" t="s">
        <v>1878</v>
      </c>
      <c r="C253" s="19" t="s">
        <v>1626</v>
      </c>
      <c r="D253" s="19" t="s">
        <v>1857</v>
      </c>
      <c r="E253" s="19" t="s">
        <v>1858</v>
      </c>
      <c r="F253" s="19" t="s">
        <v>1859</v>
      </c>
      <c r="G253" s="19" t="s">
        <v>1860</v>
      </c>
      <c r="H253" s="19">
        <v>4</v>
      </c>
      <c r="I253" s="19">
        <v>4795.4</v>
      </c>
      <c r="J253" s="19">
        <v>19181.6</v>
      </c>
    </row>
    <row r="254" ht="15.25" spans="1:10">
      <c r="A254" s="18">
        <v>45271</v>
      </c>
      <c r="B254" s="19" t="s">
        <v>1878</v>
      </c>
      <c r="C254" s="19" t="s">
        <v>1894</v>
      </c>
      <c r="D254" s="19" t="s">
        <v>1884</v>
      </c>
      <c r="E254" s="19" t="s">
        <v>1895</v>
      </c>
      <c r="F254" s="19" t="s">
        <v>1852</v>
      </c>
      <c r="G254" s="19" t="s">
        <v>1934</v>
      </c>
      <c r="H254" s="19">
        <v>3</v>
      </c>
      <c r="I254" s="19">
        <v>672.84</v>
      </c>
      <c r="J254" s="19">
        <v>2018.52</v>
      </c>
    </row>
    <row r="255" ht="15.25" spans="1:10">
      <c r="A255" s="18">
        <v>45086</v>
      </c>
      <c r="B255" s="19" t="s">
        <v>1902</v>
      </c>
      <c r="C255" s="19" t="s">
        <v>1906</v>
      </c>
      <c r="D255" s="19" t="s">
        <v>1862</v>
      </c>
      <c r="E255" s="19" t="s">
        <v>1858</v>
      </c>
      <c r="F255" s="19" t="s">
        <v>1852</v>
      </c>
      <c r="G255" s="19" t="s">
        <v>1950</v>
      </c>
      <c r="H255" s="19">
        <v>5</v>
      </c>
      <c r="I255" s="19">
        <v>4423.53</v>
      </c>
      <c r="J255" s="19">
        <v>22117.65</v>
      </c>
    </row>
    <row r="256" ht="15.25" spans="1:10">
      <c r="A256" s="18">
        <v>44990</v>
      </c>
      <c r="B256" s="19" t="s">
        <v>1878</v>
      </c>
      <c r="C256" s="19" t="s">
        <v>1626</v>
      </c>
      <c r="D256" s="19" t="s">
        <v>1857</v>
      </c>
      <c r="E256" s="19" t="s">
        <v>1858</v>
      </c>
      <c r="F256" s="19" t="s">
        <v>1852</v>
      </c>
      <c r="G256" s="19" t="s">
        <v>1950</v>
      </c>
      <c r="H256" s="19">
        <v>13</v>
      </c>
      <c r="I256" s="19">
        <v>1330.85</v>
      </c>
      <c r="J256" s="19">
        <v>17301.05</v>
      </c>
    </row>
    <row r="257" ht="26.75" spans="1:10">
      <c r="A257" s="18" t="s">
        <v>2025</v>
      </c>
      <c r="B257" s="19" t="s">
        <v>1902</v>
      </c>
      <c r="C257" s="19" t="s">
        <v>1849</v>
      </c>
      <c r="D257" s="19" t="s">
        <v>1850</v>
      </c>
      <c r="E257" s="19" t="s">
        <v>1851</v>
      </c>
      <c r="F257" s="19" t="s">
        <v>1859</v>
      </c>
      <c r="G257" s="19" t="s">
        <v>1922</v>
      </c>
      <c r="H257" s="19">
        <v>2</v>
      </c>
      <c r="I257" s="19">
        <v>1785.76</v>
      </c>
      <c r="J257" s="19">
        <v>3571.52</v>
      </c>
    </row>
    <row r="258" ht="15.25" spans="1:10">
      <c r="A258" s="18" t="s">
        <v>2026</v>
      </c>
      <c r="B258" s="19" t="s">
        <v>1861</v>
      </c>
      <c r="C258" s="19" t="s">
        <v>1894</v>
      </c>
      <c r="D258" s="19" t="s">
        <v>1884</v>
      </c>
      <c r="E258" s="19" t="s">
        <v>1895</v>
      </c>
      <c r="F258" s="19" t="s">
        <v>1852</v>
      </c>
      <c r="G258" s="19" t="s">
        <v>1934</v>
      </c>
      <c r="H258" s="19">
        <v>10</v>
      </c>
      <c r="I258" s="19">
        <v>505.39</v>
      </c>
      <c r="J258" s="19">
        <v>5053.9</v>
      </c>
    </row>
    <row r="259" ht="15.25" spans="1:10">
      <c r="A259" s="18" t="s">
        <v>1989</v>
      </c>
      <c r="B259" s="19" t="s">
        <v>1871</v>
      </c>
      <c r="C259" s="19" t="s">
        <v>1602</v>
      </c>
      <c r="D259" s="19" t="s">
        <v>1862</v>
      </c>
      <c r="E259" s="19" t="s">
        <v>1858</v>
      </c>
      <c r="F259" s="19" t="s">
        <v>1876</v>
      </c>
      <c r="G259" s="19" t="s">
        <v>1926</v>
      </c>
      <c r="H259" s="19">
        <v>1</v>
      </c>
      <c r="I259" s="19">
        <v>4966.86</v>
      </c>
      <c r="J259" s="19">
        <v>4966.86</v>
      </c>
    </row>
    <row r="260" ht="15.25" spans="1:10">
      <c r="A260" s="18" t="s">
        <v>2027</v>
      </c>
      <c r="B260" s="19" t="s">
        <v>1861</v>
      </c>
      <c r="C260" s="19" t="s">
        <v>1941</v>
      </c>
      <c r="D260" s="19" t="s">
        <v>1879</v>
      </c>
      <c r="E260" s="19" t="s">
        <v>1851</v>
      </c>
      <c r="F260" s="19" t="s">
        <v>1852</v>
      </c>
      <c r="G260" s="19" t="s">
        <v>1910</v>
      </c>
      <c r="H260" s="19">
        <v>5</v>
      </c>
      <c r="I260" s="19">
        <v>4988.76</v>
      </c>
      <c r="J260" s="19">
        <v>24943.8</v>
      </c>
    </row>
    <row r="261" ht="15.25" spans="1:10">
      <c r="A261" s="18" t="s">
        <v>2028</v>
      </c>
      <c r="B261" s="19" t="s">
        <v>1874</v>
      </c>
      <c r="C261" s="19" t="s">
        <v>1875</v>
      </c>
      <c r="D261" s="19" t="s">
        <v>1862</v>
      </c>
      <c r="E261" s="19" t="s">
        <v>1858</v>
      </c>
      <c r="F261" s="19" t="s">
        <v>1876</v>
      </c>
      <c r="G261" s="19" t="s">
        <v>1926</v>
      </c>
      <c r="H261" s="19">
        <v>18</v>
      </c>
      <c r="I261" s="19">
        <v>1745.63</v>
      </c>
      <c r="J261" s="19">
        <v>31421.34</v>
      </c>
    </row>
    <row r="262" ht="26.75" spans="1:10">
      <c r="A262" s="18" t="s">
        <v>2029</v>
      </c>
      <c r="B262" s="19" t="s">
        <v>1861</v>
      </c>
      <c r="C262" s="19" t="s">
        <v>1593</v>
      </c>
      <c r="D262" s="19" t="s">
        <v>1850</v>
      </c>
      <c r="E262" s="19" t="s">
        <v>1851</v>
      </c>
      <c r="F262" s="19" t="s">
        <v>1865</v>
      </c>
      <c r="G262" s="19" t="s">
        <v>1920</v>
      </c>
      <c r="H262" s="19">
        <v>2</v>
      </c>
      <c r="I262" s="19">
        <v>3024.56</v>
      </c>
      <c r="J262" s="19">
        <v>6049.12</v>
      </c>
    </row>
    <row r="263" ht="15.25" spans="1:10">
      <c r="A263" s="18">
        <v>45083</v>
      </c>
      <c r="B263" s="19" t="s">
        <v>1889</v>
      </c>
      <c r="C263" s="19" t="s">
        <v>1856</v>
      </c>
      <c r="D263" s="19" t="s">
        <v>1857</v>
      </c>
      <c r="E263" s="19" t="s">
        <v>1858</v>
      </c>
      <c r="F263" s="19" t="s">
        <v>1859</v>
      </c>
      <c r="G263" s="19" t="s">
        <v>1872</v>
      </c>
      <c r="H263" s="19">
        <v>15</v>
      </c>
      <c r="I263" s="19">
        <v>4599.74</v>
      </c>
      <c r="J263" s="19">
        <v>68996.1</v>
      </c>
    </row>
    <row r="264" ht="15.25" spans="1:10">
      <c r="A264" s="18" t="s">
        <v>1944</v>
      </c>
      <c r="B264" s="19" t="s">
        <v>1861</v>
      </c>
      <c r="C264" s="19" t="s">
        <v>1894</v>
      </c>
      <c r="D264" s="19" t="s">
        <v>1884</v>
      </c>
      <c r="E264" s="19" t="s">
        <v>1895</v>
      </c>
      <c r="F264" s="19" t="s">
        <v>1868</v>
      </c>
      <c r="G264" s="19" t="s">
        <v>1917</v>
      </c>
      <c r="H264" s="19">
        <v>18</v>
      </c>
      <c r="I264" s="19">
        <v>330.49</v>
      </c>
      <c r="J264" s="19">
        <v>5948.82</v>
      </c>
    </row>
    <row r="265" ht="15.25" spans="1:10">
      <c r="A265" s="18" t="s">
        <v>2030</v>
      </c>
      <c r="B265" s="19" t="s">
        <v>1867</v>
      </c>
      <c r="C265" s="19" t="s">
        <v>1906</v>
      </c>
      <c r="D265" s="19" t="s">
        <v>1862</v>
      </c>
      <c r="E265" s="19" t="s">
        <v>1858</v>
      </c>
      <c r="F265" s="19" t="s">
        <v>1865</v>
      </c>
      <c r="G265" s="19" t="s">
        <v>1866</v>
      </c>
      <c r="H265" s="19">
        <v>8</v>
      </c>
      <c r="I265" s="19">
        <v>4775.74</v>
      </c>
      <c r="J265" s="19">
        <v>38205.92</v>
      </c>
    </row>
    <row r="266" ht="15.25" spans="1:10">
      <c r="A266" s="18" t="s">
        <v>2031</v>
      </c>
      <c r="B266" s="19" t="s">
        <v>1902</v>
      </c>
      <c r="C266" s="19" t="s">
        <v>1941</v>
      </c>
      <c r="D266" s="19" t="s">
        <v>1879</v>
      </c>
      <c r="E266" s="19" t="s">
        <v>1851</v>
      </c>
      <c r="F266" s="19" t="s">
        <v>1859</v>
      </c>
      <c r="G266" s="19" t="s">
        <v>1872</v>
      </c>
      <c r="H266" s="19">
        <v>16</v>
      </c>
      <c r="I266" s="19">
        <v>2329.86</v>
      </c>
      <c r="J266" s="19">
        <v>37277.76</v>
      </c>
    </row>
    <row r="267" ht="15.25" spans="1:10">
      <c r="A267" s="18" t="s">
        <v>1973</v>
      </c>
      <c r="B267" s="19" t="s">
        <v>1855</v>
      </c>
      <c r="C267" s="19" t="s">
        <v>1610</v>
      </c>
      <c r="D267" s="19" t="s">
        <v>1879</v>
      </c>
      <c r="E267" s="19" t="s">
        <v>1851</v>
      </c>
      <c r="F267" s="19" t="s">
        <v>1876</v>
      </c>
      <c r="G267" s="19" t="s">
        <v>1877</v>
      </c>
      <c r="H267" s="19">
        <v>16</v>
      </c>
      <c r="I267" s="19">
        <v>1426.64</v>
      </c>
      <c r="J267" s="19">
        <v>22826.24</v>
      </c>
    </row>
    <row r="268" ht="15.25" spans="1:10">
      <c r="A268" s="18" t="s">
        <v>2032</v>
      </c>
      <c r="B268" s="19" t="s">
        <v>1871</v>
      </c>
      <c r="C268" s="19" t="s">
        <v>1941</v>
      </c>
      <c r="D268" s="19" t="s">
        <v>1879</v>
      </c>
      <c r="E268" s="19" t="s">
        <v>1851</v>
      </c>
      <c r="F268" s="19" t="s">
        <v>1865</v>
      </c>
      <c r="G268" s="19" t="s">
        <v>1890</v>
      </c>
      <c r="H268" s="19">
        <v>8</v>
      </c>
      <c r="I268" s="19">
        <v>2663.16</v>
      </c>
      <c r="J268" s="19">
        <v>21305.28</v>
      </c>
    </row>
    <row r="269" ht="15.25" spans="1:10">
      <c r="A269" s="18">
        <v>45233</v>
      </c>
      <c r="B269" s="19" t="s">
        <v>1892</v>
      </c>
      <c r="C269" s="19" t="s">
        <v>1610</v>
      </c>
      <c r="D269" s="19" t="s">
        <v>1879</v>
      </c>
      <c r="E269" s="19" t="s">
        <v>1851</v>
      </c>
      <c r="F269" s="19" t="s">
        <v>1865</v>
      </c>
      <c r="G269" s="19" t="s">
        <v>1866</v>
      </c>
      <c r="H269" s="19">
        <v>20</v>
      </c>
      <c r="I269" s="19">
        <v>1690.56</v>
      </c>
      <c r="J269" s="19">
        <v>33811.2</v>
      </c>
    </row>
    <row r="270" ht="26.75" spans="1:10">
      <c r="A270" s="18" t="s">
        <v>2033</v>
      </c>
      <c r="B270" s="19" t="s">
        <v>1892</v>
      </c>
      <c r="C270" s="19" t="s">
        <v>1598</v>
      </c>
      <c r="D270" s="19" t="s">
        <v>1850</v>
      </c>
      <c r="E270" s="19" t="s">
        <v>1851</v>
      </c>
      <c r="F270" s="19" t="s">
        <v>1865</v>
      </c>
      <c r="G270" s="19" t="s">
        <v>1866</v>
      </c>
      <c r="H270" s="19">
        <v>1</v>
      </c>
      <c r="I270" s="19">
        <v>776.08</v>
      </c>
      <c r="J270" s="19">
        <v>776.08</v>
      </c>
    </row>
    <row r="271" ht="15.25" spans="1:10">
      <c r="A271" s="18">
        <v>44961</v>
      </c>
      <c r="B271" s="19" t="s">
        <v>1855</v>
      </c>
      <c r="C271" s="19" t="s">
        <v>1602</v>
      </c>
      <c r="D271" s="19" t="s">
        <v>1862</v>
      </c>
      <c r="E271" s="19" t="s">
        <v>1858</v>
      </c>
      <c r="F271" s="19" t="s">
        <v>1868</v>
      </c>
      <c r="G271" s="19" t="s">
        <v>1907</v>
      </c>
      <c r="H271" s="19">
        <v>3</v>
      </c>
      <c r="I271" s="19">
        <v>1435.01</v>
      </c>
      <c r="J271" s="19">
        <v>4305.03</v>
      </c>
    </row>
    <row r="272" ht="15.25" spans="1:10">
      <c r="A272" s="18">
        <v>45116</v>
      </c>
      <c r="B272" s="19" t="s">
        <v>1867</v>
      </c>
      <c r="C272" s="19" t="s">
        <v>1898</v>
      </c>
      <c r="D272" s="19" t="s">
        <v>1879</v>
      </c>
      <c r="E272" s="19" t="s">
        <v>1851</v>
      </c>
      <c r="F272" s="19" t="s">
        <v>1859</v>
      </c>
      <c r="G272" s="19" t="s">
        <v>1922</v>
      </c>
      <c r="H272" s="19">
        <v>16</v>
      </c>
      <c r="I272" s="19">
        <v>1473.98</v>
      </c>
      <c r="J272" s="19">
        <v>23583.68</v>
      </c>
    </row>
    <row r="273" ht="15.25" spans="1:10">
      <c r="A273" s="18">
        <v>45057</v>
      </c>
      <c r="B273" s="19" t="s">
        <v>1892</v>
      </c>
      <c r="C273" s="19" t="s">
        <v>1589</v>
      </c>
      <c r="D273" s="19" t="s">
        <v>1884</v>
      </c>
      <c r="E273" s="19" t="s">
        <v>1895</v>
      </c>
      <c r="F273" s="19" t="s">
        <v>1852</v>
      </c>
      <c r="G273" s="19" t="s">
        <v>1910</v>
      </c>
      <c r="H273" s="19">
        <v>6</v>
      </c>
      <c r="I273" s="19">
        <v>1822.86</v>
      </c>
      <c r="J273" s="19">
        <v>10937.16</v>
      </c>
    </row>
    <row r="274" ht="15.25" spans="1:10">
      <c r="A274" s="18">
        <v>45079</v>
      </c>
      <c r="B274" s="19" t="s">
        <v>1892</v>
      </c>
      <c r="C274" s="19" t="s">
        <v>1864</v>
      </c>
      <c r="D274" s="19" t="s">
        <v>1857</v>
      </c>
      <c r="E274" s="19" t="s">
        <v>1858</v>
      </c>
      <c r="F274" s="19" t="s">
        <v>1865</v>
      </c>
      <c r="G274" s="19" t="s">
        <v>1886</v>
      </c>
      <c r="H274" s="19">
        <v>13</v>
      </c>
      <c r="I274" s="19">
        <v>739.6</v>
      </c>
      <c r="J274" s="19">
        <v>9614.8</v>
      </c>
    </row>
    <row r="275" ht="15.25" spans="1:10">
      <c r="A275" s="18">
        <v>45172</v>
      </c>
      <c r="B275" s="19" t="s">
        <v>1874</v>
      </c>
      <c r="C275" s="19" t="s">
        <v>1610</v>
      </c>
      <c r="D275" s="19" t="s">
        <v>1879</v>
      </c>
      <c r="E275" s="19" t="s">
        <v>1851</v>
      </c>
      <c r="F275" s="19" t="s">
        <v>1868</v>
      </c>
      <c r="G275" s="19" t="s">
        <v>1917</v>
      </c>
      <c r="H275" s="19">
        <v>11</v>
      </c>
      <c r="I275" s="19">
        <v>4209.66</v>
      </c>
      <c r="J275" s="19">
        <v>46306.26</v>
      </c>
    </row>
    <row r="276" ht="15.25" spans="1:10">
      <c r="A276" s="18">
        <v>44929</v>
      </c>
      <c r="B276" s="19" t="s">
        <v>1855</v>
      </c>
      <c r="C276" s="19" t="s">
        <v>1906</v>
      </c>
      <c r="D276" s="19" t="s">
        <v>1862</v>
      </c>
      <c r="E276" s="19" t="s">
        <v>1858</v>
      </c>
      <c r="F276" s="19" t="s">
        <v>1876</v>
      </c>
      <c r="G276" s="19" t="s">
        <v>1883</v>
      </c>
      <c r="H276" s="19">
        <v>8</v>
      </c>
      <c r="I276" s="19">
        <v>4105.17</v>
      </c>
      <c r="J276" s="19">
        <v>32841.36</v>
      </c>
    </row>
    <row r="277" ht="15.25" spans="1:10">
      <c r="A277" s="18" t="s">
        <v>1943</v>
      </c>
      <c r="B277" s="19" t="s">
        <v>1874</v>
      </c>
      <c r="C277" s="19" t="s">
        <v>1894</v>
      </c>
      <c r="D277" s="19" t="s">
        <v>1884</v>
      </c>
      <c r="E277" s="19" t="s">
        <v>1895</v>
      </c>
      <c r="F277" s="19" t="s">
        <v>1852</v>
      </c>
      <c r="G277" s="19" t="s">
        <v>1853</v>
      </c>
      <c r="H277" s="19">
        <v>2</v>
      </c>
      <c r="I277" s="19">
        <v>4100.4</v>
      </c>
      <c r="J277" s="19">
        <v>8200.8</v>
      </c>
    </row>
    <row r="278" ht="15.25" spans="1:10">
      <c r="A278" s="18" t="s">
        <v>1962</v>
      </c>
      <c r="B278" s="19" t="s">
        <v>1855</v>
      </c>
      <c r="C278" s="19" t="s">
        <v>1856</v>
      </c>
      <c r="D278" s="19" t="s">
        <v>1857</v>
      </c>
      <c r="E278" s="19" t="s">
        <v>1858</v>
      </c>
      <c r="F278" s="19" t="s">
        <v>1868</v>
      </c>
      <c r="G278" s="19" t="s">
        <v>1869</v>
      </c>
      <c r="H278" s="19">
        <v>20</v>
      </c>
      <c r="I278" s="19">
        <v>2295.08</v>
      </c>
      <c r="J278" s="19">
        <v>45901.6</v>
      </c>
    </row>
    <row r="279" ht="26.75" spans="1:10">
      <c r="A279" s="18">
        <v>45241</v>
      </c>
      <c r="B279" s="19" t="s">
        <v>1892</v>
      </c>
      <c r="C279" s="19" t="s">
        <v>1593</v>
      </c>
      <c r="D279" s="19" t="s">
        <v>1850</v>
      </c>
      <c r="E279" s="19" t="s">
        <v>1851</v>
      </c>
      <c r="F279" s="19" t="s">
        <v>1868</v>
      </c>
      <c r="G279" s="19" t="s">
        <v>1899</v>
      </c>
      <c r="H279" s="19">
        <v>20</v>
      </c>
      <c r="I279" s="19">
        <v>4970.33</v>
      </c>
      <c r="J279" s="19">
        <v>99406.6</v>
      </c>
    </row>
    <row r="280" ht="15.25" spans="1:10">
      <c r="A280" s="18">
        <v>45272</v>
      </c>
      <c r="B280" s="19" t="s">
        <v>1874</v>
      </c>
      <c r="C280" s="19" t="s">
        <v>1941</v>
      </c>
      <c r="D280" s="19" t="s">
        <v>1879</v>
      </c>
      <c r="E280" s="19" t="s">
        <v>1851</v>
      </c>
      <c r="F280" s="19" t="s">
        <v>1852</v>
      </c>
      <c r="G280" s="19" t="s">
        <v>1910</v>
      </c>
      <c r="H280" s="19">
        <v>12</v>
      </c>
      <c r="I280" s="19">
        <v>3939.5</v>
      </c>
      <c r="J280" s="19">
        <v>47274</v>
      </c>
    </row>
    <row r="281" ht="15.25" spans="1:10">
      <c r="A281" s="18" t="s">
        <v>1994</v>
      </c>
      <c r="B281" s="19" t="s">
        <v>1878</v>
      </c>
      <c r="C281" s="19" t="s">
        <v>1875</v>
      </c>
      <c r="D281" s="19" t="s">
        <v>1862</v>
      </c>
      <c r="E281" s="19" t="s">
        <v>1858</v>
      </c>
      <c r="F281" s="19" t="s">
        <v>1876</v>
      </c>
      <c r="G281" s="19" t="s">
        <v>1926</v>
      </c>
      <c r="H281" s="19">
        <v>15</v>
      </c>
      <c r="I281" s="19">
        <v>1450.75</v>
      </c>
      <c r="J281" s="19">
        <v>21761.25</v>
      </c>
    </row>
    <row r="282" ht="15.25" spans="1:10">
      <c r="A282" s="18">
        <v>45057</v>
      </c>
      <c r="B282" s="19" t="s">
        <v>1878</v>
      </c>
      <c r="C282" s="19" t="s">
        <v>1864</v>
      </c>
      <c r="D282" s="19" t="s">
        <v>1857</v>
      </c>
      <c r="E282" s="19" t="s">
        <v>1858</v>
      </c>
      <c r="F282" s="19" t="s">
        <v>1852</v>
      </c>
      <c r="G282" s="19" t="s">
        <v>1853</v>
      </c>
      <c r="H282" s="19">
        <v>8</v>
      </c>
      <c r="I282" s="19">
        <v>3279.33</v>
      </c>
      <c r="J282" s="19">
        <v>26234.64</v>
      </c>
    </row>
    <row r="283" ht="26.75" spans="1:10">
      <c r="A283" s="18" t="s">
        <v>2034</v>
      </c>
      <c r="B283" s="19" t="s">
        <v>1892</v>
      </c>
      <c r="C283" s="19" t="s">
        <v>1598</v>
      </c>
      <c r="D283" s="19" t="s">
        <v>1850</v>
      </c>
      <c r="E283" s="19" t="s">
        <v>1851</v>
      </c>
      <c r="F283" s="19" t="s">
        <v>1865</v>
      </c>
      <c r="G283" s="19" t="s">
        <v>1890</v>
      </c>
      <c r="H283" s="19">
        <v>7</v>
      </c>
      <c r="I283" s="19">
        <v>579.92</v>
      </c>
      <c r="J283" s="19">
        <v>4059.44</v>
      </c>
    </row>
    <row r="284" ht="15.25" spans="1:10">
      <c r="A284" s="18">
        <v>45048</v>
      </c>
      <c r="B284" s="19" t="s">
        <v>1878</v>
      </c>
      <c r="C284" s="19" t="s">
        <v>1864</v>
      </c>
      <c r="D284" s="19" t="s">
        <v>1857</v>
      </c>
      <c r="E284" s="19" t="s">
        <v>1858</v>
      </c>
      <c r="F284" s="19" t="s">
        <v>1876</v>
      </c>
      <c r="G284" s="19" t="s">
        <v>1877</v>
      </c>
      <c r="H284" s="19">
        <v>10</v>
      </c>
      <c r="I284" s="19">
        <v>2515.54</v>
      </c>
      <c r="J284" s="19">
        <v>25155.4</v>
      </c>
    </row>
    <row r="285" ht="26.75" spans="1:10">
      <c r="A285" s="18" t="s">
        <v>1986</v>
      </c>
      <c r="B285" s="19" t="s">
        <v>1867</v>
      </c>
      <c r="C285" s="19" t="s">
        <v>1598</v>
      </c>
      <c r="D285" s="19" t="s">
        <v>1850</v>
      </c>
      <c r="E285" s="19" t="s">
        <v>1851</v>
      </c>
      <c r="F285" s="19" t="s">
        <v>1868</v>
      </c>
      <c r="G285" s="19" t="s">
        <v>1899</v>
      </c>
      <c r="H285" s="19">
        <v>10</v>
      </c>
      <c r="I285" s="19">
        <v>2976.69</v>
      </c>
      <c r="J285" s="19">
        <v>29766.9</v>
      </c>
    </row>
    <row r="286" ht="15.25" spans="1:10">
      <c r="A286" s="18" t="s">
        <v>1904</v>
      </c>
      <c r="B286" s="19" t="s">
        <v>1867</v>
      </c>
      <c r="C286" s="19" t="s">
        <v>1856</v>
      </c>
      <c r="D286" s="19" t="s">
        <v>1857</v>
      </c>
      <c r="E286" s="19" t="s">
        <v>1858</v>
      </c>
      <c r="F286" s="19" t="s">
        <v>1868</v>
      </c>
      <c r="G286" s="19" t="s">
        <v>1917</v>
      </c>
      <c r="H286" s="19">
        <v>16</v>
      </c>
      <c r="I286" s="19">
        <v>4047.21</v>
      </c>
      <c r="J286" s="19">
        <v>64755.36</v>
      </c>
    </row>
    <row r="287" ht="15.25" spans="1:10">
      <c r="A287" s="18">
        <v>45203</v>
      </c>
      <c r="B287" s="19" t="s">
        <v>1871</v>
      </c>
      <c r="C287" s="19" t="s">
        <v>1898</v>
      </c>
      <c r="D287" s="19" t="s">
        <v>1879</v>
      </c>
      <c r="E287" s="19" t="s">
        <v>1851</v>
      </c>
      <c r="F287" s="19" t="s">
        <v>1868</v>
      </c>
      <c r="G287" s="19" t="s">
        <v>1907</v>
      </c>
      <c r="H287" s="19">
        <v>18</v>
      </c>
      <c r="I287" s="19">
        <v>2825.07</v>
      </c>
      <c r="J287" s="19">
        <v>50851.26</v>
      </c>
    </row>
    <row r="288" ht="15.25" spans="1:10">
      <c r="A288" s="18" t="s">
        <v>2028</v>
      </c>
      <c r="B288" s="19" t="s">
        <v>1874</v>
      </c>
      <c r="C288" s="19" t="s">
        <v>1626</v>
      </c>
      <c r="D288" s="19" t="s">
        <v>1857</v>
      </c>
      <c r="E288" s="19" t="s">
        <v>1858</v>
      </c>
      <c r="F288" s="19" t="s">
        <v>1865</v>
      </c>
      <c r="G288" s="19" t="s">
        <v>1920</v>
      </c>
      <c r="H288" s="19">
        <v>13</v>
      </c>
      <c r="I288" s="19">
        <v>1406.82</v>
      </c>
      <c r="J288" s="19">
        <v>18288.66</v>
      </c>
    </row>
    <row r="289" ht="26.75" spans="1:10">
      <c r="A289" s="18" t="s">
        <v>2035</v>
      </c>
      <c r="B289" s="19" t="s">
        <v>1902</v>
      </c>
      <c r="C289" s="19" t="s">
        <v>1849</v>
      </c>
      <c r="D289" s="19" t="s">
        <v>1850</v>
      </c>
      <c r="E289" s="19" t="s">
        <v>1851</v>
      </c>
      <c r="F289" s="19" t="s">
        <v>1859</v>
      </c>
      <c r="G289" s="19" t="s">
        <v>1947</v>
      </c>
      <c r="H289" s="19">
        <v>16</v>
      </c>
      <c r="I289" s="19">
        <v>1090.18</v>
      </c>
      <c r="J289" s="19">
        <v>17442.88</v>
      </c>
    </row>
    <row r="290" ht="15.25" spans="1:10">
      <c r="A290" s="18">
        <v>44987</v>
      </c>
      <c r="B290" s="19" t="s">
        <v>1889</v>
      </c>
      <c r="C290" s="19" t="s">
        <v>1589</v>
      </c>
      <c r="D290" s="19" t="s">
        <v>1884</v>
      </c>
      <c r="E290" s="19" t="s">
        <v>1895</v>
      </c>
      <c r="F290" s="19" t="s">
        <v>1876</v>
      </c>
      <c r="G290" s="19" t="s">
        <v>1926</v>
      </c>
      <c r="H290" s="19">
        <v>12</v>
      </c>
      <c r="I290" s="19">
        <v>3696.43</v>
      </c>
      <c r="J290" s="19">
        <v>44357.16</v>
      </c>
    </row>
    <row r="291" ht="15.25" spans="1:10">
      <c r="A291" s="18">
        <v>45180</v>
      </c>
      <c r="B291" s="19" t="s">
        <v>1867</v>
      </c>
      <c r="C291" s="19" t="s">
        <v>1906</v>
      </c>
      <c r="D291" s="19" t="s">
        <v>1862</v>
      </c>
      <c r="E291" s="19" t="s">
        <v>1858</v>
      </c>
      <c r="F291" s="19" t="s">
        <v>1876</v>
      </c>
      <c r="G291" s="19" t="s">
        <v>1926</v>
      </c>
      <c r="H291" s="19">
        <v>7</v>
      </c>
      <c r="I291" s="19">
        <v>4535.14</v>
      </c>
      <c r="J291" s="19">
        <v>31745.98</v>
      </c>
    </row>
    <row r="292" ht="15.25" spans="1:10">
      <c r="A292" s="18">
        <v>44968</v>
      </c>
      <c r="B292" s="19" t="s">
        <v>1871</v>
      </c>
      <c r="C292" s="19" t="s">
        <v>1856</v>
      </c>
      <c r="D292" s="19" t="s">
        <v>1857</v>
      </c>
      <c r="E292" s="19" t="s">
        <v>1858</v>
      </c>
      <c r="F292" s="19" t="s">
        <v>1868</v>
      </c>
      <c r="G292" s="19" t="s">
        <v>1917</v>
      </c>
      <c r="H292" s="19">
        <v>3</v>
      </c>
      <c r="I292" s="19">
        <v>4931.69</v>
      </c>
      <c r="J292" s="19">
        <v>14795.07</v>
      </c>
    </row>
    <row r="293" ht="15.25" spans="1:10">
      <c r="A293" s="18" t="s">
        <v>1885</v>
      </c>
      <c r="B293" s="19" t="s">
        <v>1902</v>
      </c>
      <c r="C293" s="19" t="s">
        <v>1903</v>
      </c>
      <c r="D293" s="19" t="s">
        <v>1884</v>
      </c>
      <c r="E293" s="19" t="s">
        <v>1895</v>
      </c>
      <c r="F293" s="19" t="s">
        <v>1868</v>
      </c>
      <c r="G293" s="19" t="s">
        <v>1869</v>
      </c>
      <c r="H293" s="19">
        <v>16</v>
      </c>
      <c r="I293" s="19">
        <v>3263.65</v>
      </c>
      <c r="J293" s="19">
        <v>52218.4</v>
      </c>
    </row>
    <row r="294" ht="26.75" spans="1:10">
      <c r="A294" s="18" t="s">
        <v>2036</v>
      </c>
      <c r="B294" s="19" t="s">
        <v>1861</v>
      </c>
      <c r="C294" s="19" t="s">
        <v>1593</v>
      </c>
      <c r="D294" s="19" t="s">
        <v>1850</v>
      </c>
      <c r="E294" s="19" t="s">
        <v>1851</v>
      </c>
      <c r="F294" s="19" t="s">
        <v>1859</v>
      </c>
      <c r="G294" s="19" t="s">
        <v>1922</v>
      </c>
      <c r="H294" s="19">
        <v>17</v>
      </c>
      <c r="I294" s="19">
        <v>4083.07</v>
      </c>
      <c r="J294" s="19">
        <v>69412.19</v>
      </c>
    </row>
    <row r="295" ht="26.75" spans="1:10">
      <c r="A295" s="18" t="s">
        <v>1925</v>
      </c>
      <c r="B295" s="19" t="s">
        <v>1878</v>
      </c>
      <c r="C295" s="19" t="s">
        <v>1598</v>
      </c>
      <c r="D295" s="19" t="s">
        <v>1850</v>
      </c>
      <c r="E295" s="19" t="s">
        <v>1851</v>
      </c>
      <c r="F295" s="19" t="s">
        <v>1859</v>
      </c>
      <c r="G295" s="19" t="s">
        <v>1860</v>
      </c>
      <c r="H295" s="19">
        <v>12</v>
      </c>
      <c r="I295" s="19">
        <v>528.69</v>
      </c>
      <c r="J295" s="19">
        <v>6344.28</v>
      </c>
    </row>
    <row r="296" ht="15.25" spans="1:10">
      <c r="A296" s="18">
        <v>45024</v>
      </c>
      <c r="B296" s="19" t="s">
        <v>1892</v>
      </c>
      <c r="C296" s="19" t="s">
        <v>1864</v>
      </c>
      <c r="D296" s="19" t="s">
        <v>1857</v>
      </c>
      <c r="E296" s="19" t="s">
        <v>1858</v>
      </c>
      <c r="F296" s="19" t="s">
        <v>1876</v>
      </c>
      <c r="G296" s="19" t="s">
        <v>1930</v>
      </c>
      <c r="H296" s="19">
        <v>8</v>
      </c>
      <c r="I296" s="19">
        <v>528.93</v>
      </c>
      <c r="J296" s="19">
        <v>4231.44</v>
      </c>
    </row>
    <row r="297" ht="26.75" spans="1:10">
      <c r="A297" s="18">
        <v>45268</v>
      </c>
      <c r="B297" s="19" t="s">
        <v>1848</v>
      </c>
      <c r="C297" s="19" t="s">
        <v>1593</v>
      </c>
      <c r="D297" s="19" t="s">
        <v>1850</v>
      </c>
      <c r="E297" s="19" t="s">
        <v>1851</v>
      </c>
      <c r="F297" s="19" t="s">
        <v>1868</v>
      </c>
      <c r="G297" s="19" t="s">
        <v>1869</v>
      </c>
      <c r="H297" s="19">
        <v>11</v>
      </c>
      <c r="I297" s="19">
        <v>1749.31</v>
      </c>
      <c r="J297" s="19">
        <v>19242.41</v>
      </c>
    </row>
    <row r="298" ht="26.75" spans="1:10">
      <c r="A298" s="18">
        <v>44969</v>
      </c>
      <c r="B298" s="19" t="s">
        <v>1848</v>
      </c>
      <c r="C298" s="19" t="s">
        <v>1849</v>
      </c>
      <c r="D298" s="19" t="s">
        <v>1850</v>
      </c>
      <c r="E298" s="19" t="s">
        <v>1851</v>
      </c>
      <c r="F298" s="19" t="s">
        <v>1859</v>
      </c>
      <c r="G298" s="19" t="s">
        <v>1860</v>
      </c>
      <c r="H298" s="19">
        <v>11</v>
      </c>
      <c r="I298" s="19">
        <v>2635.95</v>
      </c>
      <c r="J298" s="19">
        <v>28995.45</v>
      </c>
    </row>
    <row r="299" ht="26.75" spans="1:10">
      <c r="A299" s="18" t="s">
        <v>1976</v>
      </c>
      <c r="B299" s="19" t="s">
        <v>1874</v>
      </c>
      <c r="C299" s="19" t="s">
        <v>1849</v>
      </c>
      <c r="D299" s="19" t="s">
        <v>1850</v>
      </c>
      <c r="E299" s="19" t="s">
        <v>1851</v>
      </c>
      <c r="F299" s="19" t="s">
        <v>1868</v>
      </c>
      <c r="G299" s="19" t="s">
        <v>1869</v>
      </c>
      <c r="H299" s="19">
        <v>6</v>
      </c>
      <c r="I299" s="19">
        <v>2850.31</v>
      </c>
      <c r="J299" s="19">
        <v>17101.86</v>
      </c>
    </row>
    <row r="300" ht="15.25" spans="1:10">
      <c r="A300" s="18" t="s">
        <v>1983</v>
      </c>
      <c r="B300" s="19" t="s">
        <v>1902</v>
      </c>
      <c r="C300" s="19" t="s">
        <v>1602</v>
      </c>
      <c r="D300" s="19" t="s">
        <v>1862</v>
      </c>
      <c r="E300" s="19" t="s">
        <v>1858</v>
      </c>
      <c r="F300" s="19" t="s">
        <v>1876</v>
      </c>
      <c r="G300" s="19" t="s">
        <v>1883</v>
      </c>
      <c r="H300" s="19">
        <v>5</v>
      </c>
      <c r="I300" s="19">
        <v>1413.03</v>
      </c>
      <c r="J300" s="19">
        <v>7065.15</v>
      </c>
    </row>
    <row r="301" ht="26.75" spans="1:10">
      <c r="A301" s="18" t="s">
        <v>2037</v>
      </c>
      <c r="B301" s="19" t="s">
        <v>1871</v>
      </c>
      <c r="C301" s="19" t="s">
        <v>1598</v>
      </c>
      <c r="D301" s="19" t="s">
        <v>1850</v>
      </c>
      <c r="E301" s="19" t="s">
        <v>1851</v>
      </c>
      <c r="F301" s="19" t="s">
        <v>1876</v>
      </c>
      <c r="G301" s="19" t="s">
        <v>1926</v>
      </c>
      <c r="H301" s="19">
        <v>14</v>
      </c>
      <c r="I301" s="19">
        <v>4541.87</v>
      </c>
      <c r="J301" s="19">
        <v>63586.18</v>
      </c>
    </row>
    <row r="302" ht="15.25" spans="1:10">
      <c r="A302" s="18" t="s">
        <v>1990</v>
      </c>
      <c r="B302" s="19" t="s">
        <v>1871</v>
      </c>
      <c r="C302" s="19" t="s">
        <v>1894</v>
      </c>
      <c r="D302" s="19" t="s">
        <v>1884</v>
      </c>
      <c r="E302" s="19" t="s">
        <v>1895</v>
      </c>
      <c r="F302" s="19" t="s">
        <v>1865</v>
      </c>
      <c r="G302" s="19" t="s">
        <v>1890</v>
      </c>
      <c r="H302" s="19">
        <v>5</v>
      </c>
      <c r="I302" s="19">
        <v>3395.71</v>
      </c>
      <c r="J302" s="19">
        <v>16978.55</v>
      </c>
    </row>
    <row r="303" ht="15.25" spans="1:10">
      <c r="A303" s="18">
        <v>45118</v>
      </c>
      <c r="B303" s="19" t="s">
        <v>1867</v>
      </c>
      <c r="C303" s="19" t="s">
        <v>1610</v>
      </c>
      <c r="D303" s="19" t="s">
        <v>1879</v>
      </c>
      <c r="E303" s="19" t="s">
        <v>1851</v>
      </c>
      <c r="F303" s="19" t="s">
        <v>1859</v>
      </c>
      <c r="G303" s="19" t="s">
        <v>1922</v>
      </c>
      <c r="H303" s="19">
        <v>2</v>
      </c>
      <c r="I303" s="19">
        <v>4050.46</v>
      </c>
      <c r="J303" s="19">
        <v>8100.92</v>
      </c>
    </row>
    <row r="304" ht="15.25" spans="1:10">
      <c r="A304" s="18">
        <v>44993</v>
      </c>
      <c r="B304" s="19" t="s">
        <v>1889</v>
      </c>
      <c r="C304" s="19" t="s">
        <v>1941</v>
      </c>
      <c r="D304" s="19" t="s">
        <v>1879</v>
      </c>
      <c r="E304" s="19" t="s">
        <v>1851</v>
      </c>
      <c r="F304" s="19" t="s">
        <v>1865</v>
      </c>
      <c r="G304" s="19" t="s">
        <v>1866</v>
      </c>
      <c r="H304" s="19">
        <v>6</v>
      </c>
      <c r="I304" s="19">
        <v>3617.81</v>
      </c>
      <c r="J304" s="19">
        <v>21706.86</v>
      </c>
    </row>
    <row r="305" ht="15.25" spans="1:10">
      <c r="A305" s="18" t="s">
        <v>2038</v>
      </c>
      <c r="B305" s="19" t="s">
        <v>1867</v>
      </c>
      <c r="C305" s="19" t="s">
        <v>1856</v>
      </c>
      <c r="D305" s="19" t="s">
        <v>1857</v>
      </c>
      <c r="E305" s="19" t="s">
        <v>1858</v>
      </c>
      <c r="F305" s="19" t="s">
        <v>1868</v>
      </c>
      <c r="G305" s="19" t="s">
        <v>1899</v>
      </c>
      <c r="H305" s="19">
        <v>11</v>
      </c>
      <c r="I305" s="19">
        <v>1527.71</v>
      </c>
      <c r="J305" s="19">
        <v>16804.81</v>
      </c>
    </row>
    <row r="306" ht="15.25" spans="1:10">
      <c r="A306" s="18">
        <v>45079</v>
      </c>
      <c r="B306" s="19" t="s">
        <v>1889</v>
      </c>
      <c r="C306" s="19" t="s">
        <v>1589</v>
      </c>
      <c r="D306" s="19" t="s">
        <v>1884</v>
      </c>
      <c r="E306" s="19" t="s">
        <v>1895</v>
      </c>
      <c r="F306" s="19" t="s">
        <v>1876</v>
      </c>
      <c r="G306" s="19" t="s">
        <v>1930</v>
      </c>
      <c r="H306" s="19">
        <v>7</v>
      </c>
      <c r="I306" s="19">
        <v>1420.32</v>
      </c>
      <c r="J306" s="19">
        <v>9942.24</v>
      </c>
    </row>
    <row r="307" ht="15.25" spans="1:10">
      <c r="A307" s="18" t="s">
        <v>1888</v>
      </c>
      <c r="B307" s="19" t="s">
        <v>1871</v>
      </c>
      <c r="C307" s="19" t="s">
        <v>1864</v>
      </c>
      <c r="D307" s="19" t="s">
        <v>1857</v>
      </c>
      <c r="E307" s="19" t="s">
        <v>1858</v>
      </c>
      <c r="F307" s="19" t="s">
        <v>1876</v>
      </c>
      <c r="G307" s="19" t="s">
        <v>1877</v>
      </c>
      <c r="H307" s="19">
        <v>17</v>
      </c>
      <c r="I307" s="19">
        <v>1336.86</v>
      </c>
      <c r="J307" s="19">
        <v>22726.62</v>
      </c>
    </row>
    <row r="308" ht="15.25" spans="1:10">
      <c r="A308" s="18">
        <v>45200</v>
      </c>
      <c r="B308" s="19" t="s">
        <v>1848</v>
      </c>
      <c r="C308" s="19" t="s">
        <v>1941</v>
      </c>
      <c r="D308" s="19" t="s">
        <v>1879</v>
      </c>
      <c r="E308" s="19" t="s">
        <v>1851</v>
      </c>
      <c r="F308" s="19" t="s">
        <v>1865</v>
      </c>
      <c r="G308" s="19" t="s">
        <v>1866</v>
      </c>
      <c r="H308" s="19">
        <v>15</v>
      </c>
      <c r="I308" s="19">
        <v>359.4</v>
      </c>
      <c r="J308" s="19">
        <v>5391</v>
      </c>
    </row>
    <row r="309" ht="15.25" spans="1:10">
      <c r="A309" s="18" t="s">
        <v>1977</v>
      </c>
      <c r="B309" s="19" t="s">
        <v>1892</v>
      </c>
      <c r="C309" s="19" t="s">
        <v>1589</v>
      </c>
      <c r="D309" s="19" t="s">
        <v>1884</v>
      </c>
      <c r="E309" s="19" t="s">
        <v>1895</v>
      </c>
      <c r="F309" s="19" t="s">
        <v>1852</v>
      </c>
      <c r="G309" s="19" t="s">
        <v>1950</v>
      </c>
      <c r="H309" s="19">
        <v>6</v>
      </c>
      <c r="I309" s="19">
        <v>4109.02</v>
      </c>
      <c r="J309" s="19">
        <v>24654.12</v>
      </c>
    </row>
    <row r="310" ht="15.25" spans="1:10">
      <c r="A310" s="18">
        <v>45140</v>
      </c>
      <c r="B310" s="19" t="s">
        <v>1861</v>
      </c>
      <c r="C310" s="19" t="s">
        <v>1602</v>
      </c>
      <c r="D310" s="19" t="s">
        <v>1862</v>
      </c>
      <c r="E310" s="19" t="s">
        <v>1858</v>
      </c>
      <c r="F310" s="19" t="s">
        <v>1852</v>
      </c>
      <c r="G310" s="19" t="s">
        <v>1853</v>
      </c>
      <c r="H310" s="19">
        <v>12</v>
      </c>
      <c r="I310" s="19">
        <v>3700.23</v>
      </c>
      <c r="J310" s="19">
        <v>44402.76</v>
      </c>
    </row>
    <row r="311" ht="15.25" spans="1:10">
      <c r="A311" s="18" t="s">
        <v>2015</v>
      </c>
      <c r="B311" s="19" t="s">
        <v>1867</v>
      </c>
      <c r="C311" s="19" t="s">
        <v>1864</v>
      </c>
      <c r="D311" s="19" t="s">
        <v>1857</v>
      </c>
      <c r="E311" s="19" t="s">
        <v>1858</v>
      </c>
      <c r="F311" s="19" t="s">
        <v>1852</v>
      </c>
      <c r="G311" s="19" t="s">
        <v>1950</v>
      </c>
      <c r="H311" s="19">
        <v>5</v>
      </c>
      <c r="I311" s="19">
        <v>221.41</v>
      </c>
      <c r="J311" s="19">
        <v>1107.05</v>
      </c>
    </row>
    <row r="312" ht="15.25" spans="1:10">
      <c r="A312" s="18" t="s">
        <v>1969</v>
      </c>
      <c r="B312" s="19" t="s">
        <v>1892</v>
      </c>
      <c r="C312" s="19" t="s">
        <v>1906</v>
      </c>
      <c r="D312" s="19" t="s">
        <v>1862</v>
      </c>
      <c r="E312" s="19" t="s">
        <v>1858</v>
      </c>
      <c r="F312" s="19" t="s">
        <v>1865</v>
      </c>
      <c r="G312" s="19" t="s">
        <v>1866</v>
      </c>
      <c r="H312" s="19">
        <v>12</v>
      </c>
      <c r="I312" s="19">
        <v>4446.15</v>
      </c>
      <c r="J312" s="19">
        <v>53353.8</v>
      </c>
    </row>
    <row r="313" ht="15.25" spans="1:10">
      <c r="A313" s="18">
        <v>45145</v>
      </c>
      <c r="B313" s="19" t="s">
        <v>1871</v>
      </c>
      <c r="C313" s="19" t="s">
        <v>1906</v>
      </c>
      <c r="D313" s="19" t="s">
        <v>1862</v>
      </c>
      <c r="E313" s="19" t="s">
        <v>1858</v>
      </c>
      <c r="F313" s="19" t="s">
        <v>1868</v>
      </c>
      <c r="G313" s="19" t="s">
        <v>1869</v>
      </c>
      <c r="H313" s="19">
        <v>12</v>
      </c>
      <c r="I313" s="19">
        <v>2393.97</v>
      </c>
      <c r="J313" s="19">
        <v>28727.64</v>
      </c>
    </row>
    <row r="314" ht="15.25" spans="1:10">
      <c r="A314" s="18">
        <v>45266</v>
      </c>
      <c r="B314" s="19" t="s">
        <v>1874</v>
      </c>
      <c r="C314" s="19" t="s">
        <v>1894</v>
      </c>
      <c r="D314" s="19" t="s">
        <v>1884</v>
      </c>
      <c r="E314" s="19" t="s">
        <v>1895</v>
      </c>
      <c r="F314" s="19" t="s">
        <v>1868</v>
      </c>
      <c r="G314" s="19" t="s">
        <v>1907</v>
      </c>
      <c r="H314" s="19">
        <v>7</v>
      </c>
      <c r="I314" s="19">
        <v>256.57</v>
      </c>
      <c r="J314" s="19">
        <v>1795.99</v>
      </c>
    </row>
    <row r="315" ht="15.25" spans="1:10">
      <c r="A315" s="18" t="s">
        <v>2039</v>
      </c>
      <c r="B315" s="19" t="s">
        <v>1892</v>
      </c>
      <c r="C315" s="19" t="s">
        <v>1626</v>
      </c>
      <c r="D315" s="19" t="s">
        <v>1857</v>
      </c>
      <c r="E315" s="19" t="s">
        <v>1858</v>
      </c>
      <c r="F315" s="19" t="s">
        <v>1865</v>
      </c>
      <c r="G315" s="19" t="s">
        <v>1920</v>
      </c>
      <c r="H315" s="19">
        <v>9</v>
      </c>
      <c r="I315" s="19">
        <v>4218.36</v>
      </c>
      <c r="J315" s="19">
        <v>37965.24</v>
      </c>
    </row>
    <row r="316" ht="15.25" spans="1:10">
      <c r="A316" s="18" t="s">
        <v>1993</v>
      </c>
      <c r="B316" s="19" t="s">
        <v>1871</v>
      </c>
      <c r="C316" s="19" t="s">
        <v>1894</v>
      </c>
      <c r="D316" s="19" t="s">
        <v>1884</v>
      </c>
      <c r="E316" s="19" t="s">
        <v>1895</v>
      </c>
      <c r="F316" s="19" t="s">
        <v>1865</v>
      </c>
      <c r="G316" s="19" t="s">
        <v>1886</v>
      </c>
      <c r="H316" s="19">
        <v>8</v>
      </c>
      <c r="I316" s="19">
        <v>4930.67</v>
      </c>
      <c r="J316" s="19">
        <v>39445.36</v>
      </c>
    </row>
    <row r="317" ht="15.25" spans="1:10">
      <c r="A317" s="18" t="s">
        <v>2040</v>
      </c>
      <c r="B317" s="19" t="s">
        <v>1855</v>
      </c>
      <c r="C317" s="19" t="s">
        <v>1864</v>
      </c>
      <c r="D317" s="19" t="s">
        <v>1857</v>
      </c>
      <c r="E317" s="19" t="s">
        <v>1858</v>
      </c>
      <c r="F317" s="19" t="s">
        <v>1865</v>
      </c>
      <c r="G317" s="19" t="s">
        <v>1886</v>
      </c>
      <c r="H317" s="19">
        <v>2</v>
      </c>
      <c r="I317" s="19">
        <v>1264.68</v>
      </c>
      <c r="J317" s="19">
        <v>2529.36</v>
      </c>
    </row>
    <row r="318" ht="26.75" spans="1:10">
      <c r="A318" s="18">
        <v>45113</v>
      </c>
      <c r="B318" s="19" t="s">
        <v>1848</v>
      </c>
      <c r="C318" s="19" t="s">
        <v>1598</v>
      </c>
      <c r="D318" s="19" t="s">
        <v>1850</v>
      </c>
      <c r="E318" s="19" t="s">
        <v>1851</v>
      </c>
      <c r="F318" s="19" t="s">
        <v>1859</v>
      </c>
      <c r="G318" s="19" t="s">
        <v>1872</v>
      </c>
      <c r="H318" s="19">
        <v>16</v>
      </c>
      <c r="I318" s="19">
        <v>2192.74</v>
      </c>
      <c r="J318" s="19">
        <v>35083.84</v>
      </c>
    </row>
    <row r="319" ht="26.75" spans="1:10">
      <c r="A319" s="18" t="s">
        <v>1893</v>
      </c>
      <c r="B319" s="19" t="s">
        <v>1855</v>
      </c>
      <c r="C319" s="19" t="s">
        <v>1598</v>
      </c>
      <c r="D319" s="19" t="s">
        <v>1850</v>
      </c>
      <c r="E319" s="19" t="s">
        <v>1851</v>
      </c>
      <c r="F319" s="19" t="s">
        <v>1868</v>
      </c>
      <c r="G319" s="19" t="s">
        <v>1899</v>
      </c>
      <c r="H319" s="19">
        <v>14</v>
      </c>
      <c r="I319" s="19">
        <v>3943.42</v>
      </c>
      <c r="J319" s="19">
        <v>55207.88</v>
      </c>
    </row>
    <row r="320" ht="15.25" spans="1:10">
      <c r="A320" s="18">
        <v>44994</v>
      </c>
      <c r="B320" s="19" t="s">
        <v>1889</v>
      </c>
      <c r="C320" s="19" t="s">
        <v>1898</v>
      </c>
      <c r="D320" s="19" t="s">
        <v>1879</v>
      </c>
      <c r="E320" s="19" t="s">
        <v>1851</v>
      </c>
      <c r="F320" s="19" t="s">
        <v>1868</v>
      </c>
      <c r="G320" s="19" t="s">
        <v>1917</v>
      </c>
      <c r="H320" s="19">
        <v>11</v>
      </c>
      <c r="I320" s="19">
        <v>2951.18</v>
      </c>
      <c r="J320" s="19">
        <v>32462.98</v>
      </c>
    </row>
    <row r="321" ht="15.25" spans="1:10">
      <c r="A321" s="18" t="s">
        <v>2041</v>
      </c>
      <c r="B321" s="19" t="s">
        <v>1878</v>
      </c>
      <c r="C321" s="19" t="s">
        <v>1864</v>
      </c>
      <c r="D321" s="19" t="s">
        <v>1857</v>
      </c>
      <c r="E321" s="19" t="s">
        <v>1858</v>
      </c>
      <c r="F321" s="19" t="s">
        <v>1868</v>
      </c>
      <c r="G321" s="19" t="s">
        <v>1907</v>
      </c>
      <c r="H321" s="19">
        <v>11</v>
      </c>
      <c r="I321" s="19">
        <v>4325.83</v>
      </c>
      <c r="J321" s="19">
        <v>47584.13</v>
      </c>
    </row>
    <row r="322" ht="15.25" spans="1:10">
      <c r="A322" s="18" t="s">
        <v>2042</v>
      </c>
      <c r="B322" s="19" t="s">
        <v>1878</v>
      </c>
      <c r="C322" s="19" t="s">
        <v>1898</v>
      </c>
      <c r="D322" s="19" t="s">
        <v>1879</v>
      </c>
      <c r="E322" s="19" t="s">
        <v>1851</v>
      </c>
      <c r="F322" s="19" t="s">
        <v>1876</v>
      </c>
      <c r="G322" s="19" t="s">
        <v>1930</v>
      </c>
      <c r="H322" s="19">
        <v>2</v>
      </c>
      <c r="I322" s="19">
        <v>1417.87</v>
      </c>
      <c r="J322" s="19">
        <v>2835.74</v>
      </c>
    </row>
    <row r="323" ht="26.75" spans="1:10">
      <c r="A323" s="18" t="s">
        <v>2043</v>
      </c>
      <c r="B323" s="19" t="s">
        <v>1878</v>
      </c>
      <c r="C323" s="19" t="s">
        <v>1593</v>
      </c>
      <c r="D323" s="19" t="s">
        <v>1850</v>
      </c>
      <c r="E323" s="19" t="s">
        <v>1851</v>
      </c>
      <c r="F323" s="19" t="s">
        <v>1859</v>
      </c>
      <c r="G323" s="19" t="s">
        <v>1860</v>
      </c>
      <c r="H323" s="19">
        <v>13</v>
      </c>
      <c r="I323" s="19">
        <v>2511.64</v>
      </c>
      <c r="J323" s="19">
        <v>32651.32</v>
      </c>
    </row>
    <row r="324" ht="26.75" spans="1:10">
      <c r="A324" s="18">
        <v>44931</v>
      </c>
      <c r="B324" s="19" t="s">
        <v>1889</v>
      </c>
      <c r="C324" s="19" t="s">
        <v>1593</v>
      </c>
      <c r="D324" s="19" t="s">
        <v>1850</v>
      </c>
      <c r="E324" s="19" t="s">
        <v>1851</v>
      </c>
      <c r="F324" s="19" t="s">
        <v>1852</v>
      </c>
      <c r="G324" s="19" t="s">
        <v>1853</v>
      </c>
      <c r="H324" s="19">
        <v>7</v>
      </c>
      <c r="I324" s="19">
        <v>862.76</v>
      </c>
      <c r="J324" s="19">
        <v>6039.32</v>
      </c>
    </row>
    <row r="325" ht="15.25" spans="1:10">
      <c r="A325" s="18">
        <v>44936</v>
      </c>
      <c r="B325" s="19" t="s">
        <v>1855</v>
      </c>
      <c r="C325" s="19" t="s">
        <v>1875</v>
      </c>
      <c r="D325" s="19" t="s">
        <v>1862</v>
      </c>
      <c r="E325" s="19" t="s">
        <v>1858</v>
      </c>
      <c r="F325" s="19" t="s">
        <v>1865</v>
      </c>
      <c r="G325" s="19" t="s">
        <v>1920</v>
      </c>
      <c r="H325" s="19">
        <v>18</v>
      </c>
      <c r="I325" s="19">
        <v>1412.15</v>
      </c>
      <c r="J325" s="19">
        <v>25418.7</v>
      </c>
    </row>
    <row r="326" ht="15.25" spans="1:10">
      <c r="A326" s="18">
        <v>45261</v>
      </c>
      <c r="B326" s="19" t="s">
        <v>1889</v>
      </c>
      <c r="C326" s="19" t="s">
        <v>1941</v>
      </c>
      <c r="D326" s="19" t="s">
        <v>1879</v>
      </c>
      <c r="E326" s="19" t="s">
        <v>1851</v>
      </c>
      <c r="F326" s="19" t="s">
        <v>1859</v>
      </c>
      <c r="G326" s="19" t="s">
        <v>1860</v>
      </c>
      <c r="H326" s="19">
        <v>6</v>
      </c>
      <c r="I326" s="19">
        <v>3295.29</v>
      </c>
      <c r="J326" s="19">
        <v>19771.74</v>
      </c>
    </row>
    <row r="327" ht="15.25" spans="1:10">
      <c r="A327" s="18" t="s">
        <v>2044</v>
      </c>
      <c r="B327" s="19" t="s">
        <v>1902</v>
      </c>
      <c r="C327" s="19" t="s">
        <v>1856</v>
      </c>
      <c r="D327" s="19" t="s">
        <v>1857</v>
      </c>
      <c r="E327" s="19" t="s">
        <v>1858</v>
      </c>
      <c r="F327" s="19" t="s">
        <v>1859</v>
      </c>
      <c r="G327" s="19" t="s">
        <v>1922</v>
      </c>
      <c r="H327" s="19">
        <v>18</v>
      </c>
      <c r="I327" s="19">
        <v>4132.69</v>
      </c>
      <c r="J327" s="19">
        <v>74388.42</v>
      </c>
    </row>
    <row r="328" ht="15.25" spans="1:10">
      <c r="A328" s="18">
        <v>45179</v>
      </c>
      <c r="B328" s="19" t="s">
        <v>1861</v>
      </c>
      <c r="C328" s="19" t="s">
        <v>1864</v>
      </c>
      <c r="D328" s="19" t="s">
        <v>1857</v>
      </c>
      <c r="E328" s="19" t="s">
        <v>1858</v>
      </c>
      <c r="F328" s="19" t="s">
        <v>1876</v>
      </c>
      <c r="G328" s="19" t="s">
        <v>1926</v>
      </c>
      <c r="H328" s="19">
        <v>7</v>
      </c>
      <c r="I328" s="19">
        <v>1557.83</v>
      </c>
      <c r="J328" s="19">
        <v>10904.81</v>
      </c>
    </row>
    <row r="329" ht="15.25" spans="1:10">
      <c r="A329" s="18" t="s">
        <v>2045</v>
      </c>
      <c r="B329" s="19" t="s">
        <v>1892</v>
      </c>
      <c r="C329" s="19" t="s">
        <v>1894</v>
      </c>
      <c r="D329" s="19" t="s">
        <v>1884</v>
      </c>
      <c r="E329" s="19" t="s">
        <v>1895</v>
      </c>
      <c r="F329" s="19" t="s">
        <v>1859</v>
      </c>
      <c r="G329" s="19" t="s">
        <v>1872</v>
      </c>
      <c r="H329" s="19">
        <v>7</v>
      </c>
      <c r="I329" s="19">
        <v>4673.31</v>
      </c>
      <c r="J329" s="19">
        <v>32713.17</v>
      </c>
    </row>
    <row r="330" ht="26.75" spans="1:10">
      <c r="A330" s="18" t="s">
        <v>2008</v>
      </c>
      <c r="B330" s="19" t="s">
        <v>1861</v>
      </c>
      <c r="C330" s="19" t="s">
        <v>1593</v>
      </c>
      <c r="D330" s="19" t="s">
        <v>1850</v>
      </c>
      <c r="E330" s="19" t="s">
        <v>1851</v>
      </c>
      <c r="F330" s="19" t="s">
        <v>1868</v>
      </c>
      <c r="G330" s="19" t="s">
        <v>1917</v>
      </c>
      <c r="H330" s="19">
        <v>5</v>
      </c>
      <c r="I330" s="19">
        <v>3775.72</v>
      </c>
      <c r="J330" s="19">
        <v>18878.6</v>
      </c>
    </row>
    <row r="331" ht="26.75" spans="1:10">
      <c r="A331" s="18" t="s">
        <v>1942</v>
      </c>
      <c r="B331" s="19" t="s">
        <v>1889</v>
      </c>
      <c r="C331" s="19" t="s">
        <v>1593</v>
      </c>
      <c r="D331" s="19" t="s">
        <v>1850</v>
      </c>
      <c r="E331" s="19" t="s">
        <v>1851</v>
      </c>
      <c r="F331" s="19" t="s">
        <v>1852</v>
      </c>
      <c r="G331" s="19" t="s">
        <v>1910</v>
      </c>
      <c r="H331" s="19">
        <v>6</v>
      </c>
      <c r="I331" s="19">
        <v>3524.48</v>
      </c>
      <c r="J331" s="19">
        <v>21146.88</v>
      </c>
    </row>
    <row r="332" ht="15.25" spans="1:10">
      <c r="A332" s="18" t="s">
        <v>1997</v>
      </c>
      <c r="B332" s="19" t="s">
        <v>1867</v>
      </c>
      <c r="C332" s="19" t="s">
        <v>1898</v>
      </c>
      <c r="D332" s="19" t="s">
        <v>1879</v>
      </c>
      <c r="E332" s="19" t="s">
        <v>1851</v>
      </c>
      <c r="F332" s="19" t="s">
        <v>1876</v>
      </c>
      <c r="G332" s="19" t="s">
        <v>1883</v>
      </c>
      <c r="H332" s="19">
        <v>1</v>
      </c>
      <c r="I332" s="19">
        <v>2961.1</v>
      </c>
      <c r="J332" s="19">
        <v>2961.1</v>
      </c>
    </row>
    <row r="333" ht="15.25" spans="1:10">
      <c r="A333" s="18">
        <v>44930</v>
      </c>
      <c r="B333" s="19" t="s">
        <v>1861</v>
      </c>
      <c r="C333" s="19" t="s">
        <v>1602</v>
      </c>
      <c r="D333" s="19" t="s">
        <v>1862</v>
      </c>
      <c r="E333" s="19" t="s">
        <v>1858</v>
      </c>
      <c r="F333" s="19" t="s">
        <v>1859</v>
      </c>
      <c r="G333" s="19" t="s">
        <v>1947</v>
      </c>
      <c r="H333" s="19">
        <v>13</v>
      </c>
      <c r="I333" s="19">
        <v>513.06</v>
      </c>
      <c r="J333" s="19">
        <v>6669.78</v>
      </c>
    </row>
    <row r="334" ht="15.25" spans="1:10">
      <c r="A334" s="18" t="s">
        <v>2021</v>
      </c>
      <c r="B334" s="19" t="s">
        <v>1861</v>
      </c>
      <c r="C334" s="19" t="s">
        <v>1602</v>
      </c>
      <c r="D334" s="19" t="s">
        <v>1862</v>
      </c>
      <c r="E334" s="19" t="s">
        <v>1858</v>
      </c>
      <c r="F334" s="19" t="s">
        <v>1852</v>
      </c>
      <c r="G334" s="19" t="s">
        <v>1934</v>
      </c>
      <c r="H334" s="19">
        <v>3</v>
      </c>
      <c r="I334" s="19">
        <v>953.26</v>
      </c>
      <c r="J334" s="19">
        <v>2859.78</v>
      </c>
    </row>
    <row r="335" ht="15.25" spans="1:10">
      <c r="A335" s="18" t="s">
        <v>1988</v>
      </c>
      <c r="B335" s="19" t="s">
        <v>1848</v>
      </c>
      <c r="C335" s="19" t="s">
        <v>1903</v>
      </c>
      <c r="D335" s="19" t="s">
        <v>1884</v>
      </c>
      <c r="E335" s="19" t="s">
        <v>1895</v>
      </c>
      <c r="F335" s="19" t="s">
        <v>1859</v>
      </c>
      <c r="G335" s="19" t="s">
        <v>1872</v>
      </c>
      <c r="H335" s="19">
        <v>2</v>
      </c>
      <c r="I335" s="19">
        <v>1189.65</v>
      </c>
      <c r="J335" s="19">
        <v>2379.3</v>
      </c>
    </row>
    <row r="336" ht="15.25" spans="1:10">
      <c r="A336" s="18">
        <v>44933</v>
      </c>
      <c r="B336" s="19" t="s">
        <v>1892</v>
      </c>
      <c r="C336" s="19" t="s">
        <v>1602</v>
      </c>
      <c r="D336" s="19" t="s">
        <v>1862</v>
      </c>
      <c r="E336" s="19" t="s">
        <v>1858</v>
      </c>
      <c r="F336" s="19" t="s">
        <v>1859</v>
      </c>
      <c r="G336" s="19" t="s">
        <v>1872</v>
      </c>
      <c r="H336" s="19">
        <v>1</v>
      </c>
      <c r="I336" s="19">
        <v>1915.3</v>
      </c>
      <c r="J336" s="19">
        <v>1915.3</v>
      </c>
    </row>
    <row r="337" ht="15.25" spans="1:10">
      <c r="A337" s="18">
        <v>45178</v>
      </c>
      <c r="B337" s="19" t="s">
        <v>1889</v>
      </c>
      <c r="C337" s="19" t="s">
        <v>1626</v>
      </c>
      <c r="D337" s="19" t="s">
        <v>1857</v>
      </c>
      <c r="E337" s="19" t="s">
        <v>1858</v>
      </c>
      <c r="F337" s="19" t="s">
        <v>1859</v>
      </c>
      <c r="G337" s="19" t="s">
        <v>1922</v>
      </c>
      <c r="H337" s="19">
        <v>8</v>
      </c>
      <c r="I337" s="19">
        <v>3927.74</v>
      </c>
      <c r="J337" s="19">
        <v>31421.92</v>
      </c>
    </row>
    <row r="338" ht="15.25" spans="1:10">
      <c r="A338" s="18" t="s">
        <v>2036</v>
      </c>
      <c r="B338" s="19" t="s">
        <v>1902</v>
      </c>
      <c r="C338" s="19" t="s">
        <v>1589</v>
      </c>
      <c r="D338" s="19" t="s">
        <v>1884</v>
      </c>
      <c r="E338" s="19" t="s">
        <v>1895</v>
      </c>
      <c r="F338" s="19" t="s">
        <v>1865</v>
      </c>
      <c r="G338" s="19" t="s">
        <v>1920</v>
      </c>
      <c r="H338" s="19">
        <v>10</v>
      </c>
      <c r="I338" s="19">
        <v>2682.33</v>
      </c>
      <c r="J338" s="19">
        <v>26823.3</v>
      </c>
    </row>
    <row r="339" ht="15.25" spans="1:10">
      <c r="A339" s="18">
        <v>44995</v>
      </c>
      <c r="B339" s="19" t="s">
        <v>1892</v>
      </c>
      <c r="C339" s="19" t="s">
        <v>1864</v>
      </c>
      <c r="D339" s="19" t="s">
        <v>1857</v>
      </c>
      <c r="E339" s="19" t="s">
        <v>1858</v>
      </c>
      <c r="F339" s="19" t="s">
        <v>1876</v>
      </c>
      <c r="G339" s="19" t="s">
        <v>1926</v>
      </c>
      <c r="H339" s="19">
        <v>6</v>
      </c>
      <c r="I339" s="19">
        <v>4086.27</v>
      </c>
      <c r="J339" s="19">
        <v>24517.62</v>
      </c>
    </row>
    <row r="340" ht="15.25" spans="1:10">
      <c r="A340" s="18" t="s">
        <v>1951</v>
      </c>
      <c r="B340" s="19" t="s">
        <v>1892</v>
      </c>
      <c r="C340" s="19" t="s">
        <v>1864</v>
      </c>
      <c r="D340" s="19" t="s">
        <v>1857</v>
      </c>
      <c r="E340" s="19" t="s">
        <v>1858</v>
      </c>
      <c r="F340" s="19" t="s">
        <v>1876</v>
      </c>
      <c r="G340" s="19" t="s">
        <v>1877</v>
      </c>
      <c r="H340" s="19">
        <v>8</v>
      </c>
      <c r="I340" s="19">
        <v>827.02</v>
      </c>
      <c r="J340" s="19">
        <v>6616.16</v>
      </c>
    </row>
    <row r="341" ht="15.25" spans="1:10">
      <c r="A341" s="18">
        <v>45051</v>
      </c>
      <c r="B341" s="19" t="s">
        <v>1902</v>
      </c>
      <c r="C341" s="19" t="s">
        <v>1903</v>
      </c>
      <c r="D341" s="19" t="s">
        <v>1884</v>
      </c>
      <c r="E341" s="19" t="s">
        <v>1895</v>
      </c>
      <c r="F341" s="19" t="s">
        <v>1868</v>
      </c>
      <c r="G341" s="19" t="s">
        <v>1899</v>
      </c>
      <c r="H341" s="19">
        <v>14</v>
      </c>
      <c r="I341" s="19">
        <v>4728.44</v>
      </c>
      <c r="J341" s="19">
        <v>66198.16</v>
      </c>
    </row>
    <row r="342" ht="15.25" spans="1:10">
      <c r="A342" s="18" t="s">
        <v>2046</v>
      </c>
      <c r="B342" s="19" t="s">
        <v>1867</v>
      </c>
      <c r="C342" s="19" t="s">
        <v>1610</v>
      </c>
      <c r="D342" s="19" t="s">
        <v>1879</v>
      </c>
      <c r="E342" s="19" t="s">
        <v>1851</v>
      </c>
      <c r="F342" s="19" t="s">
        <v>1852</v>
      </c>
      <c r="G342" s="19" t="s">
        <v>1910</v>
      </c>
      <c r="H342" s="19">
        <v>11</v>
      </c>
      <c r="I342" s="19">
        <v>575.73</v>
      </c>
      <c r="J342" s="19">
        <v>6333.03</v>
      </c>
    </row>
    <row r="343" ht="26.75" spans="1:10">
      <c r="A343" s="18" t="s">
        <v>2047</v>
      </c>
      <c r="B343" s="19" t="s">
        <v>1861</v>
      </c>
      <c r="C343" s="19" t="s">
        <v>1598</v>
      </c>
      <c r="D343" s="19" t="s">
        <v>1850</v>
      </c>
      <c r="E343" s="19" t="s">
        <v>1851</v>
      </c>
      <c r="F343" s="19" t="s">
        <v>1852</v>
      </c>
      <c r="G343" s="19" t="s">
        <v>1910</v>
      </c>
      <c r="H343" s="19">
        <v>4</v>
      </c>
      <c r="I343" s="19">
        <v>578.35</v>
      </c>
      <c r="J343" s="19">
        <v>2313.4</v>
      </c>
    </row>
    <row r="344" ht="15.25" spans="1:10">
      <c r="A344" s="18" t="s">
        <v>2048</v>
      </c>
      <c r="B344" s="19" t="s">
        <v>1889</v>
      </c>
      <c r="C344" s="19" t="s">
        <v>1864</v>
      </c>
      <c r="D344" s="19" t="s">
        <v>1857</v>
      </c>
      <c r="E344" s="19" t="s">
        <v>1858</v>
      </c>
      <c r="F344" s="19" t="s">
        <v>1859</v>
      </c>
      <c r="G344" s="19" t="s">
        <v>1860</v>
      </c>
      <c r="H344" s="19">
        <v>8</v>
      </c>
      <c r="I344" s="19">
        <v>3043.72</v>
      </c>
      <c r="J344" s="19">
        <v>24349.76</v>
      </c>
    </row>
    <row r="345" ht="15.25" spans="1:10">
      <c r="A345" s="18" t="s">
        <v>2039</v>
      </c>
      <c r="B345" s="19" t="s">
        <v>1871</v>
      </c>
      <c r="C345" s="19" t="s">
        <v>1875</v>
      </c>
      <c r="D345" s="19" t="s">
        <v>1862</v>
      </c>
      <c r="E345" s="19" t="s">
        <v>1858</v>
      </c>
      <c r="F345" s="19" t="s">
        <v>1852</v>
      </c>
      <c r="G345" s="19" t="s">
        <v>1853</v>
      </c>
      <c r="H345" s="19">
        <v>10</v>
      </c>
      <c r="I345" s="19">
        <v>3339.72</v>
      </c>
      <c r="J345" s="19">
        <v>33397.2</v>
      </c>
    </row>
    <row r="346" ht="15.25" spans="1:10">
      <c r="A346" s="18">
        <v>45269</v>
      </c>
      <c r="B346" s="19" t="s">
        <v>1848</v>
      </c>
      <c r="C346" s="19" t="s">
        <v>1903</v>
      </c>
      <c r="D346" s="19" t="s">
        <v>1884</v>
      </c>
      <c r="E346" s="19" t="s">
        <v>1895</v>
      </c>
      <c r="F346" s="19" t="s">
        <v>1852</v>
      </c>
      <c r="G346" s="19" t="s">
        <v>1853</v>
      </c>
      <c r="H346" s="19">
        <v>7</v>
      </c>
      <c r="I346" s="19">
        <v>2286.4</v>
      </c>
      <c r="J346" s="19">
        <v>16004.8</v>
      </c>
    </row>
    <row r="347" ht="15.25" spans="1:10">
      <c r="A347" s="18" t="s">
        <v>1938</v>
      </c>
      <c r="B347" s="19" t="s">
        <v>1892</v>
      </c>
      <c r="C347" s="19" t="s">
        <v>1626</v>
      </c>
      <c r="D347" s="19" t="s">
        <v>1857</v>
      </c>
      <c r="E347" s="19" t="s">
        <v>1858</v>
      </c>
      <c r="F347" s="19" t="s">
        <v>1859</v>
      </c>
      <c r="G347" s="19" t="s">
        <v>1922</v>
      </c>
      <c r="H347" s="19">
        <v>6</v>
      </c>
      <c r="I347" s="19">
        <v>4862.26</v>
      </c>
      <c r="J347" s="19">
        <v>29173.56</v>
      </c>
    </row>
    <row r="348" ht="15.25" spans="1:10">
      <c r="A348" s="18" t="s">
        <v>2018</v>
      </c>
      <c r="B348" s="19" t="s">
        <v>1878</v>
      </c>
      <c r="C348" s="19" t="s">
        <v>1906</v>
      </c>
      <c r="D348" s="19" t="s">
        <v>1862</v>
      </c>
      <c r="E348" s="19" t="s">
        <v>1858</v>
      </c>
      <c r="F348" s="19" t="s">
        <v>1876</v>
      </c>
      <c r="G348" s="19" t="s">
        <v>1883</v>
      </c>
      <c r="H348" s="19">
        <v>6</v>
      </c>
      <c r="I348" s="19">
        <v>3470.44</v>
      </c>
      <c r="J348" s="19">
        <v>20822.64</v>
      </c>
    </row>
    <row r="349" ht="26.75" spans="1:10">
      <c r="A349" s="18" t="s">
        <v>2049</v>
      </c>
      <c r="B349" s="19" t="s">
        <v>1874</v>
      </c>
      <c r="C349" s="19" t="s">
        <v>1849</v>
      </c>
      <c r="D349" s="19" t="s">
        <v>1850</v>
      </c>
      <c r="E349" s="19" t="s">
        <v>1851</v>
      </c>
      <c r="F349" s="19" t="s">
        <v>1865</v>
      </c>
      <c r="G349" s="19" t="s">
        <v>1886</v>
      </c>
      <c r="H349" s="19">
        <v>5</v>
      </c>
      <c r="I349" s="19">
        <v>4175.13</v>
      </c>
      <c r="J349" s="19">
        <v>20875.65</v>
      </c>
    </row>
    <row r="350" ht="15.25" spans="1:10">
      <c r="A350" s="18">
        <v>45056</v>
      </c>
      <c r="B350" s="19" t="s">
        <v>1889</v>
      </c>
      <c r="C350" s="19" t="s">
        <v>1602</v>
      </c>
      <c r="D350" s="19" t="s">
        <v>1862</v>
      </c>
      <c r="E350" s="19" t="s">
        <v>1858</v>
      </c>
      <c r="F350" s="19" t="s">
        <v>1868</v>
      </c>
      <c r="G350" s="19" t="s">
        <v>1899</v>
      </c>
      <c r="H350" s="19">
        <v>16</v>
      </c>
      <c r="I350" s="19">
        <v>1880.67</v>
      </c>
      <c r="J350" s="19">
        <v>30090.72</v>
      </c>
    </row>
    <row r="351" ht="15.25" spans="1:10">
      <c r="A351" s="18">
        <v>45238</v>
      </c>
      <c r="B351" s="19" t="s">
        <v>1878</v>
      </c>
      <c r="C351" s="19" t="s">
        <v>1589</v>
      </c>
      <c r="D351" s="19" t="s">
        <v>1884</v>
      </c>
      <c r="E351" s="19" t="s">
        <v>1895</v>
      </c>
      <c r="F351" s="19" t="s">
        <v>1876</v>
      </c>
      <c r="G351" s="19" t="s">
        <v>1926</v>
      </c>
      <c r="H351" s="19">
        <v>7</v>
      </c>
      <c r="I351" s="19">
        <v>2187.71</v>
      </c>
      <c r="J351" s="19">
        <v>15313.97</v>
      </c>
    </row>
    <row r="352" ht="15.25" spans="1:10">
      <c r="A352" s="18" t="s">
        <v>1933</v>
      </c>
      <c r="B352" s="19" t="s">
        <v>1861</v>
      </c>
      <c r="C352" s="19" t="s">
        <v>1906</v>
      </c>
      <c r="D352" s="19" t="s">
        <v>1862</v>
      </c>
      <c r="E352" s="19" t="s">
        <v>1858</v>
      </c>
      <c r="F352" s="19" t="s">
        <v>1865</v>
      </c>
      <c r="G352" s="19" t="s">
        <v>1890</v>
      </c>
      <c r="H352" s="19">
        <v>14</v>
      </c>
      <c r="I352" s="19">
        <v>1024.22</v>
      </c>
      <c r="J352" s="19">
        <v>14339.08</v>
      </c>
    </row>
    <row r="353" ht="15.25" spans="1:10">
      <c r="A353" s="18" t="s">
        <v>1919</v>
      </c>
      <c r="B353" s="19" t="s">
        <v>1892</v>
      </c>
      <c r="C353" s="19" t="s">
        <v>1864</v>
      </c>
      <c r="D353" s="19" t="s">
        <v>1857</v>
      </c>
      <c r="E353" s="19" t="s">
        <v>1858</v>
      </c>
      <c r="F353" s="19" t="s">
        <v>1865</v>
      </c>
      <c r="G353" s="19" t="s">
        <v>1886</v>
      </c>
      <c r="H353" s="19">
        <v>17</v>
      </c>
      <c r="I353" s="19">
        <v>544.42</v>
      </c>
      <c r="J353" s="19">
        <v>9255.14</v>
      </c>
    </row>
    <row r="354" ht="26.75" spans="1:10">
      <c r="A354" s="18" t="s">
        <v>1963</v>
      </c>
      <c r="B354" s="19" t="s">
        <v>1871</v>
      </c>
      <c r="C354" s="19" t="s">
        <v>1593</v>
      </c>
      <c r="D354" s="19" t="s">
        <v>1850</v>
      </c>
      <c r="E354" s="19" t="s">
        <v>1851</v>
      </c>
      <c r="F354" s="19" t="s">
        <v>1859</v>
      </c>
      <c r="G354" s="19" t="s">
        <v>1922</v>
      </c>
      <c r="H354" s="19">
        <v>4</v>
      </c>
      <c r="I354" s="19">
        <v>942.96</v>
      </c>
      <c r="J354" s="19">
        <v>3771.84</v>
      </c>
    </row>
    <row r="355" ht="15.25" spans="1:10">
      <c r="A355" s="18">
        <v>45211</v>
      </c>
      <c r="B355" s="19" t="s">
        <v>1892</v>
      </c>
      <c r="C355" s="19" t="s">
        <v>1626</v>
      </c>
      <c r="D355" s="19" t="s">
        <v>1857</v>
      </c>
      <c r="E355" s="19" t="s">
        <v>1858</v>
      </c>
      <c r="F355" s="19" t="s">
        <v>1852</v>
      </c>
      <c r="G355" s="19" t="s">
        <v>1950</v>
      </c>
      <c r="H355" s="19">
        <v>12</v>
      </c>
      <c r="I355" s="19">
        <v>1799.38</v>
      </c>
      <c r="J355" s="19">
        <v>21592.56</v>
      </c>
    </row>
    <row r="356" ht="15.25" spans="1:10">
      <c r="A356" s="18" t="s">
        <v>1882</v>
      </c>
      <c r="B356" s="19" t="s">
        <v>1867</v>
      </c>
      <c r="C356" s="19" t="s">
        <v>1626</v>
      </c>
      <c r="D356" s="19" t="s">
        <v>1857</v>
      </c>
      <c r="E356" s="19" t="s">
        <v>1858</v>
      </c>
      <c r="F356" s="19" t="s">
        <v>1865</v>
      </c>
      <c r="G356" s="19" t="s">
        <v>1890</v>
      </c>
      <c r="H356" s="19">
        <v>11</v>
      </c>
      <c r="I356" s="19">
        <v>1634.39</v>
      </c>
      <c r="J356" s="19">
        <v>17978.29</v>
      </c>
    </row>
    <row r="357" ht="26.75" spans="1:10">
      <c r="A357" s="18">
        <v>45148</v>
      </c>
      <c r="B357" s="19" t="s">
        <v>1902</v>
      </c>
      <c r="C357" s="19" t="s">
        <v>1593</v>
      </c>
      <c r="D357" s="19" t="s">
        <v>1850</v>
      </c>
      <c r="E357" s="19" t="s">
        <v>1851</v>
      </c>
      <c r="F357" s="19" t="s">
        <v>1852</v>
      </c>
      <c r="G357" s="19" t="s">
        <v>1934</v>
      </c>
      <c r="H357" s="19">
        <v>3</v>
      </c>
      <c r="I357" s="19">
        <v>2950.28</v>
      </c>
      <c r="J357" s="19">
        <v>8850.84</v>
      </c>
    </row>
    <row r="358" ht="26.75" spans="1:10">
      <c r="A358" s="18" t="s">
        <v>2050</v>
      </c>
      <c r="B358" s="19" t="s">
        <v>1867</v>
      </c>
      <c r="C358" s="19" t="s">
        <v>1598</v>
      </c>
      <c r="D358" s="19" t="s">
        <v>1850</v>
      </c>
      <c r="E358" s="19" t="s">
        <v>1851</v>
      </c>
      <c r="F358" s="19" t="s">
        <v>1868</v>
      </c>
      <c r="G358" s="19" t="s">
        <v>1917</v>
      </c>
      <c r="H358" s="19">
        <v>10</v>
      </c>
      <c r="I358" s="19">
        <v>4788</v>
      </c>
      <c r="J358" s="19">
        <v>47880</v>
      </c>
    </row>
    <row r="359" ht="15.25" spans="1:10">
      <c r="A359" s="18" t="s">
        <v>1963</v>
      </c>
      <c r="B359" s="19" t="s">
        <v>1855</v>
      </c>
      <c r="C359" s="19" t="s">
        <v>1856</v>
      </c>
      <c r="D359" s="19" t="s">
        <v>1857</v>
      </c>
      <c r="E359" s="19" t="s">
        <v>1858</v>
      </c>
      <c r="F359" s="19" t="s">
        <v>1852</v>
      </c>
      <c r="G359" s="19" t="s">
        <v>1910</v>
      </c>
      <c r="H359" s="19">
        <v>8</v>
      </c>
      <c r="I359" s="19">
        <v>1807.67</v>
      </c>
      <c r="J359" s="19">
        <v>14461.36</v>
      </c>
    </row>
    <row r="360" ht="15.25" spans="1:10">
      <c r="A360" s="18">
        <v>44967</v>
      </c>
      <c r="B360" s="19" t="s">
        <v>1874</v>
      </c>
      <c r="C360" s="19" t="s">
        <v>1602</v>
      </c>
      <c r="D360" s="19" t="s">
        <v>1862</v>
      </c>
      <c r="E360" s="19" t="s">
        <v>1858</v>
      </c>
      <c r="F360" s="19" t="s">
        <v>1868</v>
      </c>
      <c r="G360" s="19" t="s">
        <v>1917</v>
      </c>
      <c r="H360" s="19">
        <v>19</v>
      </c>
      <c r="I360" s="19">
        <v>797.02</v>
      </c>
      <c r="J360" s="19">
        <v>15143.38</v>
      </c>
    </row>
    <row r="361" ht="15.25" spans="1:10">
      <c r="A361" s="18" t="s">
        <v>1989</v>
      </c>
      <c r="B361" s="19" t="s">
        <v>1855</v>
      </c>
      <c r="C361" s="19" t="s">
        <v>1856</v>
      </c>
      <c r="D361" s="19" t="s">
        <v>1857</v>
      </c>
      <c r="E361" s="19" t="s">
        <v>1858</v>
      </c>
      <c r="F361" s="19" t="s">
        <v>1876</v>
      </c>
      <c r="G361" s="19" t="s">
        <v>1926</v>
      </c>
      <c r="H361" s="19">
        <v>2</v>
      </c>
      <c r="I361" s="19">
        <v>1195.99</v>
      </c>
      <c r="J361" s="19">
        <v>2391.98</v>
      </c>
    </row>
    <row r="362" ht="15.25" spans="1:10">
      <c r="A362" s="18">
        <v>45082</v>
      </c>
      <c r="B362" s="19" t="s">
        <v>1889</v>
      </c>
      <c r="C362" s="19" t="s">
        <v>1898</v>
      </c>
      <c r="D362" s="19" t="s">
        <v>1879</v>
      </c>
      <c r="E362" s="19" t="s">
        <v>1851</v>
      </c>
      <c r="F362" s="19" t="s">
        <v>1865</v>
      </c>
      <c r="G362" s="19" t="s">
        <v>1920</v>
      </c>
      <c r="H362" s="19">
        <v>20</v>
      </c>
      <c r="I362" s="19">
        <v>2056.65</v>
      </c>
      <c r="J362" s="19">
        <v>41133</v>
      </c>
    </row>
    <row r="363" ht="15.25" spans="1:10">
      <c r="A363" s="18">
        <v>45019</v>
      </c>
      <c r="B363" s="19" t="s">
        <v>1889</v>
      </c>
      <c r="C363" s="19" t="s">
        <v>1626</v>
      </c>
      <c r="D363" s="19" t="s">
        <v>1857</v>
      </c>
      <c r="E363" s="19" t="s">
        <v>1858</v>
      </c>
      <c r="F363" s="19" t="s">
        <v>1852</v>
      </c>
      <c r="G363" s="19" t="s">
        <v>1950</v>
      </c>
      <c r="H363" s="19">
        <v>16</v>
      </c>
      <c r="I363" s="19">
        <v>4817.63</v>
      </c>
      <c r="J363" s="19">
        <v>77082.08</v>
      </c>
    </row>
    <row r="364" ht="15.25" spans="1:10">
      <c r="A364" s="18" t="s">
        <v>1965</v>
      </c>
      <c r="B364" s="19" t="s">
        <v>1855</v>
      </c>
      <c r="C364" s="19" t="s">
        <v>1875</v>
      </c>
      <c r="D364" s="19" t="s">
        <v>1862</v>
      </c>
      <c r="E364" s="19" t="s">
        <v>1858</v>
      </c>
      <c r="F364" s="19" t="s">
        <v>1865</v>
      </c>
      <c r="G364" s="19" t="s">
        <v>1890</v>
      </c>
      <c r="H364" s="19">
        <v>7</v>
      </c>
      <c r="I364" s="19">
        <v>4950.24</v>
      </c>
      <c r="J364" s="19">
        <v>34651.68</v>
      </c>
    </row>
    <row r="365" ht="26.75" spans="1:10">
      <c r="A365" s="18" t="s">
        <v>1954</v>
      </c>
      <c r="B365" s="19" t="s">
        <v>1889</v>
      </c>
      <c r="C365" s="19" t="s">
        <v>1593</v>
      </c>
      <c r="D365" s="19" t="s">
        <v>1850</v>
      </c>
      <c r="E365" s="19" t="s">
        <v>1851</v>
      </c>
      <c r="F365" s="19" t="s">
        <v>1865</v>
      </c>
      <c r="G365" s="19" t="s">
        <v>1890</v>
      </c>
      <c r="H365" s="19">
        <v>9</v>
      </c>
      <c r="I365" s="19">
        <v>2935.97</v>
      </c>
      <c r="J365" s="19">
        <v>26423.73</v>
      </c>
    </row>
    <row r="366" ht="15.25" spans="1:10">
      <c r="A366" s="18">
        <v>45181</v>
      </c>
      <c r="B366" s="19" t="s">
        <v>1902</v>
      </c>
      <c r="C366" s="19" t="s">
        <v>1941</v>
      </c>
      <c r="D366" s="19" t="s">
        <v>1879</v>
      </c>
      <c r="E366" s="19" t="s">
        <v>1851</v>
      </c>
      <c r="F366" s="19" t="s">
        <v>1868</v>
      </c>
      <c r="G366" s="19" t="s">
        <v>1869</v>
      </c>
      <c r="H366" s="19">
        <v>9</v>
      </c>
      <c r="I366" s="19">
        <v>3560.8</v>
      </c>
      <c r="J366" s="19">
        <v>32047.2</v>
      </c>
    </row>
    <row r="367" ht="15.25" spans="1:10">
      <c r="A367" s="18">
        <v>45141</v>
      </c>
      <c r="B367" s="19" t="s">
        <v>1902</v>
      </c>
      <c r="C367" s="19" t="s">
        <v>1898</v>
      </c>
      <c r="D367" s="19" t="s">
        <v>1879</v>
      </c>
      <c r="E367" s="19" t="s">
        <v>1851</v>
      </c>
      <c r="F367" s="19" t="s">
        <v>1859</v>
      </c>
      <c r="G367" s="19" t="s">
        <v>1947</v>
      </c>
      <c r="H367" s="19">
        <v>11</v>
      </c>
      <c r="I367" s="19">
        <v>4890.92</v>
      </c>
      <c r="J367" s="19">
        <v>53800.12</v>
      </c>
    </row>
    <row r="368" ht="15.25" spans="1:10">
      <c r="A368" s="18" t="s">
        <v>2017</v>
      </c>
      <c r="B368" s="19" t="s">
        <v>1871</v>
      </c>
      <c r="C368" s="19" t="s">
        <v>1875</v>
      </c>
      <c r="D368" s="19" t="s">
        <v>1862</v>
      </c>
      <c r="E368" s="19" t="s">
        <v>1858</v>
      </c>
      <c r="F368" s="19" t="s">
        <v>1865</v>
      </c>
      <c r="G368" s="19" t="s">
        <v>1866</v>
      </c>
      <c r="H368" s="19">
        <v>8</v>
      </c>
      <c r="I368" s="19">
        <v>4143.56</v>
      </c>
      <c r="J368" s="19">
        <v>33148.48</v>
      </c>
    </row>
    <row r="369" ht="15.25" spans="1:10">
      <c r="A369" s="18" t="s">
        <v>2051</v>
      </c>
      <c r="B369" s="19" t="s">
        <v>1892</v>
      </c>
      <c r="C369" s="19" t="s">
        <v>1626</v>
      </c>
      <c r="D369" s="19" t="s">
        <v>1857</v>
      </c>
      <c r="E369" s="19" t="s">
        <v>1858</v>
      </c>
      <c r="F369" s="19" t="s">
        <v>1868</v>
      </c>
      <c r="G369" s="19" t="s">
        <v>1917</v>
      </c>
      <c r="H369" s="19">
        <v>4</v>
      </c>
      <c r="I369" s="19">
        <v>2395.66</v>
      </c>
      <c r="J369" s="19">
        <v>9582.64</v>
      </c>
    </row>
    <row r="370" ht="15.25" spans="1:10">
      <c r="A370" s="18">
        <v>45177</v>
      </c>
      <c r="B370" s="19" t="s">
        <v>1871</v>
      </c>
      <c r="C370" s="19" t="s">
        <v>1941</v>
      </c>
      <c r="D370" s="19" t="s">
        <v>1879</v>
      </c>
      <c r="E370" s="19" t="s">
        <v>1851</v>
      </c>
      <c r="F370" s="19" t="s">
        <v>1865</v>
      </c>
      <c r="G370" s="19" t="s">
        <v>1886</v>
      </c>
      <c r="H370" s="19">
        <v>18</v>
      </c>
      <c r="I370" s="19">
        <v>1582.02</v>
      </c>
      <c r="J370" s="19">
        <v>28476.36</v>
      </c>
    </row>
    <row r="371" ht="15.25" spans="1:10">
      <c r="A371" s="18" t="s">
        <v>2052</v>
      </c>
      <c r="B371" s="19" t="s">
        <v>1848</v>
      </c>
      <c r="C371" s="19" t="s">
        <v>1898</v>
      </c>
      <c r="D371" s="19" t="s">
        <v>1879</v>
      </c>
      <c r="E371" s="19" t="s">
        <v>1851</v>
      </c>
      <c r="F371" s="19" t="s">
        <v>1865</v>
      </c>
      <c r="G371" s="19" t="s">
        <v>1890</v>
      </c>
      <c r="H371" s="19">
        <v>14</v>
      </c>
      <c r="I371" s="19">
        <v>3381.77</v>
      </c>
      <c r="J371" s="19">
        <v>47344.78</v>
      </c>
    </row>
    <row r="372" ht="15.25" spans="1:10">
      <c r="A372" s="18" t="s">
        <v>1940</v>
      </c>
      <c r="B372" s="19" t="s">
        <v>1902</v>
      </c>
      <c r="C372" s="19" t="s">
        <v>1602</v>
      </c>
      <c r="D372" s="19" t="s">
        <v>1862</v>
      </c>
      <c r="E372" s="19" t="s">
        <v>1858</v>
      </c>
      <c r="F372" s="19" t="s">
        <v>1859</v>
      </c>
      <c r="G372" s="19" t="s">
        <v>1872</v>
      </c>
      <c r="H372" s="19">
        <v>16</v>
      </c>
      <c r="I372" s="19">
        <v>2580.42</v>
      </c>
      <c r="J372" s="19">
        <v>41286.72</v>
      </c>
    </row>
    <row r="373" ht="15.25" spans="1:10">
      <c r="A373" s="18" t="s">
        <v>2049</v>
      </c>
      <c r="B373" s="19" t="s">
        <v>1878</v>
      </c>
      <c r="C373" s="19" t="s">
        <v>1941</v>
      </c>
      <c r="D373" s="19" t="s">
        <v>1879</v>
      </c>
      <c r="E373" s="19" t="s">
        <v>1851</v>
      </c>
      <c r="F373" s="19" t="s">
        <v>1865</v>
      </c>
      <c r="G373" s="19" t="s">
        <v>1890</v>
      </c>
      <c r="H373" s="19">
        <v>3</v>
      </c>
      <c r="I373" s="19">
        <v>3838.25</v>
      </c>
      <c r="J373" s="19">
        <v>11514.75</v>
      </c>
    </row>
    <row r="374" ht="15.25" spans="1:10">
      <c r="A374" s="18" t="s">
        <v>1972</v>
      </c>
      <c r="B374" s="19" t="s">
        <v>1878</v>
      </c>
      <c r="C374" s="19" t="s">
        <v>1626</v>
      </c>
      <c r="D374" s="19" t="s">
        <v>1857</v>
      </c>
      <c r="E374" s="19" t="s">
        <v>1858</v>
      </c>
      <c r="F374" s="19" t="s">
        <v>1868</v>
      </c>
      <c r="G374" s="19" t="s">
        <v>1899</v>
      </c>
      <c r="H374" s="19">
        <v>2</v>
      </c>
      <c r="I374" s="19">
        <v>591.6</v>
      </c>
      <c r="J374" s="19">
        <v>1183.2</v>
      </c>
    </row>
    <row r="375" ht="15.25" spans="1:10">
      <c r="A375" s="18" t="s">
        <v>2053</v>
      </c>
      <c r="B375" s="19" t="s">
        <v>1861</v>
      </c>
      <c r="C375" s="19" t="s">
        <v>1589</v>
      </c>
      <c r="D375" s="19" t="s">
        <v>1884</v>
      </c>
      <c r="E375" s="19" t="s">
        <v>1895</v>
      </c>
      <c r="F375" s="19" t="s">
        <v>1865</v>
      </c>
      <c r="G375" s="19" t="s">
        <v>1890</v>
      </c>
      <c r="H375" s="19">
        <v>1</v>
      </c>
      <c r="I375" s="19">
        <v>2709.05</v>
      </c>
      <c r="J375" s="19">
        <v>2709.05</v>
      </c>
    </row>
    <row r="376" ht="15.25" spans="1:10">
      <c r="A376" s="18">
        <v>45177</v>
      </c>
      <c r="B376" s="19" t="s">
        <v>1867</v>
      </c>
      <c r="C376" s="19" t="s">
        <v>1602</v>
      </c>
      <c r="D376" s="19" t="s">
        <v>1862</v>
      </c>
      <c r="E376" s="19" t="s">
        <v>1858</v>
      </c>
      <c r="F376" s="19" t="s">
        <v>1876</v>
      </c>
      <c r="G376" s="19" t="s">
        <v>1926</v>
      </c>
      <c r="H376" s="19">
        <v>5</v>
      </c>
      <c r="I376" s="19">
        <v>194.7</v>
      </c>
      <c r="J376" s="19">
        <v>973.5</v>
      </c>
    </row>
    <row r="377" ht="15.25" spans="1:10">
      <c r="A377" s="18" t="s">
        <v>2031</v>
      </c>
      <c r="B377" s="19" t="s">
        <v>1861</v>
      </c>
      <c r="C377" s="19" t="s">
        <v>1898</v>
      </c>
      <c r="D377" s="19" t="s">
        <v>1879</v>
      </c>
      <c r="E377" s="19" t="s">
        <v>1851</v>
      </c>
      <c r="F377" s="19" t="s">
        <v>1859</v>
      </c>
      <c r="G377" s="19" t="s">
        <v>1872</v>
      </c>
      <c r="H377" s="19">
        <v>4</v>
      </c>
      <c r="I377" s="19">
        <v>900.33</v>
      </c>
      <c r="J377" s="19">
        <v>3601.32</v>
      </c>
    </row>
    <row r="378" ht="15.25" spans="1:10">
      <c r="A378" s="18" t="s">
        <v>2054</v>
      </c>
      <c r="B378" s="19" t="s">
        <v>1871</v>
      </c>
      <c r="C378" s="19" t="s">
        <v>1864</v>
      </c>
      <c r="D378" s="19" t="s">
        <v>1857</v>
      </c>
      <c r="E378" s="19" t="s">
        <v>1858</v>
      </c>
      <c r="F378" s="19" t="s">
        <v>1868</v>
      </c>
      <c r="G378" s="19" t="s">
        <v>1869</v>
      </c>
      <c r="H378" s="19">
        <v>13</v>
      </c>
      <c r="I378" s="19">
        <v>3574.45</v>
      </c>
      <c r="J378" s="19">
        <v>46467.85</v>
      </c>
    </row>
    <row r="379" ht="15.25" spans="1:10">
      <c r="A379" s="18" t="s">
        <v>1961</v>
      </c>
      <c r="B379" s="19" t="s">
        <v>1855</v>
      </c>
      <c r="C379" s="19" t="s">
        <v>1894</v>
      </c>
      <c r="D379" s="19" t="s">
        <v>1884</v>
      </c>
      <c r="E379" s="19" t="s">
        <v>1895</v>
      </c>
      <c r="F379" s="19" t="s">
        <v>1876</v>
      </c>
      <c r="G379" s="19" t="s">
        <v>1877</v>
      </c>
      <c r="H379" s="19">
        <v>20</v>
      </c>
      <c r="I379" s="19">
        <v>1637.44</v>
      </c>
      <c r="J379" s="19">
        <v>32748.8</v>
      </c>
    </row>
    <row r="380" ht="15.25" spans="1:10">
      <c r="A380" s="18" t="s">
        <v>1980</v>
      </c>
      <c r="B380" s="19" t="s">
        <v>1861</v>
      </c>
      <c r="C380" s="19" t="s">
        <v>1906</v>
      </c>
      <c r="D380" s="19" t="s">
        <v>1862</v>
      </c>
      <c r="E380" s="19" t="s">
        <v>1858</v>
      </c>
      <c r="F380" s="19" t="s">
        <v>1852</v>
      </c>
      <c r="G380" s="19" t="s">
        <v>1934</v>
      </c>
      <c r="H380" s="19">
        <v>14</v>
      </c>
      <c r="I380" s="19">
        <v>3177.8</v>
      </c>
      <c r="J380" s="19">
        <v>44489.2</v>
      </c>
    </row>
    <row r="381" ht="15.25" spans="1:10">
      <c r="A381" s="18" t="s">
        <v>2032</v>
      </c>
      <c r="B381" s="19" t="s">
        <v>1874</v>
      </c>
      <c r="C381" s="19" t="s">
        <v>1875</v>
      </c>
      <c r="D381" s="19" t="s">
        <v>1862</v>
      </c>
      <c r="E381" s="19" t="s">
        <v>1858</v>
      </c>
      <c r="F381" s="19" t="s">
        <v>1876</v>
      </c>
      <c r="G381" s="19" t="s">
        <v>1883</v>
      </c>
      <c r="H381" s="19">
        <v>1</v>
      </c>
      <c r="I381" s="19">
        <v>3382.37</v>
      </c>
      <c r="J381" s="19">
        <v>3382.37</v>
      </c>
    </row>
    <row r="382" ht="15.25" spans="1:10">
      <c r="A382" s="18" t="s">
        <v>1946</v>
      </c>
      <c r="B382" s="19" t="s">
        <v>1848</v>
      </c>
      <c r="C382" s="19" t="s">
        <v>1894</v>
      </c>
      <c r="D382" s="19" t="s">
        <v>1884</v>
      </c>
      <c r="E382" s="19" t="s">
        <v>1895</v>
      </c>
      <c r="F382" s="19" t="s">
        <v>1859</v>
      </c>
      <c r="G382" s="19" t="s">
        <v>1947</v>
      </c>
      <c r="H382" s="19">
        <v>19</v>
      </c>
      <c r="I382" s="19">
        <v>2816.52</v>
      </c>
      <c r="J382" s="19">
        <v>53513.88</v>
      </c>
    </row>
    <row r="383" ht="15.25" spans="1:10">
      <c r="A383" s="18" t="s">
        <v>1893</v>
      </c>
      <c r="B383" s="19" t="s">
        <v>1848</v>
      </c>
      <c r="C383" s="19" t="s">
        <v>1589</v>
      </c>
      <c r="D383" s="19" t="s">
        <v>1884</v>
      </c>
      <c r="E383" s="19" t="s">
        <v>1895</v>
      </c>
      <c r="F383" s="19" t="s">
        <v>1868</v>
      </c>
      <c r="G383" s="19" t="s">
        <v>1907</v>
      </c>
      <c r="H383" s="19">
        <v>13</v>
      </c>
      <c r="I383" s="19">
        <v>3417.94</v>
      </c>
      <c r="J383" s="19">
        <v>44433.22</v>
      </c>
    </row>
    <row r="384" ht="15.25" spans="1:10">
      <c r="A384" s="18" t="s">
        <v>1870</v>
      </c>
      <c r="B384" s="19" t="s">
        <v>1848</v>
      </c>
      <c r="C384" s="19" t="s">
        <v>1875</v>
      </c>
      <c r="D384" s="19" t="s">
        <v>1862</v>
      </c>
      <c r="E384" s="19" t="s">
        <v>1858</v>
      </c>
      <c r="F384" s="19" t="s">
        <v>1865</v>
      </c>
      <c r="G384" s="19" t="s">
        <v>1920</v>
      </c>
      <c r="H384" s="19">
        <v>14</v>
      </c>
      <c r="I384" s="19">
        <v>917.55</v>
      </c>
      <c r="J384" s="19">
        <v>12845.7</v>
      </c>
    </row>
    <row r="385" ht="26.75" spans="1:10">
      <c r="A385" s="18">
        <v>45263</v>
      </c>
      <c r="B385" s="19" t="s">
        <v>1878</v>
      </c>
      <c r="C385" s="19" t="s">
        <v>1849</v>
      </c>
      <c r="D385" s="19" t="s">
        <v>1850</v>
      </c>
      <c r="E385" s="19" t="s">
        <v>1851</v>
      </c>
      <c r="F385" s="19" t="s">
        <v>1876</v>
      </c>
      <c r="G385" s="19" t="s">
        <v>1877</v>
      </c>
      <c r="H385" s="19">
        <v>1</v>
      </c>
      <c r="I385" s="19">
        <v>1598.87</v>
      </c>
      <c r="J385" s="19">
        <v>1598.87</v>
      </c>
    </row>
    <row r="386" ht="15.25" spans="1:10">
      <c r="A386" s="18">
        <v>44936</v>
      </c>
      <c r="B386" s="19" t="s">
        <v>1878</v>
      </c>
      <c r="C386" s="19" t="s">
        <v>1894</v>
      </c>
      <c r="D386" s="19" t="s">
        <v>1884</v>
      </c>
      <c r="E386" s="19" t="s">
        <v>1895</v>
      </c>
      <c r="F386" s="19" t="s">
        <v>1852</v>
      </c>
      <c r="G386" s="19" t="s">
        <v>1853</v>
      </c>
      <c r="H386" s="19">
        <v>7</v>
      </c>
      <c r="I386" s="19">
        <v>405.27</v>
      </c>
      <c r="J386" s="19">
        <v>2836.89</v>
      </c>
    </row>
    <row r="387" ht="26.75" spans="1:10">
      <c r="A387" s="18">
        <v>45270</v>
      </c>
      <c r="B387" s="19" t="s">
        <v>1878</v>
      </c>
      <c r="C387" s="19" t="s">
        <v>1593</v>
      </c>
      <c r="D387" s="19" t="s">
        <v>1850</v>
      </c>
      <c r="E387" s="19" t="s">
        <v>1851</v>
      </c>
      <c r="F387" s="19" t="s">
        <v>1868</v>
      </c>
      <c r="G387" s="19" t="s">
        <v>1899</v>
      </c>
      <c r="H387" s="19">
        <v>5</v>
      </c>
      <c r="I387" s="19">
        <v>2819.92</v>
      </c>
      <c r="J387" s="19">
        <v>14099.6</v>
      </c>
    </row>
    <row r="388" ht="15.25" spans="1:10">
      <c r="A388" s="18" t="s">
        <v>2055</v>
      </c>
      <c r="B388" s="19" t="s">
        <v>1861</v>
      </c>
      <c r="C388" s="19" t="s">
        <v>1875</v>
      </c>
      <c r="D388" s="19" t="s">
        <v>1862</v>
      </c>
      <c r="E388" s="19" t="s">
        <v>1858</v>
      </c>
      <c r="F388" s="19" t="s">
        <v>1876</v>
      </c>
      <c r="G388" s="19" t="s">
        <v>1877</v>
      </c>
      <c r="H388" s="19">
        <v>7</v>
      </c>
      <c r="I388" s="19">
        <v>4023.6</v>
      </c>
      <c r="J388" s="19">
        <v>28165.2</v>
      </c>
    </row>
    <row r="389" ht="15.25" spans="1:10">
      <c r="A389" s="18" t="s">
        <v>1933</v>
      </c>
      <c r="B389" s="19" t="s">
        <v>1867</v>
      </c>
      <c r="C389" s="19" t="s">
        <v>1626</v>
      </c>
      <c r="D389" s="19" t="s">
        <v>1857</v>
      </c>
      <c r="E389" s="19" t="s">
        <v>1858</v>
      </c>
      <c r="F389" s="19" t="s">
        <v>1868</v>
      </c>
      <c r="G389" s="19" t="s">
        <v>1899</v>
      </c>
      <c r="H389" s="19">
        <v>6</v>
      </c>
      <c r="I389" s="19">
        <v>4911.79</v>
      </c>
      <c r="J389" s="19">
        <v>29470.74</v>
      </c>
    </row>
    <row r="390" ht="15.25" spans="1:10">
      <c r="A390" s="18">
        <v>45210</v>
      </c>
      <c r="B390" s="19" t="s">
        <v>1874</v>
      </c>
      <c r="C390" s="19" t="s">
        <v>1906</v>
      </c>
      <c r="D390" s="19" t="s">
        <v>1862</v>
      </c>
      <c r="E390" s="19" t="s">
        <v>1858</v>
      </c>
      <c r="F390" s="19" t="s">
        <v>1852</v>
      </c>
      <c r="G390" s="19" t="s">
        <v>1910</v>
      </c>
      <c r="H390" s="19">
        <v>7</v>
      </c>
      <c r="I390" s="19">
        <v>2186.75</v>
      </c>
      <c r="J390" s="19">
        <v>15307.25</v>
      </c>
    </row>
    <row r="391" ht="15.25" spans="1:10">
      <c r="A391" s="18" t="s">
        <v>1942</v>
      </c>
      <c r="B391" s="19" t="s">
        <v>1902</v>
      </c>
      <c r="C391" s="19" t="s">
        <v>1894</v>
      </c>
      <c r="D391" s="19" t="s">
        <v>1884</v>
      </c>
      <c r="E391" s="19" t="s">
        <v>1895</v>
      </c>
      <c r="F391" s="19" t="s">
        <v>1859</v>
      </c>
      <c r="G391" s="19" t="s">
        <v>1860</v>
      </c>
      <c r="H391" s="19">
        <v>9</v>
      </c>
      <c r="I391" s="19">
        <v>2304.23</v>
      </c>
      <c r="J391" s="19">
        <v>20738.07</v>
      </c>
    </row>
    <row r="392" ht="26.75" spans="1:10">
      <c r="A392" s="18">
        <v>45021</v>
      </c>
      <c r="B392" s="19" t="s">
        <v>1874</v>
      </c>
      <c r="C392" s="19" t="s">
        <v>1593</v>
      </c>
      <c r="D392" s="19" t="s">
        <v>1850</v>
      </c>
      <c r="E392" s="19" t="s">
        <v>1851</v>
      </c>
      <c r="F392" s="19" t="s">
        <v>1876</v>
      </c>
      <c r="G392" s="19" t="s">
        <v>1883</v>
      </c>
      <c r="H392" s="19">
        <v>6</v>
      </c>
      <c r="I392" s="19">
        <v>2282.55</v>
      </c>
      <c r="J392" s="19">
        <v>13695.3</v>
      </c>
    </row>
    <row r="393" ht="15.25" spans="1:10">
      <c r="A393" s="18" t="s">
        <v>2031</v>
      </c>
      <c r="B393" s="19" t="s">
        <v>1867</v>
      </c>
      <c r="C393" s="19" t="s">
        <v>1610</v>
      </c>
      <c r="D393" s="19" t="s">
        <v>1879</v>
      </c>
      <c r="E393" s="19" t="s">
        <v>1851</v>
      </c>
      <c r="F393" s="19" t="s">
        <v>1876</v>
      </c>
      <c r="G393" s="19" t="s">
        <v>1926</v>
      </c>
      <c r="H393" s="19">
        <v>4</v>
      </c>
      <c r="I393" s="19">
        <v>4778.23</v>
      </c>
      <c r="J393" s="19">
        <v>19112.92</v>
      </c>
    </row>
    <row r="394" ht="15.25" spans="1:10">
      <c r="A394" s="18">
        <v>44931</v>
      </c>
      <c r="B394" s="19" t="s">
        <v>1878</v>
      </c>
      <c r="C394" s="19" t="s">
        <v>1856</v>
      </c>
      <c r="D394" s="19" t="s">
        <v>1857</v>
      </c>
      <c r="E394" s="19" t="s">
        <v>1858</v>
      </c>
      <c r="F394" s="19" t="s">
        <v>1865</v>
      </c>
      <c r="G394" s="19" t="s">
        <v>1890</v>
      </c>
      <c r="H394" s="19">
        <v>11</v>
      </c>
      <c r="I394" s="19">
        <v>1286.08</v>
      </c>
      <c r="J394" s="19">
        <v>14146.88</v>
      </c>
    </row>
    <row r="395" ht="26.75" spans="1:10">
      <c r="A395" s="18" t="s">
        <v>2056</v>
      </c>
      <c r="B395" s="19" t="s">
        <v>1889</v>
      </c>
      <c r="C395" s="19" t="s">
        <v>1598</v>
      </c>
      <c r="D395" s="19" t="s">
        <v>1850</v>
      </c>
      <c r="E395" s="19" t="s">
        <v>1851</v>
      </c>
      <c r="F395" s="19" t="s">
        <v>1876</v>
      </c>
      <c r="G395" s="19" t="s">
        <v>1930</v>
      </c>
      <c r="H395" s="19">
        <v>19</v>
      </c>
      <c r="I395" s="19">
        <v>1844.31</v>
      </c>
      <c r="J395" s="19">
        <v>35041.89</v>
      </c>
    </row>
    <row r="396" ht="15.25" spans="1:10">
      <c r="A396" s="18">
        <v>44969</v>
      </c>
      <c r="B396" s="19" t="s">
        <v>1889</v>
      </c>
      <c r="C396" s="19" t="s">
        <v>1610</v>
      </c>
      <c r="D396" s="19" t="s">
        <v>1879</v>
      </c>
      <c r="E396" s="19" t="s">
        <v>1851</v>
      </c>
      <c r="F396" s="19" t="s">
        <v>1865</v>
      </c>
      <c r="G396" s="19" t="s">
        <v>1866</v>
      </c>
      <c r="H396" s="19">
        <v>14</v>
      </c>
      <c r="I396" s="19">
        <v>148.43</v>
      </c>
      <c r="J396" s="19">
        <v>2078.02</v>
      </c>
    </row>
    <row r="397" ht="15.25" spans="1:10">
      <c r="A397" s="18">
        <v>45140</v>
      </c>
      <c r="B397" s="19" t="s">
        <v>1889</v>
      </c>
      <c r="C397" s="19" t="s">
        <v>1941</v>
      </c>
      <c r="D397" s="19" t="s">
        <v>1879</v>
      </c>
      <c r="E397" s="19" t="s">
        <v>1851</v>
      </c>
      <c r="F397" s="19" t="s">
        <v>1859</v>
      </c>
      <c r="G397" s="19" t="s">
        <v>1872</v>
      </c>
      <c r="H397" s="19">
        <v>3</v>
      </c>
      <c r="I397" s="19">
        <v>2502.81</v>
      </c>
      <c r="J397" s="19">
        <v>7508.43</v>
      </c>
    </row>
    <row r="398" ht="15.25" spans="1:10">
      <c r="A398" s="18">
        <v>45082</v>
      </c>
      <c r="B398" s="19" t="s">
        <v>1902</v>
      </c>
      <c r="C398" s="19" t="s">
        <v>1610</v>
      </c>
      <c r="D398" s="19" t="s">
        <v>1879</v>
      </c>
      <c r="E398" s="19" t="s">
        <v>1851</v>
      </c>
      <c r="F398" s="19" t="s">
        <v>1852</v>
      </c>
      <c r="G398" s="19" t="s">
        <v>1910</v>
      </c>
      <c r="H398" s="19">
        <v>7</v>
      </c>
      <c r="I398" s="19">
        <v>3721.37</v>
      </c>
      <c r="J398" s="19">
        <v>26049.59</v>
      </c>
    </row>
    <row r="399" ht="15.25" spans="1:10">
      <c r="A399" s="18" t="s">
        <v>2057</v>
      </c>
      <c r="B399" s="19" t="s">
        <v>1889</v>
      </c>
      <c r="C399" s="19" t="s">
        <v>1856</v>
      </c>
      <c r="D399" s="19" t="s">
        <v>1857</v>
      </c>
      <c r="E399" s="19" t="s">
        <v>1858</v>
      </c>
      <c r="F399" s="19" t="s">
        <v>1852</v>
      </c>
      <c r="G399" s="19" t="s">
        <v>1934</v>
      </c>
      <c r="H399" s="19">
        <v>2</v>
      </c>
      <c r="I399" s="19">
        <v>3719.83</v>
      </c>
      <c r="J399" s="19">
        <v>7439.66</v>
      </c>
    </row>
    <row r="400" ht="15.25" spans="1:10">
      <c r="A400" s="18">
        <v>45148</v>
      </c>
      <c r="B400" s="19" t="s">
        <v>1861</v>
      </c>
      <c r="C400" s="19" t="s">
        <v>1903</v>
      </c>
      <c r="D400" s="19" t="s">
        <v>1884</v>
      </c>
      <c r="E400" s="19" t="s">
        <v>1895</v>
      </c>
      <c r="F400" s="19" t="s">
        <v>1865</v>
      </c>
      <c r="G400" s="19" t="s">
        <v>1866</v>
      </c>
      <c r="H400" s="19">
        <v>19</v>
      </c>
      <c r="I400" s="19">
        <v>2862.47</v>
      </c>
      <c r="J400" s="19">
        <v>54386.93</v>
      </c>
    </row>
    <row r="401" ht="15.25" spans="1:10">
      <c r="A401" s="18" t="s">
        <v>1904</v>
      </c>
      <c r="B401" s="19" t="s">
        <v>1871</v>
      </c>
      <c r="C401" s="19" t="s">
        <v>1864</v>
      </c>
      <c r="D401" s="19" t="s">
        <v>1857</v>
      </c>
      <c r="E401" s="19" t="s">
        <v>1858</v>
      </c>
      <c r="F401" s="19" t="s">
        <v>1859</v>
      </c>
      <c r="G401" s="19" t="s">
        <v>1860</v>
      </c>
      <c r="H401" s="19">
        <v>5</v>
      </c>
      <c r="I401" s="19">
        <v>4715.05</v>
      </c>
      <c r="J401" s="19">
        <v>23575.25</v>
      </c>
    </row>
    <row r="402" ht="15.25" spans="1:10">
      <c r="A402" s="18" t="s">
        <v>2037</v>
      </c>
      <c r="B402" s="19" t="s">
        <v>1861</v>
      </c>
      <c r="C402" s="19" t="s">
        <v>1589</v>
      </c>
      <c r="D402" s="19" t="s">
        <v>1884</v>
      </c>
      <c r="E402" s="19" t="s">
        <v>1895</v>
      </c>
      <c r="F402" s="19" t="s">
        <v>1868</v>
      </c>
      <c r="G402" s="19" t="s">
        <v>1907</v>
      </c>
      <c r="H402" s="19">
        <v>11</v>
      </c>
      <c r="I402" s="19">
        <v>3314</v>
      </c>
      <c r="J402" s="19">
        <v>36454</v>
      </c>
    </row>
    <row r="403" ht="15.25" spans="1:10">
      <c r="A403" s="18">
        <v>45174</v>
      </c>
      <c r="B403" s="19" t="s">
        <v>1874</v>
      </c>
      <c r="C403" s="19" t="s">
        <v>1875</v>
      </c>
      <c r="D403" s="19" t="s">
        <v>1862</v>
      </c>
      <c r="E403" s="19" t="s">
        <v>1858</v>
      </c>
      <c r="F403" s="19" t="s">
        <v>1852</v>
      </c>
      <c r="G403" s="19" t="s">
        <v>1853</v>
      </c>
      <c r="H403" s="19">
        <v>3</v>
      </c>
      <c r="I403" s="19">
        <v>4146.75</v>
      </c>
      <c r="J403" s="19">
        <v>12440.25</v>
      </c>
    </row>
    <row r="404" ht="15.25" spans="1:10">
      <c r="A404" s="18">
        <v>45054</v>
      </c>
      <c r="B404" s="19" t="s">
        <v>1889</v>
      </c>
      <c r="C404" s="19" t="s">
        <v>1626</v>
      </c>
      <c r="D404" s="19" t="s">
        <v>1857</v>
      </c>
      <c r="E404" s="19" t="s">
        <v>1858</v>
      </c>
      <c r="F404" s="19" t="s">
        <v>1876</v>
      </c>
      <c r="G404" s="19" t="s">
        <v>1930</v>
      </c>
      <c r="H404" s="19">
        <v>4</v>
      </c>
      <c r="I404" s="19">
        <v>4062.52</v>
      </c>
      <c r="J404" s="19">
        <v>16250.08</v>
      </c>
    </row>
    <row r="405" ht="15.25" spans="1:10">
      <c r="A405" s="18">
        <v>45141</v>
      </c>
      <c r="B405" s="19" t="s">
        <v>1889</v>
      </c>
      <c r="C405" s="19" t="s">
        <v>1906</v>
      </c>
      <c r="D405" s="19" t="s">
        <v>1862</v>
      </c>
      <c r="E405" s="19" t="s">
        <v>1858</v>
      </c>
      <c r="F405" s="19" t="s">
        <v>1876</v>
      </c>
      <c r="G405" s="19" t="s">
        <v>1930</v>
      </c>
      <c r="H405" s="19">
        <v>4</v>
      </c>
      <c r="I405" s="19">
        <v>3022.21</v>
      </c>
      <c r="J405" s="19">
        <v>12088.84</v>
      </c>
    </row>
    <row r="406" ht="15.25" spans="1:10">
      <c r="A406" s="18">
        <v>45019</v>
      </c>
      <c r="B406" s="19" t="s">
        <v>1861</v>
      </c>
      <c r="C406" s="19" t="s">
        <v>1903</v>
      </c>
      <c r="D406" s="19" t="s">
        <v>1884</v>
      </c>
      <c r="E406" s="19" t="s">
        <v>1895</v>
      </c>
      <c r="F406" s="19" t="s">
        <v>1868</v>
      </c>
      <c r="G406" s="19" t="s">
        <v>1899</v>
      </c>
      <c r="H406" s="19">
        <v>7</v>
      </c>
      <c r="I406" s="19">
        <v>217.04</v>
      </c>
      <c r="J406" s="19">
        <v>1519.28</v>
      </c>
    </row>
    <row r="407" ht="15.25" spans="1:10">
      <c r="A407" s="18">
        <v>45115</v>
      </c>
      <c r="B407" s="19" t="s">
        <v>1889</v>
      </c>
      <c r="C407" s="19" t="s">
        <v>1906</v>
      </c>
      <c r="D407" s="19" t="s">
        <v>1862</v>
      </c>
      <c r="E407" s="19" t="s">
        <v>1858</v>
      </c>
      <c r="F407" s="19" t="s">
        <v>1868</v>
      </c>
      <c r="G407" s="19" t="s">
        <v>1899</v>
      </c>
      <c r="H407" s="19">
        <v>2</v>
      </c>
      <c r="I407" s="19">
        <v>4883.56</v>
      </c>
      <c r="J407" s="19">
        <v>9767.12</v>
      </c>
    </row>
    <row r="408" ht="15.25" spans="1:10">
      <c r="A408" s="18" t="s">
        <v>2058</v>
      </c>
      <c r="B408" s="19" t="s">
        <v>1902</v>
      </c>
      <c r="C408" s="19" t="s">
        <v>1941</v>
      </c>
      <c r="D408" s="19" t="s">
        <v>1879</v>
      </c>
      <c r="E408" s="19" t="s">
        <v>1851</v>
      </c>
      <c r="F408" s="19" t="s">
        <v>1876</v>
      </c>
      <c r="G408" s="19" t="s">
        <v>1926</v>
      </c>
      <c r="H408" s="19">
        <v>16</v>
      </c>
      <c r="I408" s="19">
        <v>2015.76</v>
      </c>
      <c r="J408" s="19">
        <v>32252.16</v>
      </c>
    </row>
    <row r="409" ht="15.25" spans="1:10">
      <c r="A409" s="18">
        <v>45236</v>
      </c>
      <c r="B409" s="19" t="s">
        <v>1892</v>
      </c>
      <c r="C409" s="19" t="s">
        <v>1602</v>
      </c>
      <c r="D409" s="19" t="s">
        <v>1862</v>
      </c>
      <c r="E409" s="19" t="s">
        <v>1858</v>
      </c>
      <c r="F409" s="19" t="s">
        <v>1868</v>
      </c>
      <c r="G409" s="19" t="s">
        <v>1869</v>
      </c>
      <c r="H409" s="19">
        <v>1</v>
      </c>
      <c r="I409" s="19">
        <v>2777.22</v>
      </c>
      <c r="J409" s="19">
        <v>2777.22</v>
      </c>
    </row>
    <row r="410" ht="15.25" spans="1:10">
      <c r="A410" s="18" t="s">
        <v>2006</v>
      </c>
      <c r="B410" s="19" t="s">
        <v>1855</v>
      </c>
      <c r="C410" s="19" t="s">
        <v>1602</v>
      </c>
      <c r="D410" s="19" t="s">
        <v>1862</v>
      </c>
      <c r="E410" s="19" t="s">
        <v>1858</v>
      </c>
      <c r="F410" s="19" t="s">
        <v>1852</v>
      </c>
      <c r="G410" s="19" t="s">
        <v>1910</v>
      </c>
      <c r="H410" s="19">
        <v>13</v>
      </c>
      <c r="I410" s="19">
        <v>4318.62</v>
      </c>
      <c r="J410" s="19">
        <v>56142.06</v>
      </c>
    </row>
    <row r="411" ht="26.75" spans="1:10">
      <c r="A411" s="18" t="s">
        <v>2059</v>
      </c>
      <c r="B411" s="19" t="s">
        <v>1902</v>
      </c>
      <c r="C411" s="19" t="s">
        <v>1849</v>
      </c>
      <c r="D411" s="19" t="s">
        <v>1850</v>
      </c>
      <c r="E411" s="19" t="s">
        <v>1851</v>
      </c>
      <c r="F411" s="19" t="s">
        <v>1876</v>
      </c>
      <c r="G411" s="19" t="s">
        <v>1926</v>
      </c>
      <c r="H411" s="19">
        <v>15</v>
      </c>
      <c r="I411" s="19">
        <v>3225.2</v>
      </c>
      <c r="J411" s="19">
        <v>48378</v>
      </c>
    </row>
    <row r="412" ht="26.75" spans="1:10">
      <c r="A412" s="18" t="s">
        <v>2048</v>
      </c>
      <c r="B412" s="19" t="s">
        <v>1874</v>
      </c>
      <c r="C412" s="19" t="s">
        <v>1849</v>
      </c>
      <c r="D412" s="19" t="s">
        <v>1850</v>
      </c>
      <c r="E412" s="19" t="s">
        <v>1851</v>
      </c>
      <c r="F412" s="19" t="s">
        <v>1876</v>
      </c>
      <c r="G412" s="19" t="s">
        <v>1926</v>
      </c>
      <c r="H412" s="19">
        <v>9</v>
      </c>
      <c r="I412" s="19">
        <v>631.99</v>
      </c>
      <c r="J412" s="19">
        <v>5687.91</v>
      </c>
    </row>
    <row r="413" ht="15.25" spans="1:10">
      <c r="A413" s="18">
        <v>45051</v>
      </c>
      <c r="B413" s="19" t="s">
        <v>1867</v>
      </c>
      <c r="C413" s="19" t="s">
        <v>1903</v>
      </c>
      <c r="D413" s="19" t="s">
        <v>1884</v>
      </c>
      <c r="E413" s="19" t="s">
        <v>1895</v>
      </c>
      <c r="F413" s="19" t="s">
        <v>1859</v>
      </c>
      <c r="G413" s="19" t="s">
        <v>1922</v>
      </c>
      <c r="H413" s="19">
        <v>16</v>
      </c>
      <c r="I413" s="19">
        <v>981</v>
      </c>
      <c r="J413" s="19">
        <v>15696</v>
      </c>
    </row>
    <row r="414" ht="15.25" spans="1:10">
      <c r="A414" s="18">
        <v>45266</v>
      </c>
      <c r="B414" s="19" t="s">
        <v>1892</v>
      </c>
      <c r="C414" s="19" t="s">
        <v>1610</v>
      </c>
      <c r="D414" s="19" t="s">
        <v>1879</v>
      </c>
      <c r="E414" s="19" t="s">
        <v>1851</v>
      </c>
      <c r="F414" s="19" t="s">
        <v>1876</v>
      </c>
      <c r="G414" s="19" t="s">
        <v>1883</v>
      </c>
      <c r="H414" s="19">
        <v>14</v>
      </c>
      <c r="I414" s="19">
        <v>1049.21</v>
      </c>
      <c r="J414" s="19">
        <v>14688.94</v>
      </c>
    </row>
    <row r="415" ht="15.25" spans="1:10">
      <c r="A415" s="18" t="s">
        <v>2057</v>
      </c>
      <c r="B415" s="19" t="s">
        <v>1902</v>
      </c>
      <c r="C415" s="19" t="s">
        <v>1856</v>
      </c>
      <c r="D415" s="19" t="s">
        <v>1857</v>
      </c>
      <c r="E415" s="19" t="s">
        <v>1858</v>
      </c>
      <c r="F415" s="19" t="s">
        <v>1852</v>
      </c>
      <c r="G415" s="19" t="s">
        <v>1853</v>
      </c>
      <c r="H415" s="19">
        <v>3</v>
      </c>
      <c r="I415" s="19">
        <v>3276.84</v>
      </c>
      <c r="J415" s="19">
        <v>9830.52</v>
      </c>
    </row>
    <row r="416" ht="26.75" spans="1:10">
      <c r="A416" s="18">
        <v>45207</v>
      </c>
      <c r="B416" s="19" t="s">
        <v>1867</v>
      </c>
      <c r="C416" s="19" t="s">
        <v>1593</v>
      </c>
      <c r="D416" s="19" t="s">
        <v>1850</v>
      </c>
      <c r="E416" s="19" t="s">
        <v>1851</v>
      </c>
      <c r="F416" s="19" t="s">
        <v>1876</v>
      </c>
      <c r="G416" s="19" t="s">
        <v>1877</v>
      </c>
      <c r="H416" s="19">
        <v>10</v>
      </c>
      <c r="I416" s="19">
        <v>1693.46</v>
      </c>
      <c r="J416" s="19">
        <v>16934.6</v>
      </c>
    </row>
    <row r="417" ht="15.25" spans="1:10">
      <c r="A417" s="18" t="s">
        <v>1998</v>
      </c>
      <c r="B417" s="19" t="s">
        <v>1892</v>
      </c>
      <c r="C417" s="19" t="s">
        <v>1589</v>
      </c>
      <c r="D417" s="19" t="s">
        <v>1884</v>
      </c>
      <c r="E417" s="19" t="s">
        <v>1895</v>
      </c>
      <c r="F417" s="19" t="s">
        <v>1859</v>
      </c>
      <c r="G417" s="19" t="s">
        <v>1922</v>
      </c>
      <c r="H417" s="19">
        <v>15</v>
      </c>
      <c r="I417" s="19">
        <v>1790.58</v>
      </c>
      <c r="J417" s="19">
        <v>26858.7</v>
      </c>
    </row>
    <row r="418" ht="15.25" spans="1:10">
      <c r="A418" s="18" t="s">
        <v>1986</v>
      </c>
      <c r="B418" s="19" t="s">
        <v>1871</v>
      </c>
      <c r="C418" s="19" t="s">
        <v>1610</v>
      </c>
      <c r="D418" s="19" t="s">
        <v>1879</v>
      </c>
      <c r="E418" s="19" t="s">
        <v>1851</v>
      </c>
      <c r="F418" s="19" t="s">
        <v>1852</v>
      </c>
      <c r="G418" s="19" t="s">
        <v>1910</v>
      </c>
      <c r="H418" s="19">
        <v>16</v>
      </c>
      <c r="I418" s="19">
        <v>1018.83</v>
      </c>
      <c r="J418" s="19">
        <v>16301.28</v>
      </c>
    </row>
    <row r="419" ht="15.25" spans="1:10">
      <c r="A419" s="18">
        <v>45109</v>
      </c>
      <c r="B419" s="19" t="s">
        <v>1874</v>
      </c>
      <c r="C419" s="19" t="s">
        <v>1906</v>
      </c>
      <c r="D419" s="19" t="s">
        <v>1862</v>
      </c>
      <c r="E419" s="19" t="s">
        <v>1858</v>
      </c>
      <c r="F419" s="19" t="s">
        <v>1876</v>
      </c>
      <c r="G419" s="19" t="s">
        <v>1930</v>
      </c>
      <c r="H419" s="19">
        <v>6</v>
      </c>
      <c r="I419" s="19">
        <v>1246.59</v>
      </c>
      <c r="J419" s="19">
        <v>7479.54</v>
      </c>
    </row>
    <row r="420" ht="15.25" spans="1:10">
      <c r="A420" s="18" t="s">
        <v>1915</v>
      </c>
      <c r="B420" s="19" t="s">
        <v>1889</v>
      </c>
      <c r="C420" s="19" t="s">
        <v>1856</v>
      </c>
      <c r="D420" s="19" t="s">
        <v>1857</v>
      </c>
      <c r="E420" s="19" t="s">
        <v>1858</v>
      </c>
      <c r="F420" s="19" t="s">
        <v>1868</v>
      </c>
      <c r="G420" s="19" t="s">
        <v>1907</v>
      </c>
      <c r="H420" s="19">
        <v>14</v>
      </c>
      <c r="I420" s="19">
        <v>859.79</v>
      </c>
      <c r="J420" s="19">
        <v>12037.06</v>
      </c>
    </row>
    <row r="421" ht="15.25" spans="1:10">
      <c r="A421" s="18">
        <v>45180</v>
      </c>
      <c r="B421" s="19" t="s">
        <v>1848</v>
      </c>
      <c r="C421" s="19" t="s">
        <v>1589</v>
      </c>
      <c r="D421" s="19" t="s">
        <v>1884</v>
      </c>
      <c r="E421" s="19" t="s">
        <v>1895</v>
      </c>
      <c r="F421" s="19" t="s">
        <v>1865</v>
      </c>
      <c r="G421" s="19" t="s">
        <v>1886</v>
      </c>
      <c r="H421" s="19">
        <v>12</v>
      </c>
      <c r="I421" s="19">
        <v>149.16</v>
      </c>
      <c r="J421" s="19">
        <v>1789.92</v>
      </c>
    </row>
    <row r="422" ht="26.75" spans="1:10">
      <c r="A422" s="18" t="s">
        <v>2060</v>
      </c>
      <c r="B422" s="19" t="s">
        <v>1871</v>
      </c>
      <c r="C422" s="19" t="s">
        <v>1849</v>
      </c>
      <c r="D422" s="19" t="s">
        <v>1850</v>
      </c>
      <c r="E422" s="19" t="s">
        <v>1851</v>
      </c>
      <c r="F422" s="19" t="s">
        <v>1852</v>
      </c>
      <c r="G422" s="19" t="s">
        <v>1910</v>
      </c>
      <c r="H422" s="19">
        <v>20</v>
      </c>
      <c r="I422" s="19">
        <v>1108.83</v>
      </c>
      <c r="J422" s="19">
        <v>22176.6</v>
      </c>
    </row>
    <row r="423" ht="15.25" spans="1:10">
      <c r="A423" s="18" t="s">
        <v>2008</v>
      </c>
      <c r="B423" s="19" t="s">
        <v>1874</v>
      </c>
      <c r="C423" s="19" t="s">
        <v>1602</v>
      </c>
      <c r="D423" s="19" t="s">
        <v>1862</v>
      </c>
      <c r="E423" s="19" t="s">
        <v>1858</v>
      </c>
      <c r="F423" s="19" t="s">
        <v>1852</v>
      </c>
      <c r="G423" s="19" t="s">
        <v>1950</v>
      </c>
      <c r="H423" s="19">
        <v>8</v>
      </c>
      <c r="I423" s="19">
        <v>3628.65</v>
      </c>
      <c r="J423" s="19">
        <v>29029.2</v>
      </c>
    </row>
    <row r="424" ht="15.25" spans="1:10">
      <c r="A424" s="18" t="s">
        <v>1870</v>
      </c>
      <c r="B424" s="19" t="s">
        <v>1848</v>
      </c>
      <c r="C424" s="19" t="s">
        <v>1610</v>
      </c>
      <c r="D424" s="19" t="s">
        <v>1879</v>
      </c>
      <c r="E424" s="19" t="s">
        <v>1851</v>
      </c>
      <c r="F424" s="19" t="s">
        <v>1865</v>
      </c>
      <c r="G424" s="19" t="s">
        <v>1886</v>
      </c>
      <c r="H424" s="19">
        <v>19</v>
      </c>
      <c r="I424" s="19">
        <v>1317.72</v>
      </c>
      <c r="J424" s="19">
        <v>25036.68</v>
      </c>
    </row>
    <row r="425" ht="15.25" spans="1:10">
      <c r="A425" s="18" t="s">
        <v>2061</v>
      </c>
      <c r="B425" s="19" t="s">
        <v>1871</v>
      </c>
      <c r="C425" s="19" t="s">
        <v>1903</v>
      </c>
      <c r="D425" s="19" t="s">
        <v>1884</v>
      </c>
      <c r="E425" s="19" t="s">
        <v>1895</v>
      </c>
      <c r="F425" s="19" t="s">
        <v>1865</v>
      </c>
      <c r="G425" s="19" t="s">
        <v>1920</v>
      </c>
      <c r="H425" s="19">
        <v>16</v>
      </c>
      <c r="I425" s="19">
        <v>2995.01</v>
      </c>
      <c r="J425" s="19">
        <v>47920.16</v>
      </c>
    </row>
    <row r="426" ht="26.75" spans="1:10">
      <c r="A426" s="18" t="s">
        <v>2039</v>
      </c>
      <c r="B426" s="19" t="s">
        <v>1874</v>
      </c>
      <c r="C426" s="19" t="s">
        <v>1598</v>
      </c>
      <c r="D426" s="19" t="s">
        <v>1850</v>
      </c>
      <c r="E426" s="19" t="s">
        <v>1851</v>
      </c>
      <c r="F426" s="19" t="s">
        <v>1852</v>
      </c>
      <c r="G426" s="19" t="s">
        <v>1950</v>
      </c>
      <c r="H426" s="19">
        <v>11</v>
      </c>
      <c r="I426" s="19">
        <v>2318.96</v>
      </c>
      <c r="J426" s="19">
        <v>25508.56</v>
      </c>
    </row>
    <row r="427" ht="15.25" spans="1:10">
      <c r="A427" s="18" t="s">
        <v>1919</v>
      </c>
      <c r="B427" s="19" t="s">
        <v>1861</v>
      </c>
      <c r="C427" s="19" t="s">
        <v>1875</v>
      </c>
      <c r="D427" s="19" t="s">
        <v>1862</v>
      </c>
      <c r="E427" s="19" t="s">
        <v>1858</v>
      </c>
      <c r="F427" s="19" t="s">
        <v>1868</v>
      </c>
      <c r="G427" s="19" t="s">
        <v>1907</v>
      </c>
      <c r="H427" s="19">
        <v>14</v>
      </c>
      <c r="I427" s="19">
        <v>4935.3</v>
      </c>
      <c r="J427" s="19">
        <v>69094.2</v>
      </c>
    </row>
    <row r="428" ht="15.25" spans="1:10">
      <c r="A428" s="18" t="s">
        <v>2062</v>
      </c>
      <c r="B428" s="19" t="s">
        <v>1892</v>
      </c>
      <c r="C428" s="19" t="s">
        <v>1906</v>
      </c>
      <c r="D428" s="19" t="s">
        <v>1862</v>
      </c>
      <c r="E428" s="19" t="s">
        <v>1858</v>
      </c>
      <c r="F428" s="19" t="s">
        <v>1852</v>
      </c>
      <c r="G428" s="19" t="s">
        <v>1910</v>
      </c>
      <c r="H428" s="19">
        <v>1</v>
      </c>
      <c r="I428" s="19">
        <v>1083.26</v>
      </c>
      <c r="J428" s="19">
        <v>1083.26</v>
      </c>
    </row>
    <row r="429" ht="15.25" spans="1:10">
      <c r="A429" s="18">
        <v>45056</v>
      </c>
      <c r="B429" s="19" t="s">
        <v>1889</v>
      </c>
      <c r="C429" s="19" t="s">
        <v>1864</v>
      </c>
      <c r="D429" s="19" t="s">
        <v>1857</v>
      </c>
      <c r="E429" s="19" t="s">
        <v>1858</v>
      </c>
      <c r="F429" s="19" t="s">
        <v>1852</v>
      </c>
      <c r="G429" s="19" t="s">
        <v>1910</v>
      </c>
      <c r="H429" s="19">
        <v>11</v>
      </c>
      <c r="I429" s="19">
        <v>1673.53</v>
      </c>
      <c r="J429" s="19">
        <v>18408.83</v>
      </c>
    </row>
    <row r="430" ht="15.25" spans="1:10">
      <c r="A430" s="18" t="s">
        <v>2012</v>
      </c>
      <c r="B430" s="19" t="s">
        <v>1867</v>
      </c>
      <c r="C430" s="19" t="s">
        <v>1610</v>
      </c>
      <c r="D430" s="19" t="s">
        <v>1879</v>
      </c>
      <c r="E430" s="19" t="s">
        <v>1851</v>
      </c>
      <c r="F430" s="19" t="s">
        <v>1876</v>
      </c>
      <c r="G430" s="19" t="s">
        <v>1926</v>
      </c>
      <c r="H430" s="19">
        <v>10</v>
      </c>
      <c r="I430" s="19">
        <v>3829.38</v>
      </c>
      <c r="J430" s="19">
        <v>38293.8</v>
      </c>
    </row>
    <row r="431" ht="15.25" spans="1:10">
      <c r="A431" s="18" t="s">
        <v>1933</v>
      </c>
      <c r="B431" s="19" t="s">
        <v>1889</v>
      </c>
      <c r="C431" s="19" t="s">
        <v>1602</v>
      </c>
      <c r="D431" s="19" t="s">
        <v>1862</v>
      </c>
      <c r="E431" s="19" t="s">
        <v>1858</v>
      </c>
      <c r="F431" s="19" t="s">
        <v>1865</v>
      </c>
      <c r="G431" s="19" t="s">
        <v>1866</v>
      </c>
      <c r="H431" s="19">
        <v>6</v>
      </c>
      <c r="I431" s="19">
        <v>470.36</v>
      </c>
      <c r="J431" s="19">
        <v>2822.16</v>
      </c>
    </row>
    <row r="432" ht="26.75" spans="1:10">
      <c r="A432" s="18" t="s">
        <v>1983</v>
      </c>
      <c r="B432" s="19" t="s">
        <v>1902</v>
      </c>
      <c r="C432" s="19" t="s">
        <v>1598</v>
      </c>
      <c r="D432" s="19" t="s">
        <v>1850</v>
      </c>
      <c r="E432" s="19" t="s">
        <v>1851</v>
      </c>
      <c r="F432" s="19" t="s">
        <v>1876</v>
      </c>
      <c r="G432" s="19" t="s">
        <v>1926</v>
      </c>
      <c r="H432" s="19">
        <v>12</v>
      </c>
      <c r="I432" s="19">
        <v>2489.14</v>
      </c>
      <c r="J432" s="19">
        <v>29869.68</v>
      </c>
    </row>
    <row r="433" ht="15.25" spans="1:10">
      <c r="A433" s="18" t="s">
        <v>2009</v>
      </c>
      <c r="B433" s="19" t="s">
        <v>1889</v>
      </c>
      <c r="C433" s="19" t="s">
        <v>1602</v>
      </c>
      <c r="D433" s="19" t="s">
        <v>1862</v>
      </c>
      <c r="E433" s="19" t="s">
        <v>1858</v>
      </c>
      <c r="F433" s="19" t="s">
        <v>1865</v>
      </c>
      <c r="G433" s="19" t="s">
        <v>1920</v>
      </c>
      <c r="H433" s="19">
        <v>14</v>
      </c>
      <c r="I433" s="19">
        <v>1729.16</v>
      </c>
      <c r="J433" s="19">
        <v>24208.24</v>
      </c>
    </row>
    <row r="434" ht="15.25" spans="1:10">
      <c r="A434" s="18" t="s">
        <v>2063</v>
      </c>
      <c r="B434" s="19" t="s">
        <v>1848</v>
      </c>
      <c r="C434" s="19" t="s">
        <v>1626</v>
      </c>
      <c r="D434" s="19" t="s">
        <v>1857</v>
      </c>
      <c r="E434" s="19" t="s">
        <v>1858</v>
      </c>
      <c r="F434" s="19" t="s">
        <v>1859</v>
      </c>
      <c r="G434" s="19" t="s">
        <v>1922</v>
      </c>
      <c r="H434" s="19">
        <v>2</v>
      </c>
      <c r="I434" s="19">
        <v>2789.92</v>
      </c>
      <c r="J434" s="19">
        <v>5579.84</v>
      </c>
    </row>
    <row r="435" ht="15.25" spans="1:10">
      <c r="A435" s="18" t="s">
        <v>1943</v>
      </c>
      <c r="B435" s="19" t="s">
        <v>1878</v>
      </c>
      <c r="C435" s="19" t="s">
        <v>1875</v>
      </c>
      <c r="D435" s="19" t="s">
        <v>1862</v>
      </c>
      <c r="E435" s="19" t="s">
        <v>1858</v>
      </c>
      <c r="F435" s="19" t="s">
        <v>1865</v>
      </c>
      <c r="G435" s="19" t="s">
        <v>1866</v>
      </c>
      <c r="H435" s="19">
        <v>17</v>
      </c>
      <c r="I435" s="19">
        <v>3244.79</v>
      </c>
      <c r="J435" s="19">
        <v>55161.43</v>
      </c>
    </row>
    <row r="436" ht="15.25" spans="1:10">
      <c r="A436" s="18" t="s">
        <v>1988</v>
      </c>
      <c r="B436" s="19" t="s">
        <v>1861</v>
      </c>
      <c r="C436" s="19" t="s">
        <v>1906</v>
      </c>
      <c r="D436" s="19" t="s">
        <v>1862</v>
      </c>
      <c r="E436" s="19" t="s">
        <v>1858</v>
      </c>
      <c r="F436" s="19" t="s">
        <v>1859</v>
      </c>
      <c r="G436" s="19" t="s">
        <v>1860</v>
      </c>
      <c r="H436" s="19">
        <v>20</v>
      </c>
      <c r="I436" s="19">
        <v>2155.17</v>
      </c>
      <c r="J436" s="19">
        <v>43103.4</v>
      </c>
    </row>
    <row r="437" ht="15.25" spans="1:10">
      <c r="A437" s="18">
        <v>45145</v>
      </c>
      <c r="B437" s="19" t="s">
        <v>1892</v>
      </c>
      <c r="C437" s="19" t="s">
        <v>1856</v>
      </c>
      <c r="D437" s="19" t="s">
        <v>1857</v>
      </c>
      <c r="E437" s="19" t="s">
        <v>1858</v>
      </c>
      <c r="F437" s="19" t="s">
        <v>1868</v>
      </c>
      <c r="G437" s="19" t="s">
        <v>1907</v>
      </c>
      <c r="H437" s="19">
        <v>13</v>
      </c>
      <c r="I437" s="19">
        <v>2526.2</v>
      </c>
      <c r="J437" s="19">
        <v>32840.6</v>
      </c>
    </row>
    <row r="438" ht="15.25" spans="1:10">
      <c r="A438" s="18" t="s">
        <v>1921</v>
      </c>
      <c r="B438" s="19" t="s">
        <v>1878</v>
      </c>
      <c r="C438" s="19" t="s">
        <v>1864</v>
      </c>
      <c r="D438" s="19" t="s">
        <v>1857</v>
      </c>
      <c r="E438" s="19" t="s">
        <v>1858</v>
      </c>
      <c r="F438" s="19" t="s">
        <v>1876</v>
      </c>
      <c r="G438" s="19" t="s">
        <v>1883</v>
      </c>
      <c r="H438" s="19">
        <v>11</v>
      </c>
      <c r="I438" s="19">
        <v>1995.21</v>
      </c>
      <c r="J438" s="19">
        <v>21947.31</v>
      </c>
    </row>
    <row r="439" ht="15.25" spans="1:10">
      <c r="A439" s="18">
        <v>45232</v>
      </c>
      <c r="B439" s="19" t="s">
        <v>1892</v>
      </c>
      <c r="C439" s="19" t="s">
        <v>1610</v>
      </c>
      <c r="D439" s="19" t="s">
        <v>1879</v>
      </c>
      <c r="E439" s="19" t="s">
        <v>1851</v>
      </c>
      <c r="F439" s="19" t="s">
        <v>1859</v>
      </c>
      <c r="G439" s="19" t="s">
        <v>1860</v>
      </c>
      <c r="H439" s="19">
        <v>4</v>
      </c>
      <c r="I439" s="19">
        <v>1139.74</v>
      </c>
      <c r="J439" s="19">
        <v>4558.96</v>
      </c>
    </row>
    <row r="440" ht="15.25" spans="1:10">
      <c r="A440" s="18" t="s">
        <v>2020</v>
      </c>
      <c r="B440" s="19" t="s">
        <v>1902</v>
      </c>
      <c r="C440" s="19" t="s">
        <v>1903</v>
      </c>
      <c r="D440" s="19" t="s">
        <v>1884</v>
      </c>
      <c r="E440" s="19" t="s">
        <v>1895</v>
      </c>
      <c r="F440" s="19" t="s">
        <v>1852</v>
      </c>
      <c r="G440" s="19" t="s">
        <v>1934</v>
      </c>
      <c r="H440" s="19">
        <v>4</v>
      </c>
      <c r="I440" s="19">
        <v>3015.93</v>
      </c>
      <c r="J440" s="19">
        <v>12063.72</v>
      </c>
    </row>
    <row r="441" ht="15.25" spans="1:10">
      <c r="A441" s="18">
        <v>45203</v>
      </c>
      <c r="B441" s="19" t="s">
        <v>1892</v>
      </c>
      <c r="C441" s="19" t="s">
        <v>1626</v>
      </c>
      <c r="D441" s="19" t="s">
        <v>1857</v>
      </c>
      <c r="E441" s="19" t="s">
        <v>1858</v>
      </c>
      <c r="F441" s="19" t="s">
        <v>1865</v>
      </c>
      <c r="G441" s="19" t="s">
        <v>1886</v>
      </c>
      <c r="H441" s="19">
        <v>4</v>
      </c>
      <c r="I441" s="19">
        <v>3831.39</v>
      </c>
      <c r="J441" s="19">
        <v>15325.56</v>
      </c>
    </row>
    <row r="442" ht="26.75" spans="1:10">
      <c r="A442" s="18" t="s">
        <v>1972</v>
      </c>
      <c r="B442" s="19" t="s">
        <v>1848</v>
      </c>
      <c r="C442" s="19" t="s">
        <v>1593</v>
      </c>
      <c r="D442" s="19" t="s">
        <v>1850</v>
      </c>
      <c r="E442" s="19" t="s">
        <v>1851</v>
      </c>
      <c r="F442" s="19" t="s">
        <v>1865</v>
      </c>
      <c r="G442" s="19" t="s">
        <v>1866</v>
      </c>
      <c r="H442" s="19">
        <v>7</v>
      </c>
      <c r="I442" s="19">
        <v>105.05</v>
      </c>
      <c r="J442" s="19">
        <v>735.35</v>
      </c>
    </row>
    <row r="443" ht="15.25" spans="1:10">
      <c r="A443" s="18">
        <v>44992</v>
      </c>
      <c r="B443" s="19" t="s">
        <v>1855</v>
      </c>
      <c r="C443" s="19" t="s">
        <v>1610</v>
      </c>
      <c r="D443" s="19" t="s">
        <v>1879</v>
      </c>
      <c r="E443" s="19" t="s">
        <v>1851</v>
      </c>
      <c r="F443" s="19" t="s">
        <v>1859</v>
      </c>
      <c r="G443" s="19" t="s">
        <v>1922</v>
      </c>
      <c r="H443" s="19">
        <v>11</v>
      </c>
      <c r="I443" s="19">
        <v>2416.18</v>
      </c>
      <c r="J443" s="19">
        <v>26577.98</v>
      </c>
    </row>
    <row r="444" ht="15.25" spans="1:10">
      <c r="A444" s="18" t="s">
        <v>2064</v>
      </c>
      <c r="B444" s="19" t="s">
        <v>1874</v>
      </c>
      <c r="C444" s="19" t="s">
        <v>1610</v>
      </c>
      <c r="D444" s="19" t="s">
        <v>1879</v>
      </c>
      <c r="E444" s="19" t="s">
        <v>1851</v>
      </c>
      <c r="F444" s="19" t="s">
        <v>1859</v>
      </c>
      <c r="G444" s="19" t="s">
        <v>1922</v>
      </c>
      <c r="H444" s="19">
        <v>1</v>
      </c>
      <c r="I444" s="19">
        <v>549.14</v>
      </c>
      <c r="J444" s="19">
        <v>549.14</v>
      </c>
    </row>
    <row r="445" ht="15.25" spans="1:10">
      <c r="A445" s="18" t="s">
        <v>1990</v>
      </c>
      <c r="B445" s="19" t="s">
        <v>1874</v>
      </c>
      <c r="C445" s="19" t="s">
        <v>1864</v>
      </c>
      <c r="D445" s="19" t="s">
        <v>1857</v>
      </c>
      <c r="E445" s="19" t="s">
        <v>1858</v>
      </c>
      <c r="F445" s="19" t="s">
        <v>1868</v>
      </c>
      <c r="G445" s="19" t="s">
        <v>1869</v>
      </c>
      <c r="H445" s="19">
        <v>10</v>
      </c>
      <c r="I445" s="19">
        <v>3771.5</v>
      </c>
      <c r="J445" s="19">
        <v>37715</v>
      </c>
    </row>
    <row r="446" ht="15.25" spans="1:10">
      <c r="A446" s="18" t="s">
        <v>2060</v>
      </c>
      <c r="B446" s="19" t="s">
        <v>1855</v>
      </c>
      <c r="C446" s="19" t="s">
        <v>1610</v>
      </c>
      <c r="D446" s="19" t="s">
        <v>1879</v>
      </c>
      <c r="E446" s="19" t="s">
        <v>1851</v>
      </c>
      <c r="F446" s="19" t="s">
        <v>1852</v>
      </c>
      <c r="G446" s="19" t="s">
        <v>1934</v>
      </c>
      <c r="H446" s="19">
        <v>13</v>
      </c>
      <c r="I446" s="19">
        <v>956.49</v>
      </c>
      <c r="J446" s="19">
        <v>12434.37</v>
      </c>
    </row>
    <row r="447" ht="15.25" spans="1:10">
      <c r="A447" s="18" t="s">
        <v>1974</v>
      </c>
      <c r="B447" s="19" t="s">
        <v>1861</v>
      </c>
      <c r="C447" s="19" t="s">
        <v>1602</v>
      </c>
      <c r="D447" s="19" t="s">
        <v>1862</v>
      </c>
      <c r="E447" s="19" t="s">
        <v>1858</v>
      </c>
      <c r="F447" s="19" t="s">
        <v>1852</v>
      </c>
      <c r="G447" s="19" t="s">
        <v>1910</v>
      </c>
      <c r="H447" s="19">
        <v>19</v>
      </c>
      <c r="I447" s="19">
        <v>3575.92</v>
      </c>
      <c r="J447" s="19">
        <v>67942.48</v>
      </c>
    </row>
    <row r="448" ht="15.25" spans="1:10">
      <c r="A448" s="18" t="s">
        <v>1949</v>
      </c>
      <c r="B448" s="19" t="s">
        <v>1892</v>
      </c>
      <c r="C448" s="19" t="s">
        <v>1898</v>
      </c>
      <c r="D448" s="19" t="s">
        <v>1879</v>
      </c>
      <c r="E448" s="19" t="s">
        <v>1851</v>
      </c>
      <c r="F448" s="19" t="s">
        <v>1876</v>
      </c>
      <c r="G448" s="19" t="s">
        <v>1926</v>
      </c>
      <c r="H448" s="19">
        <v>8</v>
      </c>
      <c r="I448" s="19">
        <v>3971.12</v>
      </c>
      <c r="J448" s="19">
        <v>31768.96</v>
      </c>
    </row>
    <row r="449" ht="15.25" spans="1:10">
      <c r="A449" s="18" t="s">
        <v>2048</v>
      </c>
      <c r="B449" s="19" t="s">
        <v>1871</v>
      </c>
      <c r="C449" s="19" t="s">
        <v>1864</v>
      </c>
      <c r="D449" s="19" t="s">
        <v>1857</v>
      </c>
      <c r="E449" s="19" t="s">
        <v>1858</v>
      </c>
      <c r="F449" s="19" t="s">
        <v>1865</v>
      </c>
      <c r="G449" s="19" t="s">
        <v>1890</v>
      </c>
      <c r="H449" s="19">
        <v>14</v>
      </c>
      <c r="I449" s="19">
        <v>3631.62</v>
      </c>
      <c r="J449" s="19">
        <v>50842.68</v>
      </c>
    </row>
    <row r="450" ht="26.75" spans="1:10">
      <c r="A450" s="18">
        <v>44931</v>
      </c>
      <c r="B450" s="19" t="s">
        <v>1889</v>
      </c>
      <c r="C450" s="19" t="s">
        <v>1849</v>
      </c>
      <c r="D450" s="19" t="s">
        <v>1850</v>
      </c>
      <c r="E450" s="19" t="s">
        <v>1851</v>
      </c>
      <c r="F450" s="19" t="s">
        <v>1852</v>
      </c>
      <c r="G450" s="19" t="s">
        <v>1910</v>
      </c>
      <c r="H450" s="19">
        <v>18</v>
      </c>
      <c r="I450" s="19">
        <v>2589.64</v>
      </c>
      <c r="J450" s="19">
        <v>46613.52</v>
      </c>
    </row>
    <row r="451" ht="15.25" spans="1:10">
      <c r="A451" s="18">
        <v>45025</v>
      </c>
      <c r="B451" s="19" t="s">
        <v>1871</v>
      </c>
      <c r="C451" s="19" t="s">
        <v>1898</v>
      </c>
      <c r="D451" s="19" t="s">
        <v>1879</v>
      </c>
      <c r="E451" s="19" t="s">
        <v>1851</v>
      </c>
      <c r="F451" s="19" t="s">
        <v>1868</v>
      </c>
      <c r="G451" s="19" t="s">
        <v>1907</v>
      </c>
      <c r="H451" s="19">
        <v>2</v>
      </c>
      <c r="I451" s="19">
        <v>2713.34</v>
      </c>
      <c r="J451" s="19">
        <v>5426.68</v>
      </c>
    </row>
    <row r="452" ht="15.25" spans="1:10">
      <c r="A452" s="18" t="s">
        <v>1960</v>
      </c>
      <c r="B452" s="19" t="s">
        <v>1874</v>
      </c>
      <c r="C452" s="19" t="s">
        <v>1602</v>
      </c>
      <c r="D452" s="19" t="s">
        <v>1862</v>
      </c>
      <c r="E452" s="19" t="s">
        <v>1858</v>
      </c>
      <c r="F452" s="19" t="s">
        <v>1859</v>
      </c>
      <c r="G452" s="19" t="s">
        <v>1860</v>
      </c>
      <c r="H452" s="19">
        <v>17</v>
      </c>
      <c r="I452" s="19">
        <v>1294.56</v>
      </c>
      <c r="J452" s="19">
        <v>22007.52</v>
      </c>
    </row>
    <row r="453" ht="15.25" spans="1:10">
      <c r="A453" s="18" t="s">
        <v>1952</v>
      </c>
      <c r="B453" s="19" t="s">
        <v>1871</v>
      </c>
      <c r="C453" s="19" t="s">
        <v>1589</v>
      </c>
      <c r="D453" s="19" t="s">
        <v>1884</v>
      </c>
      <c r="E453" s="19" t="s">
        <v>1895</v>
      </c>
      <c r="F453" s="19" t="s">
        <v>1859</v>
      </c>
      <c r="G453" s="19" t="s">
        <v>1860</v>
      </c>
      <c r="H453" s="19">
        <v>8</v>
      </c>
      <c r="I453" s="19">
        <v>1171.53</v>
      </c>
      <c r="J453" s="19">
        <v>9372.24</v>
      </c>
    </row>
    <row r="454" ht="15.25" spans="1:10">
      <c r="A454" s="18" t="s">
        <v>2005</v>
      </c>
      <c r="B454" s="19" t="s">
        <v>1889</v>
      </c>
      <c r="C454" s="19" t="s">
        <v>1894</v>
      </c>
      <c r="D454" s="19" t="s">
        <v>1884</v>
      </c>
      <c r="E454" s="19" t="s">
        <v>1895</v>
      </c>
      <c r="F454" s="19" t="s">
        <v>1865</v>
      </c>
      <c r="G454" s="19" t="s">
        <v>1920</v>
      </c>
      <c r="H454" s="19">
        <v>15</v>
      </c>
      <c r="I454" s="19">
        <v>4060.63</v>
      </c>
      <c r="J454" s="19">
        <v>60909.45</v>
      </c>
    </row>
    <row r="455" ht="26.75" spans="1:10">
      <c r="A455" s="18">
        <v>45264</v>
      </c>
      <c r="B455" s="19" t="s">
        <v>1874</v>
      </c>
      <c r="C455" s="19" t="s">
        <v>1849</v>
      </c>
      <c r="D455" s="19" t="s">
        <v>1850</v>
      </c>
      <c r="E455" s="19" t="s">
        <v>1851</v>
      </c>
      <c r="F455" s="19" t="s">
        <v>1868</v>
      </c>
      <c r="G455" s="19" t="s">
        <v>1869</v>
      </c>
      <c r="H455" s="19">
        <v>4</v>
      </c>
      <c r="I455" s="19">
        <v>442.23</v>
      </c>
      <c r="J455" s="19">
        <v>1768.92</v>
      </c>
    </row>
    <row r="456" ht="26.75" spans="1:10">
      <c r="A456" s="18" t="s">
        <v>1919</v>
      </c>
      <c r="B456" s="19" t="s">
        <v>1889</v>
      </c>
      <c r="C456" s="19" t="s">
        <v>1849</v>
      </c>
      <c r="D456" s="19" t="s">
        <v>1850</v>
      </c>
      <c r="E456" s="19" t="s">
        <v>1851</v>
      </c>
      <c r="F456" s="19" t="s">
        <v>1859</v>
      </c>
      <c r="G456" s="19" t="s">
        <v>1872</v>
      </c>
      <c r="H456" s="19">
        <v>5</v>
      </c>
      <c r="I456" s="19">
        <v>3725.36</v>
      </c>
      <c r="J456" s="19">
        <v>18626.8</v>
      </c>
    </row>
    <row r="457" ht="15.25" spans="1:10">
      <c r="A457" s="18" t="s">
        <v>2061</v>
      </c>
      <c r="B457" s="19" t="s">
        <v>1889</v>
      </c>
      <c r="C457" s="19" t="s">
        <v>1610</v>
      </c>
      <c r="D457" s="19" t="s">
        <v>1879</v>
      </c>
      <c r="E457" s="19" t="s">
        <v>1851</v>
      </c>
      <c r="F457" s="19" t="s">
        <v>1865</v>
      </c>
      <c r="G457" s="19" t="s">
        <v>1866</v>
      </c>
      <c r="H457" s="19">
        <v>20</v>
      </c>
      <c r="I457" s="19">
        <v>2974.89</v>
      </c>
      <c r="J457" s="19">
        <v>59497.8</v>
      </c>
    </row>
    <row r="458" ht="15.25" spans="1:10">
      <c r="A458" s="18">
        <v>44992</v>
      </c>
      <c r="B458" s="19" t="s">
        <v>1889</v>
      </c>
      <c r="C458" s="19" t="s">
        <v>1864</v>
      </c>
      <c r="D458" s="19" t="s">
        <v>1857</v>
      </c>
      <c r="E458" s="19" t="s">
        <v>1858</v>
      </c>
      <c r="F458" s="19" t="s">
        <v>1865</v>
      </c>
      <c r="G458" s="19" t="s">
        <v>1920</v>
      </c>
      <c r="H458" s="19">
        <v>1</v>
      </c>
      <c r="I458" s="19">
        <v>1717.6</v>
      </c>
      <c r="J458" s="19">
        <v>1717.6</v>
      </c>
    </row>
    <row r="459" ht="15.25" spans="1:10">
      <c r="A459" s="18">
        <v>45080</v>
      </c>
      <c r="B459" s="19" t="s">
        <v>1878</v>
      </c>
      <c r="C459" s="19" t="s">
        <v>1589</v>
      </c>
      <c r="D459" s="19" t="s">
        <v>1884</v>
      </c>
      <c r="E459" s="19" t="s">
        <v>1895</v>
      </c>
      <c r="F459" s="19" t="s">
        <v>1852</v>
      </c>
      <c r="G459" s="19" t="s">
        <v>1950</v>
      </c>
      <c r="H459" s="19">
        <v>5</v>
      </c>
      <c r="I459" s="19">
        <v>2849.56</v>
      </c>
      <c r="J459" s="19">
        <v>14247.8</v>
      </c>
    </row>
    <row r="460" ht="15.25" spans="1:10">
      <c r="A460" s="18" t="s">
        <v>1933</v>
      </c>
      <c r="B460" s="19" t="s">
        <v>1848</v>
      </c>
      <c r="C460" s="19" t="s">
        <v>1898</v>
      </c>
      <c r="D460" s="19" t="s">
        <v>1879</v>
      </c>
      <c r="E460" s="19" t="s">
        <v>1851</v>
      </c>
      <c r="F460" s="19" t="s">
        <v>1859</v>
      </c>
      <c r="G460" s="19" t="s">
        <v>1860</v>
      </c>
      <c r="H460" s="19">
        <v>18</v>
      </c>
      <c r="I460" s="19">
        <v>4150.77</v>
      </c>
      <c r="J460" s="19">
        <v>74713.86</v>
      </c>
    </row>
    <row r="461" ht="26.75" spans="1:10">
      <c r="A461" s="18" t="s">
        <v>2065</v>
      </c>
      <c r="B461" s="19" t="s">
        <v>1878</v>
      </c>
      <c r="C461" s="19" t="s">
        <v>1598</v>
      </c>
      <c r="D461" s="19" t="s">
        <v>1850</v>
      </c>
      <c r="E461" s="19" t="s">
        <v>1851</v>
      </c>
      <c r="F461" s="19" t="s">
        <v>1859</v>
      </c>
      <c r="G461" s="19" t="s">
        <v>1947</v>
      </c>
      <c r="H461" s="19">
        <v>18</v>
      </c>
      <c r="I461" s="19">
        <v>2490.14</v>
      </c>
      <c r="J461" s="19">
        <v>44822.52</v>
      </c>
    </row>
    <row r="462" ht="15.25" spans="1:10">
      <c r="A462" s="18" t="s">
        <v>1987</v>
      </c>
      <c r="B462" s="19" t="s">
        <v>1878</v>
      </c>
      <c r="C462" s="19" t="s">
        <v>1903</v>
      </c>
      <c r="D462" s="19" t="s">
        <v>1884</v>
      </c>
      <c r="E462" s="19" t="s">
        <v>1895</v>
      </c>
      <c r="F462" s="19" t="s">
        <v>1859</v>
      </c>
      <c r="G462" s="19" t="s">
        <v>1860</v>
      </c>
      <c r="H462" s="19">
        <v>17</v>
      </c>
      <c r="I462" s="19">
        <v>500.54</v>
      </c>
      <c r="J462" s="19">
        <v>8509.18</v>
      </c>
    </row>
    <row r="463" ht="15.25" spans="1:10">
      <c r="A463" s="18" t="s">
        <v>2066</v>
      </c>
      <c r="B463" s="19" t="s">
        <v>1902</v>
      </c>
      <c r="C463" s="19" t="s">
        <v>1894</v>
      </c>
      <c r="D463" s="19" t="s">
        <v>1884</v>
      </c>
      <c r="E463" s="19" t="s">
        <v>1895</v>
      </c>
      <c r="F463" s="19" t="s">
        <v>1876</v>
      </c>
      <c r="G463" s="19" t="s">
        <v>1926</v>
      </c>
      <c r="H463" s="19">
        <v>19</v>
      </c>
      <c r="I463" s="19">
        <v>1067.94</v>
      </c>
      <c r="J463" s="19">
        <v>20290.86</v>
      </c>
    </row>
    <row r="464" ht="15.25" spans="1:10">
      <c r="A464" s="18" t="s">
        <v>1971</v>
      </c>
      <c r="B464" s="19" t="s">
        <v>1902</v>
      </c>
      <c r="C464" s="19" t="s">
        <v>1906</v>
      </c>
      <c r="D464" s="19" t="s">
        <v>1862</v>
      </c>
      <c r="E464" s="19" t="s">
        <v>1858</v>
      </c>
      <c r="F464" s="19" t="s">
        <v>1868</v>
      </c>
      <c r="G464" s="19" t="s">
        <v>1907</v>
      </c>
      <c r="H464" s="19">
        <v>7</v>
      </c>
      <c r="I464" s="19">
        <v>2264.87</v>
      </c>
      <c r="J464" s="19">
        <v>15854.09</v>
      </c>
    </row>
    <row r="465" ht="15.25" spans="1:10">
      <c r="A465" s="18">
        <v>45262</v>
      </c>
      <c r="B465" s="19" t="s">
        <v>1855</v>
      </c>
      <c r="C465" s="19" t="s">
        <v>1903</v>
      </c>
      <c r="D465" s="19" t="s">
        <v>1884</v>
      </c>
      <c r="E465" s="19" t="s">
        <v>1895</v>
      </c>
      <c r="F465" s="19" t="s">
        <v>1868</v>
      </c>
      <c r="G465" s="19" t="s">
        <v>1899</v>
      </c>
      <c r="H465" s="19">
        <v>18</v>
      </c>
      <c r="I465" s="19">
        <v>2584.07</v>
      </c>
      <c r="J465" s="19">
        <v>46513.26</v>
      </c>
    </row>
    <row r="466" ht="15.25" spans="1:10">
      <c r="A466" s="18" t="s">
        <v>2066</v>
      </c>
      <c r="B466" s="19" t="s">
        <v>1902</v>
      </c>
      <c r="C466" s="19" t="s">
        <v>1602</v>
      </c>
      <c r="D466" s="19" t="s">
        <v>1862</v>
      </c>
      <c r="E466" s="19" t="s">
        <v>1858</v>
      </c>
      <c r="F466" s="19" t="s">
        <v>1859</v>
      </c>
      <c r="G466" s="19" t="s">
        <v>1922</v>
      </c>
      <c r="H466" s="19">
        <v>13</v>
      </c>
      <c r="I466" s="19">
        <v>4621.13</v>
      </c>
      <c r="J466" s="19">
        <v>60074.69</v>
      </c>
    </row>
    <row r="467" ht="15.25" spans="1:10">
      <c r="A467" s="18">
        <v>45269</v>
      </c>
      <c r="B467" s="19" t="s">
        <v>1855</v>
      </c>
      <c r="C467" s="19" t="s">
        <v>1903</v>
      </c>
      <c r="D467" s="19" t="s">
        <v>1884</v>
      </c>
      <c r="E467" s="19" t="s">
        <v>1895</v>
      </c>
      <c r="F467" s="19" t="s">
        <v>1868</v>
      </c>
      <c r="G467" s="19" t="s">
        <v>1869</v>
      </c>
      <c r="H467" s="19">
        <v>16</v>
      </c>
      <c r="I467" s="19">
        <v>4826.2</v>
      </c>
      <c r="J467" s="19">
        <v>77219.2</v>
      </c>
    </row>
    <row r="468" ht="15.25" spans="1:10">
      <c r="A468" s="18">
        <v>45052</v>
      </c>
      <c r="B468" s="19" t="s">
        <v>1871</v>
      </c>
      <c r="C468" s="19" t="s">
        <v>1875</v>
      </c>
      <c r="D468" s="19" t="s">
        <v>1862</v>
      </c>
      <c r="E468" s="19" t="s">
        <v>1858</v>
      </c>
      <c r="F468" s="19" t="s">
        <v>1876</v>
      </c>
      <c r="G468" s="19" t="s">
        <v>1883</v>
      </c>
      <c r="H468" s="19">
        <v>5</v>
      </c>
      <c r="I468" s="19">
        <v>4773.56</v>
      </c>
      <c r="J468" s="19">
        <v>23867.8</v>
      </c>
    </row>
    <row r="469" ht="15.25" spans="1:10">
      <c r="A469" s="18" t="s">
        <v>1969</v>
      </c>
      <c r="B469" s="19" t="s">
        <v>1902</v>
      </c>
      <c r="C469" s="19" t="s">
        <v>1864</v>
      </c>
      <c r="D469" s="19" t="s">
        <v>1857</v>
      </c>
      <c r="E469" s="19" t="s">
        <v>1858</v>
      </c>
      <c r="F469" s="19" t="s">
        <v>1868</v>
      </c>
      <c r="G469" s="19" t="s">
        <v>1907</v>
      </c>
      <c r="H469" s="19">
        <v>9</v>
      </c>
      <c r="I469" s="19">
        <v>3220.44</v>
      </c>
      <c r="J469" s="19">
        <v>28983.96</v>
      </c>
    </row>
    <row r="470" ht="15.25" spans="1:10">
      <c r="A470" s="18" t="s">
        <v>2034</v>
      </c>
      <c r="B470" s="19" t="s">
        <v>1902</v>
      </c>
      <c r="C470" s="19" t="s">
        <v>1626</v>
      </c>
      <c r="D470" s="19" t="s">
        <v>1857</v>
      </c>
      <c r="E470" s="19" t="s">
        <v>1858</v>
      </c>
      <c r="F470" s="19" t="s">
        <v>1868</v>
      </c>
      <c r="G470" s="19" t="s">
        <v>1899</v>
      </c>
      <c r="H470" s="19">
        <v>15</v>
      </c>
      <c r="I470" s="19">
        <v>4945.79</v>
      </c>
      <c r="J470" s="19">
        <v>74186.85</v>
      </c>
    </row>
    <row r="471" ht="15.25" spans="1:10">
      <c r="A471" s="18">
        <v>45140</v>
      </c>
      <c r="B471" s="19" t="s">
        <v>1867</v>
      </c>
      <c r="C471" s="19" t="s">
        <v>1856</v>
      </c>
      <c r="D471" s="19" t="s">
        <v>1857</v>
      </c>
      <c r="E471" s="19" t="s">
        <v>1858</v>
      </c>
      <c r="F471" s="19" t="s">
        <v>1865</v>
      </c>
      <c r="G471" s="19" t="s">
        <v>1920</v>
      </c>
      <c r="H471" s="19">
        <v>14</v>
      </c>
      <c r="I471" s="19">
        <v>2355.56</v>
      </c>
      <c r="J471" s="19">
        <v>32977.84</v>
      </c>
    </row>
    <row r="472" ht="15.25" spans="1:10">
      <c r="A472" s="18" t="s">
        <v>1911</v>
      </c>
      <c r="B472" s="19" t="s">
        <v>1855</v>
      </c>
      <c r="C472" s="19" t="s">
        <v>1610</v>
      </c>
      <c r="D472" s="19" t="s">
        <v>1879</v>
      </c>
      <c r="E472" s="19" t="s">
        <v>1851</v>
      </c>
      <c r="F472" s="19" t="s">
        <v>1865</v>
      </c>
      <c r="G472" s="19" t="s">
        <v>1886</v>
      </c>
      <c r="H472" s="19">
        <v>4</v>
      </c>
      <c r="I472" s="19">
        <v>4412.41</v>
      </c>
      <c r="J472" s="19">
        <v>17649.64</v>
      </c>
    </row>
    <row r="473" ht="15.25" spans="1:10">
      <c r="A473" s="18" t="s">
        <v>1985</v>
      </c>
      <c r="B473" s="19" t="s">
        <v>1889</v>
      </c>
      <c r="C473" s="19" t="s">
        <v>1894</v>
      </c>
      <c r="D473" s="19" t="s">
        <v>1884</v>
      </c>
      <c r="E473" s="19" t="s">
        <v>1895</v>
      </c>
      <c r="F473" s="19" t="s">
        <v>1859</v>
      </c>
      <c r="G473" s="19" t="s">
        <v>1922</v>
      </c>
      <c r="H473" s="19">
        <v>5</v>
      </c>
      <c r="I473" s="19">
        <v>355.6</v>
      </c>
      <c r="J473" s="19">
        <v>1778</v>
      </c>
    </row>
    <row r="474" ht="26.75" spans="1:10">
      <c r="A474" s="18" t="s">
        <v>2025</v>
      </c>
      <c r="B474" s="19" t="s">
        <v>1867</v>
      </c>
      <c r="C474" s="19" t="s">
        <v>1849</v>
      </c>
      <c r="D474" s="19" t="s">
        <v>1850</v>
      </c>
      <c r="E474" s="19" t="s">
        <v>1851</v>
      </c>
      <c r="F474" s="19" t="s">
        <v>1876</v>
      </c>
      <c r="G474" s="19" t="s">
        <v>1877</v>
      </c>
      <c r="H474" s="19">
        <v>12</v>
      </c>
      <c r="I474" s="19">
        <v>4405.19</v>
      </c>
      <c r="J474" s="19">
        <v>52862.28</v>
      </c>
    </row>
    <row r="475" ht="15.25" spans="1:10">
      <c r="A475" s="18" t="s">
        <v>2067</v>
      </c>
      <c r="B475" s="19" t="s">
        <v>1855</v>
      </c>
      <c r="C475" s="19" t="s">
        <v>1589</v>
      </c>
      <c r="D475" s="19" t="s">
        <v>1884</v>
      </c>
      <c r="E475" s="19" t="s">
        <v>1895</v>
      </c>
      <c r="F475" s="19" t="s">
        <v>1868</v>
      </c>
      <c r="G475" s="19" t="s">
        <v>1899</v>
      </c>
      <c r="H475" s="19">
        <v>9</v>
      </c>
      <c r="I475" s="19">
        <v>877.89</v>
      </c>
      <c r="J475" s="19">
        <v>7901.01</v>
      </c>
    </row>
    <row r="476" ht="15.25" spans="1:10">
      <c r="A476" s="18" t="s">
        <v>2068</v>
      </c>
      <c r="B476" s="19" t="s">
        <v>1855</v>
      </c>
      <c r="C476" s="19" t="s">
        <v>1941</v>
      </c>
      <c r="D476" s="19" t="s">
        <v>1879</v>
      </c>
      <c r="E476" s="19" t="s">
        <v>1851</v>
      </c>
      <c r="F476" s="19" t="s">
        <v>1865</v>
      </c>
      <c r="G476" s="19" t="s">
        <v>1886</v>
      </c>
      <c r="H476" s="19">
        <v>1</v>
      </c>
      <c r="I476" s="19">
        <v>2970.66</v>
      </c>
      <c r="J476" s="19">
        <v>2970.66</v>
      </c>
    </row>
    <row r="477" ht="26.75" spans="1:10">
      <c r="A477" s="18" t="s">
        <v>2061</v>
      </c>
      <c r="B477" s="19" t="s">
        <v>1878</v>
      </c>
      <c r="C477" s="19" t="s">
        <v>1849</v>
      </c>
      <c r="D477" s="19" t="s">
        <v>1850</v>
      </c>
      <c r="E477" s="19" t="s">
        <v>1851</v>
      </c>
      <c r="F477" s="19" t="s">
        <v>1852</v>
      </c>
      <c r="G477" s="19" t="s">
        <v>1934</v>
      </c>
      <c r="H477" s="19">
        <v>15</v>
      </c>
      <c r="I477" s="19">
        <v>3579.98</v>
      </c>
      <c r="J477" s="19">
        <v>53699.7</v>
      </c>
    </row>
    <row r="478" ht="15.25" spans="1:10">
      <c r="A478" s="18">
        <v>45056</v>
      </c>
      <c r="B478" s="19" t="s">
        <v>1902</v>
      </c>
      <c r="C478" s="19" t="s">
        <v>1941</v>
      </c>
      <c r="D478" s="19" t="s">
        <v>1879</v>
      </c>
      <c r="E478" s="19" t="s">
        <v>1851</v>
      </c>
      <c r="F478" s="19" t="s">
        <v>1876</v>
      </c>
      <c r="G478" s="19" t="s">
        <v>1883</v>
      </c>
      <c r="H478" s="19">
        <v>9</v>
      </c>
      <c r="I478" s="19">
        <v>1605.02</v>
      </c>
      <c r="J478" s="19">
        <v>14445.18</v>
      </c>
    </row>
    <row r="479" ht="15.25" spans="1:10">
      <c r="A479" s="18" t="s">
        <v>1984</v>
      </c>
      <c r="B479" s="19" t="s">
        <v>1848</v>
      </c>
      <c r="C479" s="19" t="s">
        <v>1626</v>
      </c>
      <c r="D479" s="19" t="s">
        <v>1857</v>
      </c>
      <c r="E479" s="19" t="s">
        <v>1858</v>
      </c>
      <c r="F479" s="19" t="s">
        <v>1876</v>
      </c>
      <c r="G479" s="19" t="s">
        <v>1877</v>
      </c>
      <c r="H479" s="19">
        <v>12</v>
      </c>
      <c r="I479" s="19">
        <v>1982.64</v>
      </c>
      <c r="J479" s="19">
        <v>23791.68</v>
      </c>
    </row>
    <row r="480" ht="15.25" spans="1:10">
      <c r="A480" s="18" t="s">
        <v>2069</v>
      </c>
      <c r="B480" s="19" t="s">
        <v>1892</v>
      </c>
      <c r="C480" s="19" t="s">
        <v>1941</v>
      </c>
      <c r="D480" s="19" t="s">
        <v>1879</v>
      </c>
      <c r="E480" s="19" t="s">
        <v>1851</v>
      </c>
      <c r="F480" s="19" t="s">
        <v>1859</v>
      </c>
      <c r="G480" s="19" t="s">
        <v>1947</v>
      </c>
      <c r="H480" s="19">
        <v>20</v>
      </c>
      <c r="I480" s="19">
        <v>3195.53</v>
      </c>
      <c r="J480" s="19">
        <v>63910.6</v>
      </c>
    </row>
    <row r="481" ht="15.25" spans="1:10">
      <c r="A481" s="18">
        <v>45176</v>
      </c>
      <c r="B481" s="19" t="s">
        <v>1902</v>
      </c>
      <c r="C481" s="19" t="s">
        <v>1610</v>
      </c>
      <c r="D481" s="19" t="s">
        <v>1879</v>
      </c>
      <c r="E481" s="19" t="s">
        <v>1851</v>
      </c>
      <c r="F481" s="19" t="s">
        <v>1868</v>
      </c>
      <c r="G481" s="19" t="s">
        <v>1907</v>
      </c>
      <c r="H481" s="19">
        <v>20</v>
      </c>
      <c r="I481" s="19">
        <v>1580.59</v>
      </c>
      <c r="J481" s="19">
        <v>31611.8</v>
      </c>
    </row>
    <row r="482" ht="15.25" spans="1:10">
      <c r="A482" s="18" t="s">
        <v>1994</v>
      </c>
      <c r="B482" s="19" t="s">
        <v>1867</v>
      </c>
      <c r="C482" s="19" t="s">
        <v>1906</v>
      </c>
      <c r="D482" s="19" t="s">
        <v>1862</v>
      </c>
      <c r="E482" s="19" t="s">
        <v>1858</v>
      </c>
      <c r="F482" s="19" t="s">
        <v>1876</v>
      </c>
      <c r="G482" s="19" t="s">
        <v>1926</v>
      </c>
      <c r="H482" s="19">
        <v>6</v>
      </c>
      <c r="I482" s="19">
        <v>809.57</v>
      </c>
      <c r="J482" s="19">
        <v>4857.42</v>
      </c>
    </row>
    <row r="483" ht="26.75" spans="1:10">
      <c r="A483" s="18" t="s">
        <v>2070</v>
      </c>
      <c r="B483" s="19" t="s">
        <v>1878</v>
      </c>
      <c r="C483" s="19" t="s">
        <v>1598</v>
      </c>
      <c r="D483" s="19" t="s">
        <v>1850</v>
      </c>
      <c r="E483" s="19" t="s">
        <v>1851</v>
      </c>
      <c r="F483" s="19" t="s">
        <v>1859</v>
      </c>
      <c r="G483" s="19" t="s">
        <v>1872</v>
      </c>
      <c r="H483" s="19">
        <v>6</v>
      </c>
      <c r="I483" s="19">
        <v>1221.52</v>
      </c>
      <c r="J483" s="19">
        <v>7329.12</v>
      </c>
    </row>
    <row r="484" ht="15.25" spans="1:10">
      <c r="A484" s="18">
        <v>45054</v>
      </c>
      <c r="B484" s="19" t="s">
        <v>1861</v>
      </c>
      <c r="C484" s="19" t="s">
        <v>1875</v>
      </c>
      <c r="D484" s="19" t="s">
        <v>1862</v>
      </c>
      <c r="E484" s="19" t="s">
        <v>1858</v>
      </c>
      <c r="F484" s="19" t="s">
        <v>1852</v>
      </c>
      <c r="G484" s="19" t="s">
        <v>1853</v>
      </c>
      <c r="H484" s="19">
        <v>4</v>
      </c>
      <c r="I484" s="19">
        <v>2457.5</v>
      </c>
      <c r="J484" s="19">
        <v>9830</v>
      </c>
    </row>
    <row r="485" ht="15.25" spans="1:10">
      <c r="A485" s="18">
        <v>45115</v>
      </c>
      <c r="B485" s="19" t="s">
        <v>1861</v>
      </c>
      <c r="C485" s="19" t="s">
        <v>1906</v>
      </c>
      <c r="D485" s="19" t="s">
        <v>1862</v>
      </c>
      <c r="E485" s="19" t="s">
        <v>1858</v>
      </c>
      <c r="F485" s="19" t="s">
        <v>1859</v>
      </c>
      <c r="G485" s="19" t="s">
        <v>1947</v>
      </c>
      <c r="H485" s="19">
        <v>12</v>
      </c>
      <c r="I485" s="19">
        <v>2820.88</v>
      </c>
      <c r="J485" s="19">
        <v>33850.56</v>
      </c>
    </row>
    <row r="486" ht="26.75" spans="1:10">
      <c r="A486" s="18">
        <v>45143</v>
      </c>
      <c r="B486" s="19" t="s">
        <v>1892</v>
      </c>
      <c r="C486" s="19" t="s">
        <v>1593</v>
      </c>
      <c r="D486" s="19" t="s">
        <v>1850</v>
      </c>
      <c r="E486" s="19" t="s">
        <v>1851</v>
      </c>
      <c r="F486" s="19" t="s">
        <v>1859</v>
      </c>
      <c r="G486" s="19" t="s">
        <v>1860</v>
      </c>
      <c r="H486" s="19">
        <v>10</v>
      </c>
      <c r="I486" s="19">
        <v>1512.64</v>
      </c>
      <c r="J486" s="19">
        <v>15126.4</v>
      </c>
    </row>
    <row r="487" ht="15.25" spans="1:10">
      <c r="A487" s="18" t="s">
        <v>2069</v>
      </c>
      <c r="B487" s="19" t="s">
        <v>1874</v>
      </c>
      <c r="C487" s="19" t="s">
        <v>1894</v>
      </c>
      <c r="D487" s="19" t="s">
        <v>1884</v>
      </c>
      <c r="E487" s="19" t="s">
        <v>1895</v>
      </c>
      <c r="F487" s="19" t="s">
        <v>1868</v>
      </c>
      <c r="G487" s="19" t="s">
        <v>1869</v>
      </c>
      <c r="H487" s="19">
        <v>5</v>
      </c>
      <c r="I487" s="19">
        <v>3199.14</v>
      </c>
      <c r="J487" s="19">
        <v>15995.7</v>
      </c>
    </row>
    <row r="488" ht="15.25" spans="1:10">
      <c r="A488" s="18" t="s">
        <v>2071</v>
      </c>
      <c r="B488" s="19" t="s">
        <v>1848</v>
      </c>
      <c r="C488" s="19" t="s">
        <v>1610</v>
      </c>
      <c r="D488" s="19" t="s">
        <v>1879</v>
      </c>
      <c r="E488" s="19" t="s">
        <v>1851</v>
      </c>
      <c r="F488" s="19" t="s">
        <v>1876</v>
      </c>
      <c r="G488" s="19" t="s">
        <v>1930</v>
      </c>
      <c r="H488" s="19">
        <v>11</v>
      </c>
      <c r="I488" s="19">
        <v>4315</v>
      </c>
      <c r="J488" s="19">
        <v>47465</v>
      </c>
    </row>
    <row r="489" ht="26.75" spans="1:10">
      <c r="A489" s="18">
        <v>45057</v>
      </c>
      <c r="B489" s="19" t="s">
        <v>1855</v>
      </c>
      <c r="C489" s="19" t="s">
        <v>1849</v>
      </c>
      <c r="D489" s="19" t="s">
        <v>1850</v>
      </c>
      <c r="E489" s="19" t="s">
        <v>1851</v>
      </c>
      <c r="F489" s="19" t="s">
        <v>1868</v>
      </c>
      <c r="G489" s="19" t="s">
        <v>1907</v>
      </c>
      <c r="H489" s="19">
        <v>9</v>
      </c>
      <c r="I489" s="19">
        <v>2118.17</v>
      </c>
      <c r="J489" s="19">
        <v>19063.53</v>
      </c>
    </row>
    <row r="490" ht="15.25" spans="1:10">
      <c r="A490" s="18">
        <v>45017</v>
      </c>
      <c r="B490" s="19" t="s">
        <v>1902</v>
      </c>
      <c r="C490" s="19" t="s">
        <v>1894</v>
      </c>
      <c r="D490" s="19" t="s">
        <v>1884</v>
      </c>
      <c r="E490" s="19" t="s">
        <v>1895</v>
      </c>
      <c r="F490" s="19" t="s">
        <v>1859</v>
      </c>
      <c r="G490" s="19" t="s">
        <v>1872</v>
      </c>
      <c r="H490" s="19">
        <v>18</v>
      </c>
      <c r="I490" s="19">
        <v>1042.99</v>
      </c>
      <c r="J490" s="19">
        <v>18773.82</v>
      </c>
    </row>
    <row r="491" ht="15.25" spans="1:10">
      <c r="A491" s="18" t="s">
        <v>1881</v>
      </c>
      <c r="B491" s="19" t="s">
        <v>1855</v>
      </c>
      <c r="C491" s="19" t="s">
        <v>1903</v>
      </c>
      <c r="D491" s="19" t="s">
        <v>1884</v>
      </c>
      <c r="E491" s="19" t="s">
        <v>1895</v>
      </c>
      <c r="F491" s="19" t="s">
        <v>1876</v>
      </c>
      <c r="G491" s="19" t="s">
        <v>1930</v>
      </c>
      <c r="H491" s="19">
        <v>6</v>
      </c>
      <c r="I491" s="19">
        <v>4707.38</v>
      </c>
      <c r="J491" s="19">
        <v>28244.28</v>
      </c>
    </row>
    <row r="492" ht="26.75" spans="1:10">
      <c r="A492" s="18" t="s">
        <v>2072</v>
      </c>
      <c r="B492" s="19" t="s">
        <v>1871</v>
      </c>
      <c r="C492" s="19" t="s">
        <v>1849</v>
      </c>
      <c r="D492" s="19" t="s">
        <v>1850</v>
      </c>
      <c r="E492" s="19" t="s">
        <v>1851</v>
      </c>
      <c r="F492" s="19" t="s">
        <v>1868</v>
      </c>
      <c r="G492" s="19" t="s">
        <v>1907</v>
      </c>
      <c r="H492" s="19">
        <v>8</v>
      </c>
      <c r="I492" s="19">
        <v>360.87</v>
      </c>
      <c r="J492" s="19">
        <v>2886.96</v>
      </c>
    </row>
    <row r="493" ht="15.25" spans="1:10">
      <c r="A493" s="18">
        <v>45140</v>
      </c>
      <c r="B493" s="19" t="s">
        <v>1867</v>
      </c>
      <c r="C493" s="19" t="s">
        <v>1626</v>
      </c>
      <c r="D493" s="19" t="s">
        <v>1857</v>
      </c>
      <c r="E493" s="19" t="s">
        <v>1858</v>
      </c>
      <c r="F493" s="19" t="s">
        <v>1859</v>
      </c>
      <c r="G493" s="19" t="s">
        <v>1922</v>
      </c>
      <c r="H493" s="19">
        <v>12</v>
      </c>
      <c r="I493" s="19">
        <v>2519.65</v>
      </c>
      <c r="J493" s="19">
        <v>30235.8</v>
      </c>
    </row>
    <row r="494" ht="15.25" spans="1:10">
      <c r="A494" s="18">
        <v>45176</v>
      </c>
      <c r="B494" s="19" t="s">
        <v>1861</v>
      </c>
      <c r="C494" s="19" t="s">
        <v>1894</v>
      </c>
      <c r="D494" s="19" t="s">
        <v>1884</v>
      </c>
      <c r="E494" s="19" t="s">
        <v>1895</v>
      </c>
      <c r="F494" s="19" t="s">
        <v>1859</v>
      </c>
      <c r="G494" s="19" t="s">
        <v>1872</v>
      </c>
      <c r="H494" s="19">
        <v>7</v>
      </c>
      <c r="I494" s="19">
        <v>2861.67</v>
      </c>
      <c r="J494" s="19">
        <v>20031.69</v>
      </c>
    </row>
    <row r="495" ht="15.25" spans="1:10">
      <c r="A495" s="18" t="s">
        <v>1999</v>
      </c>
      <c r="B495" s="19" t="s">
        <v>1861</v>
      </c>
      <c r="C495" s="19" t="s">
        <v>1589</v>
      </c>
      <c r="D495" s="19" t="s">
        <v>1884</v>
      </c>
      <c r="E495" s="19" t="s">
        <v>1895</v>
      </c>
      <c r="F495" s="19" t="s">
        <v>1868</v>
      </c>
      <c r="G495" s="19" t="s">
        <v>1899</v>
      </c>
      <c r="H495" s="19">
        <v>11</v>
      </c>
      <c r="I495" s="19">
        <v>4896.83</v>
      </c>
      <c r="J495" s="19">
        <v>53865.13</v>
      </c>
    </row>
    <row r="496" ht="15.25" spans="1:10">
      <c r="A496" s="18" t="s">
        <v>2066</v>
      </c>
      <c r="B496" s="19" t="s">
        <v>1855</v>
      </c>
      <c r="C496" s="19" t="s">
        <v>1610</v>
      </c>
      <c r="D496" s="19" t="s">
        <v>1879</v>
      </c>
      <c r="E496" s="19" t="s">
        <v>1851</v>
      </c>
      <c r="F496" s="19" t="s">
        <v>1876</v>
      </c>
      <c r="G496" s="19" t="s">
        <v>1883</v>
      </c>
      <c r="H496" s="19">
        <v>15</v>
      </c>
      <c r="I496" s="19">
        <v>4180.61</v>
      </c>
      <c r="J496" s="19">
        <v>62709.15</v>
      </c>
    </row>
    <row r="497" ht="15.25" spans="1:10">
      <c r="A497" s="18">
        <v>45242</v>
      </c>
      <c r="B497" s="19" t="s">
        <v>1874</v>
      </c>
      <c r="C497" s="19" t="s">
        <v>1903</v>
      </c>
      <c r="D497" s="19" t="s">
        <v>1884</v>
      </c>
      <c r="E497" s="19" t="s">
        <v>1895</v>
      </c>
      <c r="F497" s="19" t="s">
        <v>1868</v>
      </c>
      <c r="G497" s="19" t="s">
        <v>1869</v>
      </c>
      <c r="H497" s="19">
        <v>2</v>
      </c>
      <c r="I497" s="19">
        <v>3747.71</v>
      </c>
      <c r="J497" s="19">
        <v>7495.42</v>
      </c>
    </row>
    <row r="498" ht="15.25" spans="1:10">
      <c r="A498" s="18" t="s">
        <v>2073</v>
      </c>
      <c r="B498" s="19" t="s">
        <v>1892</v>
      </c>
      <c r="C498" s="19" t="s">
        <v>1903</v>
      </c>
      <c r="D498" s="19" t="s">
        <v>1884</v>
      </c>
      <c r="E498" s="19" t="s">
        <v>1895</v>
      </c>
      <c r="F498" s="19" t="s">
        <v>1859</v>
      </c>
      <c r="G498" s="19" t="s">
        <v>1922</v>
      </c>
      <c r="H498" s="19">
        <v>3</v>
      </c>
      <c r="I498" s="19">
        <v>2792.38</v>
      </c>
      <c r="J498" s="19">
        <v>8377.14</v>
      </c>
    </row>
    <row r="499" ht="26.75" spans="1:10">
      <c r="A499" s="18">
        <v>45028</v>
      </c>
      <c r="B499" s="19" t="s">
        <v>1871</v>
      </c>
      <c r="C499" s="19" t="s">
        <v>1593</v>
      </c>
      <c r="D499" s="19" t="s">
        <v>1850</v>
      </c>
      <c r="E499" s="19" t="s">
        <v>1851</v>
      </c>
      <c r="F499" s="19" t="s">
        <v>1876</v>
      </c>
      <c r="G499" s="19" t="s">
        <v>1883</v>
      </c>
      <c r="H499" s="19">
        <v>17</v>
      </c>
      <c r="I499" s="19">
        <v>683.31</v>
      </c>
      <c r="J499" s="19">
        <v>11616.27</v>
      </c>
    </row>
    <row r="500" ht="15.25" spans="1:10">
      <c r="A500" s="18">
        <v>44986</v>
      </c>
      <c r="B500" s="19" t="s">
        <v>1874</v>
      </c>
      <c r="C500" s="19" t="s">
        <v>1589</v>
      </c>
      <c r="D500" s="19" t="s">
        <v>1884</v>
      </c>
      <c r="E500" s="19" t="s">
        <v>1895</v>
      </c>
      <c r="F500" s="19" t="s">
        <v>1865</v>
      </c>
      <c r="G500" s="19" t="s">
        <v>1890</v>
      </c>
      <c r="H500" s="19">
        <v>20</v>
      </c>
      <c r="I500" s="19">
        <v>3463.6</v>
      </c>
      <c r="J500" s="19">
        <v>69272</v>
      </c>
    </row>
    <row r="501" ht="15.25" spans="1:10">
      <c r="A501" s="18" t="s">
        <v>2074</v>
      </c>
      <c r="B501" s="19" t="s">
        <v>1867</v>
      </c>
      <c r="C501" s="19" t="s">
        <v>1875</v>
      </c>
      <c r="D501" s="19" t="s">
        <v>1862</v>
      </c>
      <c r="E501" s="19" t="s">
        <v>1858</v>
      </c>
      <c r="F501" s="19" t="s">
        <v>1859</v>
      </c>
      <c r="G501" s="19" t="s">
        <v>1947</v>
      </c>
      <c r="H501" s="19">
        <v>9</v>
      </c>
      <c r="I501" s="19">
        <v>1609.98</v>
      </c>
      <c r="J501" s="19">
        <v>14489.82</v>
      </c>
    </row>
    <row r="502" ht="26.75" spans="1:10">
      <c r="A502" s="18">
        <v>45084</v>
      </c>
      <c r="B502" s="19" t="s">
        <v>1855</v>
      </c>
      <c r="C502" s="19" t="s">
        <v>1593</v>
      </c>
      <c r="D502" s="19" t="s">
        <v>1850</v>
      </c>
      <c r="E502" s="19" t="s">
        <v>1851</v>
      </c>
      <c r="F502" s="19" t="s">
        <v>1859</v>
      </c>
      <c r="G502" s="19" t="s">
        <v>1922</v>
      </c>
      <c r="H502" s="19">
        <v>4</v>
      </c>
      <c r="I502" s="19">
        <v>2836.34</v>
      </c>
      <c r="J502" s="19">
        <v>11345.36</v>
      </c>
    </row>
    <row r="503" ht="15.25" spans="1:10">
      <c r="A503" s="18" t="s">
        <v>1974</v>
      </c>
      <c r="B503" s="19" t="s">
        <v>1889</v>
      </c>
      <c r="C503" s="19" t="s">
        <v>1610</v>
      </c>
      <c r="D503" s="19" t="s">
        <v>1879</v>
      </c>
      <c r="E503" s="19" t="s">
        <v>1851</v>
      </c>
      <c r="F503" s="19" t="s">
        <v>1876</v>
      </c>
      <c r="G503" s="19" t="s">
        <v>1926</v>
      </c>
      <c r="H503" s="19">
        <v>18</v>
      </c>
      <c r="I503" s="19">
        <v>3238.98</v>
      </c>
      <c r="J503" s="19">
        <v>58301.64</v>
      </c>
    </row>
    <row r="504" ht="15.25" spans="1:10">
      <c r="A504" s="18" t="s">
        <v>2022</v>
      </c>
      <c r="B504" s="19" t="s">
        <v>1867</v>
      </c>
      <c r="C504" s="19" t="s">
        <v>1875</v>
      </c>
      <c r="D504" s="19" t="s">
        <v>1862</v>
      </c>
      <c r="E504" s="19" t="s">
        <v>1858</v>
      </c>
      <c r="F504" s="19" t="s">
        <v>1852</v>
      </c>
      <c r="G504" s="19" t="s">
        <v>1934</v>
      </c>
      <c r="H504" s="19">
        <v>20</v>
      </c>
      <c r="I504" s="19">
        <v>2791.25</v>
      </c>
      <c r="J504" s="19">
        <v>55825</v>
      </c>
    </row>
    <row r="505" ht="15.25" spans="1:10">
      <c r="A505" s="18" t="s">
        <v>2063</v>
      </c>
      <c r="B505" s="19" t="s">
        <v>1855</v>
      </c>
      <c r="C505" s="19" t="s">
        <v>1898</v>
      </c>
      <c r="D505" s="19" t="s">
        <v>1879</v>
      </c>
      <c r="E505" s="19" t="s">
        <v>1851</v>
      </c>
      <c r="F505" s="19" t="s">
        <v>1865</v>
      </c>
      <c r="G505" s="19" t="s">
        <v>1866</v>
      </c>
      <c r="H505" s="19">
        <v>1</v>
      </c>
      <c r="I505" s="19">
        <v>3165.04</v>
      </c>
      <c r="J505" s="19">
        <v>3165.04</v>
      </c>
    </row>
    <row r="506" ht="26.75" spans="1:10">
      <c r="A506" s="18">
        <v>45117</v>
      </c>
      <c r="B506" s="19" t="s">
        <v>1855</v>
      </c>
      <c r="C506" s="19" t="s">
        <v>1849</v>
      </c>
      <c r="D506" s="19" t="s">
        <v>1850</v>
      </c>
      <c r="E506" s="19" t="s">
        <v>1851</v>
      </c>
      <c r="F506" s="19" t="s">
        <v>1859</v>
      </c>
      <c r="G506" s="19" t="s">
        <v>1860</v>
      </c>
      <c r="H506" s="19">
        <v>14</v>
      </c>
      <c r="I506" s="19">
        <v>3414.59</v>
      </c>
      <c r="J506" s="19">
        <v>47804.26</v>
      </c>
    </row>
    <row r="507" ht="26.75" spans="1:10">
      <c r="A507" s="18">
        <v>45240</v>
      </c>
      <c r="B507" s="19" t="s">
        <v>1878</v>
      </c>
      <c r="C507" s="19" t="s">
        <v>1598</v>
      </c>
      <c r="D507" s="19" t="s">
        <v>1850</v>
      </c>
      <c r="E507" s="19" t="s">
        <v>1851</v>
      </c>
      <c r="F507" s="19" t="s">
        <v>1876</v>
      </c>
      <c r="G507" s="19" t="s">
        <v>1926</v>
      </c>
      <c r="H507" s="19">
        <v>4</v>
      </c>
      <c r="I507" s="19">
        <v>3896.69</v>
      </c>
      <c r="J507" s="19">
        <v>15586.76</v>
      </c>
    </row>
    <row r="508" ht="15.25" spans="1:10">
      <c r="A508" s="18" t="s">
        <v>2075</v>
      </c>
      <c r="B508" s="19" t="s">
        <v>1867</v>
      </c>
      <c r="C508" s="19" t="s">
        <v>1864</v>
      </c>
      <c r="D508" s="19" t="s">
        <v>1857</v>
      </c>
      <c r="E508" s="19" t="s">
        <v>1858</v>
      </c>
      <c r="F508" s="19" t="s">
        <v>1865</v>
      </c>
      <c r="G508" s="19" t="s">
        <v>1920</v>
      </c>
      <c r="H508" s="19">
        <v>5</v>
      </c>
      <c r="I508" s="19">
        <v>2024.36</v>
      </c>
      <c r="J508" s="19">
        <v>10121.8</v>
      </c>
    </row>
    <row r="509" ht="15.25" spans="1:10">
      <c r="A509" s="18">
        <v>45207</v>
      </c>
      <c r="B509" s="19" t="s">
        <v>1871</v>
      </c>
      <c r="C509" s="19" t="s">
        <v>1894</v>
      </c>
      <c r="D509" s="19" t="s">
        <v>1884</v>
      </c>
      <c r="E509" s="19" t="s">
        <v>1895</v>
      </c>
      <c r="F509" s="19" t="s">
        <v>1865</v>
      </c>
      <c r="G509" s="19" t="s">
        <v>1866</v>
      </c>
      <c r="H509" s="19">
        <v>17</v>
      </c>
      <c r="I509" s="19">
        <v>102.62</v>
      </c>
      <c r="J509" s="19">
        <v>1744.54</v>
      </c>
    </row>
    <row r="510" ht="15.25" spans="1:10">
      <c r="A510" s="18" t="s">
        <v>2076</v>
      </c>
      <c r="B510" s="19" t="s">
        <v>1867</v>
      </c>
      <c r="C510" s="19" t="s">
        <v>1898</v>
      </c>
      <c r="D510" s="19" t="s">
        <v>1879</v>
      </c>
      <c r="E510" s="19" t="s">
        <v>1851</v>
      </c>
      <c r="F510" s="19" t="s">
        <v>1859</v>
      </c>
      <c r="G510" s="19" t="s">
        <v>1860</v>
      </c>
      <c r="H510" s="19">
        <v>7</v>
      </c>
      <c r="I510" s="19">
        <v>146.52</v>
      </c>
      <c r="J510" s="19">
        <v>1025.64</v>
      </c>
    </row>
    <row r="511" ht="15.25" spans="1:10">
      <c r="A511" s="18" t="s">
        <v>2077</v>
      </c>
      <c r="B511" s="19" t="s">
        <v>1871</v>
      </c>
      <c r="C511" s="19" t="s">
        <v>1894</v>
      </c>
      <c r="D511" s="19" t="s">
        <v>1884</v>
      </c>
      <c r="E511" s="19" t="s">
        <v>1895</v>
      </c>
      <c r="F511" s="19" t="s">
        <v>1852</v>
      </c>
      <c r="G511" s="19" t="s">
        <v>1934</v>
      </c>
      <c r="H511" s="19">
        <v>2</v>
      </c>
      <c r="I511" s="19">
        <v>4248</v>
      </c>
      <c r="J511" s="19">
        <v>8496</v>
      </c>
    </row>
    <row r="512" ht="26.75" spans="1:10">
      <c r="A512" s="18">
        <v>44929</v>
      </c>
      <c r="B512" s="19" t="s">
        <v>1902</v>
      </c>
      <c r="C512" s="19" t="s">
        <v>1849</v>
      </c>
      <c r="D512" s="19" t="s">
        <v>1850</v>
      </c>
      <c r="E512" s="19" t="s">
        <v>1851</v>
      </c>
      <c r="F512" s="19" t="s">
        <v>1865</v>
      </c>
      <c r="G512" s="19" t="s">
        <v>1866</v>
      </c>
      <c r="H512" s="19">
        <v>8</v>
      </c>
      <c r="I512" s="19">
        <v>3075.58</v>
      </c>
      <c r="J512" s="19">
        <v>24604.64</v>
      </c>
    </row>
    <row r="513" ht="15.25" spans="1:10">
      <c r="A513" s="18" t="s">
        <v>2076</v>
      </c>
      <c r="B513" s="19" t="s">
        <v>1874</v>
      </c>
      <c r="C513" s="19" t="s">
        <v>1589</v>
      </c>
      <c r="D513" s="19" t="s">
        <v>1884</v>
      </c>
      <c r="E513" s="19" t="s">
        <v>1895</v>
      </c>
      <c r="F513" s="19" t="s">
        <v>1868</v>
      </c>
      <c r="G513" s="19" t="s">
        <v>1869</v>
      </c>
      <c r="H513" s="19">
        <v>13</v>
      </c>
      <c r="I513" s="19">
        <v>1246.14</v>
      </c>
      <c r="J513" s="19">
        <v>16199.82</v>
      </c>
    </row>
    <row r="514" ht="15.25" spans="1:10">
      <c r="A514" s="18">
        <v>44966</v>
      </c>
      <c r="B514" s="19" t="s">
        <v>1892</v>
      </c>
      <c r="C514" s="19" t="s">
        <v>1856</v>
      </c>
      <c r="D514" s="19" t="s">
        <v>1857</v>
      </c>
      <c r="E514" s="19" t="s">
        <v>1858</v>
      </c>
      <c r="F514" s="19" t="s">
        <v>1876</v>
      </c>
      <c r="G514" s="19" t="s">
        <v>1877</v>
      </c>
      <c r="H514" s="19">
        <v>16</v>
      </c>
      <c r="I514" s="19">
        <v>3942.95</v>
      </c>
      <c r="J514" s="19">
        <v>63087.2</v>
      </c>
    </row>
    <row r="515" ht="15.25" spans="1:10">
      <c r="A515" s="18">
        <v>45233</v>
      </c>
      <c r="B515" s="19" t="s">
        <v>1902</v>
      </c>
      <c r="C515" s="19" t="s">
        <v>1589</v>
      </c>
      <c r="D515" s="19" t="s">
        <v>1884</v>
      </c>
      <c r="E515" s="19" t="s">
        <v>1895</v>
      </c>
      <c r="F515" s="19" t="s">
        <v>1859</v>
      </c>
      <c r="G515" s="19" t="s">
        <v>1947</v>
      </c>
      <c r="H515" s="19">
        <v>1</v>
      </c>
      <c r="I515" s="19">
        <v>936.56</v>
      </c>
      <c r="J515" s="19">
        <v>936.56</v>
      </c>
    </row>
    <row r="516" ht="15.25" spans="1:10">
      <c r="A516" s="18" t="s">
        <v>1997</v>
      </c>
      <c r="B516" s="19" t="s">
        <v>1878</v>
      </c>
      <c r="C516" s="19" t="s">
        <v>1894</v>
      </c>
      <c r="D516" s="19" t="s">
        <v>1884</v>
      </c>
      <c r="E516" s="19" t="s">
        <v>1895</v>
      </c>
      <c r="F516" s="19" t="s">
        <v>1865</v>
      </c>
      <c r="G516" s="19" t="s">
        <v>1866</v>
      </c>
      <c r="H516" s="19">
        <v>7</v>
      </c>
      <c r="I516" s="19">
        <v>1628.68</v>
      </c>
      <c r="J516" s="19">
        <v>11400.76</v>
      </c>
    </row>
    <row r="517" ht="15.25" spans="1:10">
      <c r="A517" s="18" t="s">
        <v>2078</v>
      </c>
      <c r="B517" s="19" t="s">
        <v>1889</v>
      </c>
      <c r="C517" s="19" t="s">
        <v>1898</v>
      </c>
      <c r="D517" s="19" t="s">
        <v>1879</v>
      </c>
      <c r="E517" s="19" t="s">
        <v>1851</v>
      </c>
      <c r="F517" s="19" t="s">
        <v>1859</v>
      </c>
      <c r="G517" s="19" t="s">
        <v>1872</v>
      </c>
      <c r="H517" s="19">
        <v>10</v>
      </c>
      <c r="I517" s="19">
        <v>3400.28</v>
      </c>
      <c r="J517" s="19">
        <v>34002.8</v>
      </c>
    </row>
    <row r="518" ht="15.25" spans="1:10">
      <c r="A518" s="18">
        <v>45081</v>
      </c>
      <c r="B518" s="19" t="s">
        <v>1871</v>
      </c>
      <c r="C518" s="19" t="s">
        <v>1906</v>
      </c>
      <c r="D518" s="19" t="s">
        <v>1862</v>
      </c>
      <c r="E518" s="19" t="s">
        <v>1858</v>
      </c>
      <c r="F518" s="19" t="s">
        <v>1859</v>
      </c>
      <c r="G518" s="19" t="s">
        <v>1922</v>
      </c>
      <c r="H518" s="19">
        <v>18</v>
      </c>
      <c r="I518" s="19">
        <v>2722.99</v>
      </c>
      <c r="J518" s="19">
        <v>49013.82</v>
      </c>
    </row>
    <row r="519" ht="15.25" spans="1:10">
      <c r="A519" s="18">
        <v>45082</v>
      </c>
      <c r="B519" s="19" t="s">
        <v>1861</v>
      </c>
      <c r="C519" s="19" t="s">
        <v>1602</v>
      </c>
      <c r="D519" s="19" t="s">
        <v>1862</v>
      </c>
      <c r="E519" s="19" t="s">
        <v>1858</v>
      </c>
      <c r="F519" s="19" t="s">
        <v>1868</v>
      </c>
      <c r="G519" s="19" t="s">
        <v>1907</v>
      </c>
      <c r="H519" s="19">
        <v>8</v>
      </c>
      <c r="I519" s="19">
        <v>4612.53</v>
      </c>
      <c r="J519" s="19">
        <v>36900.24</v>
      </c>
    </row>
    <row r="520" ht="26.75" spans="1:10">
      <c r="A520" s="18" t="s">
        <v>2079</v>
      </c>
      <c r="B520" s="19" t="s">
        <v>1871</v>
      </c>
      <c r="C520" s="19" t="s">
        <v>1849</v>
      </c>
      <c r="D520" s="19" t="s">
        <v>1850</v>
      </c>
      <c r="E520" s="19" t="s">
        <v>1851</v>
      </c>
      <c r="F520" s="19" t="s">
        <v>1868</v>
      </c>
      <c r="G520" s="19" t="s">
        <v>1869</v>
      </c>
      <c r="H520" s="19">
        <v>13</v>
      </c>
      <c r="I520" s="19">
        <v>2040.1</v>
      </c>
      <c r="J520" s="19">
        <v>26521.3</v>
      </c>
    </row>
    <row r="521" ht="15.25" spans="1:10">
      <c r="A521" s="18" t="s">
        <v>1885</v>
      </c>
      <c r="B521" s="19" t="s">
        <v>1874</v>
      </c>
      <c r="C521" s="19" t="s">
        <v>1906</v>
      </c>
      <c r="D521" s="19" t="s">
        <v>1862</v>
      </c>
      <c r="E521" s="19" t="s">
        <v>1858</v>
      </c>
      <c r="F521" s="19" t="s">
        <v>1876</v>
      </c>
      <c r="G521" s="19" t="s">
        <v>1930</v>
      </c>
      <c r="H521" s="19">
        <v>17</v>
      </c>
      <c r="I521" s="19">
        <v>1122.98</v>
      </c>
      <c r="J521" s="19">
        <v>19090.66</v>
      </c>
    </row>
    <row r="522" ht="26.75" spans="1:10">
      <c r="A522" s="18">
        <v>45027</v>
      </c>
      <c r="B522" s="19" t="s">
        <v>1867</v>
      </c>
      <c r="C522" s="19" t="s">
        <v>1849</v>
      </c>
      <c r="D522" s="19" t="s">
        <v>1850</v>
      </c>
      <c r="E522" s="19" t="s">
        <v>1851</v>
      </c>
      <c r="F522" s="19" t="s">
        <v>1868</v>
      </c>
      <c r="G522" s="19" t="s">
        <v>1869</v>
      </c>
      <c r="H522" s="19">
        <v>16</v>
      </c>
      <c r="I522" s="19">
        <v>2458.6</v>
      </c>
      <c r="J522" s="19">
        <v>39337.6</v>
      </c>
    </row>
    <row r="523" ht="26.75" spans="1:10">
      <c r="A523" s="18" t="s">
        <v>2080</v>
      </c>
      <c r="B523" s="19" t="s">
        <v>1902</v>
      </c>
      <c r="C523" s="19" t="s">
        <v>1849</v>
      </c>
      <c r="D523" s="19" t="s">
        <v>1850</v>
      </c>
      <c r="E523" s="19" t="s">
        <v>1851</v>
      </c>
      <c r="F523" s="19" t="s">
        <v>1852</v>
      </c>
      <c r="G523" s="19" t="s">
        <v>1910</v>
      </c>
      <c r="H523" s="19">
        <v>9</v>
      </c>
      <c r="I523" s="19">
        <v>3195.18</v>
      </c>
      <c r="J523" s="19">
        <v>28756.62</v>
      </c>
    </row>
    <row r="524" ht="15.25" spans="1:10">
      <c r="A524" s="18">
        <v>45026</v>
      </c>
      <c r="B524" s="19" t="s">
        <v>1867</v>
      </c>
      <c r="C524" s="19" t="s">
        <v>1856</v>
      </c>
      <c r="D524" s="19" t="s">
        <v>1857</v>
      </c>
      <c r="E524" s="19" t="s">
        <v>1858</v>
      </c>
      <c r="F524" s="19" t="s">
        <v>1852</v>
      </c>
      <c r="G524" s="19" t="s">
        <v>1934</v>
      </c>
      <c r="H524" s="19">
        <v>3</v>
      </c>
      <c r="I524" s="19">
        <v>384.96</v>
      </c>
      <c r="J524" s="19">
        <v>1154.88</v>
      </c>
    </row>
    <row r="525" ht="26.75" spans="1:10">
      <c r="A525" s="18" t="s">
        <v>2081</v>
      </c>
      <c r="B525" s="19" t="s">
        <v>1878</v>
      </c>
      <c r="C525" s="19" t="s">
        <v>1849</v>
      </c>
      <c r="D525" s="19" t="s">
        <v>1850</v>
      </c>
      <c r="E525" s="19" t="s">
        <v>1851</v>
      </c>
      <c r="F525" s="19" t="s">
        <v>1868</v>
      </c>
      <c r="G525" s="19" t="s">
        <v>1899</v>
      </c>
      <c r="H525" s="19">
        <v>4</v>
      </c>
      <c r="I525" s="19">
        <v>3714.59</v>
      </c>
      <c r="J525" s="19">
        <v>14858.36</v>
      </c>
    </row>
    <row r="526" ht="15.25" spans="1:10">
      <c r="A526" s="18" t="s">
        <v>2082</v>
      </c>
      <c r="B526" s="19" t="s">
        <v>1902</v>
      </c>
      <c r="C526" s="19" t="s">
        <v>1602</v>
      </c>
      <c r="D526" s="19" t="s">
        <v>1862</v>
      </c>
      <c r="E526" s="19" t="s">
        <v>1858</v>
      </c>
      <c r="F526" s="19" t="s">
        <v>1868</v>
      </c>
      <c r="G526" s="19" t="s">
        <v>1917</v>
      </c>
      <c r="H526" s="19">
        <v>9</v>
      </c>
      <c r="I526" s="19">
        <v>1765.86</v>
      </c>
      <c r="J526" s="19">
        <v>15892.74</v>
      </c>
    </row>
    <row r="527" ht="15.25" spans="1:10">
      <c r="A527" s="18">
        <v>45114</v>
      </c>
      <c r="B527" s="19" t="s">
        <v>1848</v>
      </c>
      <c r="C527" s="19" t="s">
        <v>1610</v>
      </c>
      <c r="D527" s="19" t="s">
        <v>1879</v>
      </c>
      <c r="E527" s="19" t="s">
        <v>1851</v>
      </c>
      <c r="F527" s="19" t="s">
        <v>1868</v>
      </c>
      <c r="G527" s="19" t="s">
        <v>1899</v>
      </c>
      <c r="H527" s="19">
        <v>8</v>
      </c>
      <c r="I527" s="19">
        <v>3069.86</v>
      </c>
      <c r="J527" s="19">
        <v>24558.88</v>
      </c>
    </row>
    <row r="528" ht="15.25" spans="1:10">
      <c r="A528" s="18" t="s">
        <v>2009</v>
      </c>
      <c r="B528" s="19" t="s">
        <v>1889</v>
      </c>
      <c r="C528" s="19" t="s">
        <v>1903</v>
      </c>
      <c r="D528" s="19" t="s">
        <v>1884</v>
      </c>
      <c r="E528" s="19" t="s">
        <v>1895</v>
      </c>
      <c r="F528" s="19" t="s">
        <v>1852</v>
      </c>
      <c r="G528" s="19" t="s">
        <v>1853</v>
      </c>
      <c r="H528" s="19">
        <v>9</v>
      </c>
      <c r="I528" s="19">
        <v>1720.47</v>
      </c>
      <c r="J528" s="19">
        <v>15484.23</v>
      </c>
    </row>
    <row r="529" ht="15.25" spans="1:10">
      <c r="A529" s="18" t="s">
        <v>2083</v>
      </c>
      <c r="B529" s="19" t="s">
        <v>1871</v>
      </c>
      <c r="C529" s="19" t="s">
        <v>1875</v>
      </c>
      <c r="D529" s="19" t="s">
        <v>1862</v>
      </c>
      <c r="E529" s="19" t="s">
        <v>1858</v>
      </c>
      <c r="F529" s="19" t="s">
        <v>1865</v>
      </c>
      <c r="G529" s="19" t="s">
        <v>1886</v>
      </c>
      <c r="H529" s="19">
        <v>7</v>
      </c>
      <c r="I529" s="19">
        <v>3416.74</v>
      </c>
      <c r="J529" s="19">
        <v>23917.18</v>
      </c>
    </row>
    <row r="530" ht="15.25" spans="1:10">
      <c r="A530" s="18" t="s">
        <v>2040</v>
      </c>
      <c r="B530" s="19" t="s">
        <v>1889</v>
      </c>
      <c r="C530" s="19" t="s">
        <v>1875</v>
      </c>
      <c r="D530" s="19" t="s">
        <v>1862</v>
      </c>
      <c r="E530" s="19" t="s">
        <v>1858</v>
      </c>
      <c r="F530" s="19" t="s">
        <v>1852</v>
      </c>
      <c r="G530" s="19" t="s">
        <v>1853</v>
      </c>
      <c r="H530" s="19">
        <v>7</v>
      </c>
      <c r="I530" s="19">
        <v>4741.12</v>
      </c>
      <c r="J530" s="19">
        <v>33187.84</v>
      </c>
    </row>
    <row r="531" ht="15.25" spans="1:10">
      <c r="A531" s="18">
        <v>45205</v>
      </c>
      <c r="B531" s="19" t="s">
        <v>1892</v>
      </c>
      <c r="C531" s="19" t="s">
        <v>1903</v>
      </c>
      <c r="D531" s="19" t="s">
        <v>1884</v>
      </c>
      <c r="E531" s="19" t="s">
        <v>1895</v>
      </c>
      <c r="F531" s="19" t="s">
        <v>1865</v>
      </c>
      <c r="G531" s="19" t="s">
        <v>1890</v>
      </c>
      <c r="H531" s="19">
        <v>20</v>
      </c>
      <c r="I531" s="19">
        <v>2721.24</v>
      </c>
      <c r="J531" s="19">
        <v>54424.8</v>
      </c>
    </row>
    <row r="532" ht="15.25" spans="1:10">
      <c r="A532" s="18" t="s">
        <v>2084</v>
      </c>
      <c r="B532" s="19" t="s">
        <v>1878</v>
      </c>
      <c r="C532" s="19" t="s">
        <v>1610</v>
      </c>
      <c r="D532" s="19" t="s">
        <v>1879</v>
      </c>
      <c r="E532" s="19" t="s">
        <v>1851</v>
      </c>
      <c r="F532" s="19" t="s">
        <v>1876</v>
      </c>
      <c r="G532" s="19" t="s">
        <v>1883</v>
      </c>
      <c r="H532" s="19">
        <v>4</v>
      </c>
      <c r="I532" s="19">
        <v>3751.49</v>
      </c>
      <c r="J532" s="19">
        <v>15005.96</v>
      </c>
    </row>
    <row r="533" ht="15.25" spans="1:10">
      <c r="A533" s="18" t="s">
        <v>1885</v>
      </c>
      <c r="B533" s="19" t="s">
        <v>1902</v>
      </c>
      <c r="C533" s="19" t="s">
        <v>1906</v>
      </c>
      <c r="D533" s="19" t="s">
        <v>1862</v>
      </c>
      <c r="E533" s="19" t="s">
        <v>1858</v>
      </c>
      <c r="F533" s="19" t="s">
        <v>1865</v>
      </c>
      <c r="G533" s="19" t="s">
        <v>1920</v>
      </c>
      <c r="H533" s="19">
        <v>19</v>
      </c>
      <c r="I533" s="19">
        <v>4513.6</v>
      </c>
      <c r="J533" s="19">
        <v>85758.4</v>
      </c>
    </row>
    <row r="534" ht="15.25" spans="1:10">
      <c r="A534" s="18">
        <v>45231</v>
      </c>
      <c r="B534" s="19" t="s">
        <v>1892</v>
      </c>
      <c r="C534" s="19" t="s">
        <v>1856</v>
      </c>
      <c r="D534" s="19" t="s">
        <v>1857</v>
      </c>
      <c r="E534" s="19" t="s">
        <v>1858</v>
      </c>
      <c r="F534" s="19" t="s">
        <v>1852</v>
      </c>
      <c r="G534" s="19" t="s">
        <v>1950</v>
      </c>
      <c r="H534" s="19">
        <v>11</v>
      </c>
      <c r="I534" s="19">
        <v>3514.12</v>
      </c>
      <c r="J534" s="19">
        <v>38655.32</v>
      </c>
    </row>
    <row r="535" ht="15.25" spans="1:10">
      <c r="A535" s="18" t="s">
        <v>2077</v>
      </c>
      <c r="B535" s="19" t="s">
        <v>1889</v>
      </c>
      <c r="C535" s="19" t="s">
        <v>1875</v>
      </c>
      <c r="D535" s="19" t="s">
        <v>1862</v>
      </c>
      <c r="E535" s="19" t="s">
        <v>1858</v>
      </c>
      <c r="F535" s="19" t="s">
        <v>1852</v>
      </c>
      <c r="G535" s="19" t="s">
        <v>1910</v>
      </c>
      <c r="H535" s="19">
        <v>13</v>
      </c>
      <c r="I535" s="19">
        <v>2109.15</v>
      </c>
      <c r="J535" s="19">
        <v>27418.95</v>
      </c>
    </row>
    <row r="536" ht="15.25" spans="1:10">
      <c r="A536" s="18" t="s">
        <v>2076</v>
      </c>
      <c r="B536" s="19" t="s">
        <v>1855</v>
      </c>
      <c r="C536" s="19" t="s">
        <v>1856</v>
      </c>
      <c r="D536" s="19" t="s">
        <v>1857</v>
      </c>
      <c r="E536" s="19" t="s">
        <v>1858</v>
      </c>
      <c r="F536" s="19" t="s">
        <v>1865</v>
      </c>
      <c r="G536" s="19" t="s">
        <v>1886</v>
      </c>
      <c r="H536" s="19">
        <v>16</v>
      </c>
      <c r="I536" s="19">
        <v>4090.26</v>
      </c>
      <c r="J536" s="19">
        <v>65444.16</v>
      </c>
    </row>
    <row r="537" ht="15.25" spans="1:10">
      <c r="A537" s="18" t="s">
        <v>2085</v>
      </c>
      <c r="B537" s="19" t="s">
        <v>1861</v>
      </c>
      <c r="C537" s="19" t="s">
        <v>1941</v>
      </c>
      <c r="D537" s="19" t="s">
        <v>1879</v>
      </c>
      <c r="E537" s="19" t="s">
        <v>1851</v>
      </c>
      <c r="F537" s="19" t="s">
        <v>1865</v>
      </c>
      <c r="G537" s="19" t="s">
        <v>1890</v>
      </c>
      <c r="H537" s="19">
        <v>12</v>
      </c>
      <c r="I537" s="19">
        <v>219.32</v>
      </c>
      <c r="J537" s="19">
        <v>2631.84</v>
      </c>
    </row>
    <row r="538" ht="15.25" spans="1:10">
      <c r="A538" s="18" t="s">
        <v>1911</v>
      </c>
      <c r="B538" s="19" t="s">
        <v>1848</v>
      </c>
      <c r="C538" s="19" t="s">
        <v>1903</v>
      </c>
      <c r="D538" s="19" t="s">
        <v>1884</v>
      </c>
      <c r="E538" s="19" t="s">
        <v>1895</v>
      </c>
      <c r="F538" s="19" t="s">
        <v>1859</v>
      </c>
      <c r="G538" s="19" t="s">
        <v>1922</v>
      </c>
      <c r="H538" s="19">
        <v>14</v>
      </c>
      <c r="I538" s="19">
        <v>264.77</v>
      </c>
      <c r="J538" s="19">
        <v>3706.78</v>
      </c>
    </row>
    <row r="539" ht="15.25" spans="1:10">
      <c r="A539" s="18">
        <v>44931</v>
      </c>
      <c r="B539" s="19" t="s">
        <v>1892</v>
      </c>
      <c r="C539" s="19" t="s">
        <v>1864</v>
      </c>
      <c r="D539" s="19" t="s">
        <v>1857</v>
      </c>
      <c r="E539" s="19" t="s">
        <v>1858</v>
      </c>
      <c r="F539" s="19" t="s">
        <v>1865</v>
      </c>
      <c r="G539" s="19" t="s">
        <v>1890</v>
      </c>
      <c r="H539" s="19">
        <v>9</v>
      </c>
      <c r="I539" s="19">
        <v>2624.88</v>
      </c>
      <c r="J539" s="19">
        <v>23623.92</v>
      </c>
    </row>
    <row r="540" ht="15.25" spans="1:10">
      <c r="A540" s="18">
        <v>45022</v>
      </c>
      <c r="B540" s="19" t="s">
        <v>1874</v>
      </c>
      <c r="C540" s="19" t="s">
        <v>1898</v>
      </c>
      <c r="D540" s="19" t="s">
        <v>1879</v>
      </c>
      <c r="E540" s="19" t="s">
        <v>1851</v>
      </c>
      <c r="F540" s="19" t="s">
        <v>1852</v>
      </c>
      <c r="G540" s="19" t="s">
        <v>1934</v>
      </c>
      <c r="H540" s="19">
        <v>15</v>
      </c>
      <c r="I540" s="19">
        <v>1063.88</v>
      </c>
      <c r="J540" s="19">
        <v>15958.2</v>
      </c>
    </row>
    <row r="541" ht="15.25" spans="1:10">
      <c r="A541" s="18" t="s">
        <v>2081</v>
      </c>
      <c r="B541" s="19" t="s">
        <v>1892</v>
      </c>
      <c r="C541" s="19" t="s">
        <v>1626</v>
      </c>
      <c r="D541" s="19" t="s">
        <v>1857</v>
      </c>
      <c r="E541" s="19" t="s">
        <v>1858</v>
      </c>
      <c r="F541" s="19" t="s">
        <v>1865</v>
      </c>
      <c r="G541" s="19" t="s">
        <v>1890</v>
      </c>
      <c r="H541" s="19">
        <v>2</v>
      </c>
      <c r="I541" s="19">
        <v>4277.9</v>
      </c>
      <c r="J541" s="19">
        <v>8555.8</v>
      </c>
    </row>
    <row r="542" ht="15.25" spans="1:10">
      <c r="A542" s="18" t="s">
        <v>2086</v>
      </c>
      <c r="B542" s="19" t="s">
        <v>1848</v>
      </c>
      <c r="C542" s="19" t="s">
        <v>1610</v>
      </c>
      <c r="D542" s="19" t="s">
        <v>1879</v>
      </c>
      <c r="E542" s="19" t="s">
        <v>1851</v>
      </c>
      <c r="F542" s="19" t="s">
        <v>1865</v>
      </c>
      <c r="G542" s="19" t="s">
        <v>1920</v>
      </c>
      <c r="H542" s="19">
        <v>13</v>
      </c>
      <c r="I542" s="19">
        <v>1762.69</v>
      </c>
      <c r="J542" s="19">
        <v>22914.97</v>
      </c>
    </row>
    <row r="543" ht="15.25" spans="1:10">
      <c r="A543" s="18" t="s">
        <v>1946</v>
      </c>
      <c r="B543" s="19" t="s">
        <v>1871</v>
      </c>
      <c r="C543" s="19" t="s">
        <v>1875</v>
      </c>
      <c r="D543" s="19" t="s">
        <v>1862</v>
      </c>
      <c r="E543" s="19" t="s">
        <v>1858</v>
      </c>
      <c r="F543" s="19" t="s">
        <v>1865</v>
      </c>
      <c r="G543" s="19" t="s">
        <v>1920</v>
      </c>
      <c r="H543" s="19">
        <v>6</v>
      </c>
      <c r="I543" s="19">
        <v>2069.96</v>
      </c>
      <c r="J543" s="19">
        <v>12419.76</v>
      </c>
    </row>
    <row r="544" ht="15.25" spans="1:10">
      <c r="A544" s="18" t="s">
        <v>2073</v>
      </c>
      <c r="B544" s="19" t="s">
        <v>1855</v>
      </c>
      <c r="C544" s="19" t="s">
        <v>1589</v>
      </c>
      <c r="D544" s="19" t="s">
        <v>1884</v>
      </c>
      <c r="E544" s="19" t="s">
        <v>1895</v>
      </c>
      <c r="F544" s="19" t="s">
        <v>1865</v>
      </c>
      <c r="G544" s="19" t="s">
        <v>1890</v>
      </c>
      <c r="H544" s="19">
        <v>19</v>
      </c>
      <c r="I544" s="19">
        <v>3822.54</v>
      </c>
      <c r="J544" s="19">
        <v>72628.26</v>
      </c>
    </row>
    <row r="545" ht="15.25" spans="1:10">
      <c r="A545" s="18">
        <v>45087</v>
      </c>
      <c r="B545" s="19" t="s">
        <v>1855</v>
      </c>
      <c r="C545" s="19" t="s">
        <v>1589</v>
      </c>
      <c r="D545" s="19" t="s">
        <v>1884</v>
      </c>
      <c r="E545" s="19" t="s">
        <v>1895</v>
      </c>
      <c r="F545" s="19" t="s">
        <v>1868</v>
      </c>
      <c r="G545" s="19" t="s">
        <v>1907</v>
      </c>
      <c r="H545" s="19">
        <v>16</v>
      </c>
      <c r="I545" s="19">
        <v>242.23</v>
      </c>
      <c r="J545" s="19">
        <v>3875.68</v>
      </c>
    </row>
    <row r="546" ht="15.25" spans="1:10">
      <c r="A546" s="18" t="s">
        <v>2049</v>
      </c>
      <c r="B546" s="19" t="s">
        <v>1874</v>
      </c>
      <c r="C546" s="19" t="s">
        <v>1898</v>
      </c>
      <c r="D546" s="19" t="s">
        <v>1879</v>
      </c>
      <c r="E546" s="19" t="s">
        <v>1851</v>
      </c>
      <c r="F546" s="19" t="s">
        <v>1859</v>
      </c>
      <c r="G546" s="19" t="s">
        <v>1872</v>
      </c>
      <c r="H546" s="19">
        <v>12</v>
      </c>
      <c r="I546" s="19">
        <v>2290.76</v>
      </c>
      <c r="J546" s="19">
        <v>27489.12</v>
      </c>
    </row>
    <row r="547" ht="26.75" spans="1:10">
      <c r="A547" s="18" t="s">
        <v>2068</v>
      </c>
      <c r="B547" s="19" t="s">
        <v>1902</v>
      </c>
      <c r="C547" s="19" t="s">
        <v>1593</v>
      </c>
      <c r="D547" s="19" t="s">
        <v>1850</v>
      </c>
      <c r="E547" s="19" t="s">
        <v>1851</v>
      </c>
      <c r="F547" s="19" t="s">
        <v>1865</v>
      </c>
      <c r="G547" s="19" t="s">
        <v>1890</v>
      </c>
      <c r="H547" s="19">
        <v>18</v>
      </c>
      <c r="I547" s="19">
        <v>1957.78</v>
      </c>
      <c r="J547" s="19">
        <v>35240.04</v>
      </c>
    </row>
    <row r="548" ht="26.75" spans="1:10">
      <c r="A548" s="18">
        <v>45088</v>
      </c>
      <c r="B548" s="19" t="s">
        <v>1889</v>
      </c>
      <c r="C548" s="19" t="s">
        <v>1593</v>
      </c>
      <c r="D548" s="19" t="s">
        <v>1850</v>
      </c>
      <c r="E548" s="19" t="s">
        <v>1851</v>
      </c>
      <c r="F548" s="19" t="s">
        <v>1859</v>
      </c>
      <c r="G548" s="19" t="s">
        <v>1947</v>
      </c>
      <c r="H548" s="19">
        <v>1</v>
      </c>
      <c r="I548" s="19">
        <v>4370.57</v>
      </c>
      <c r="J548" s="19">
        <v>4370.57</v>
      </c>
    </row>
    <row r="549" ht="15.25" spans="1:10">
      <c r="A549" s="18" t="s">
        <v>2079</v>
      </c>
      <c r="B549" s="19" t="s">
        <v>1871</v>
      </c>
      <c r="C549" s="19" t="s">
        <v>1589</v>
      </c>
      <c r="D549" s="19" t="s">
        <v>1884</v>
      </c>
      <c r="E549" s="19" t="s">
        <v>1895</v>
      </c>
      <c r="F549" s="19" t="s">
        <v>1868</v>
      </c>
      <c r="G549" s="19" t="s">
        <v>1899</v>
      </c>
      <c r="H549" s="19">
        <v>3</v>
      </c>
      <c r="I549" s="19">
        <v>1894.71</v>
      </c>
      <c r="J549" s="19">
        <v>5684.13</v>
      </c>
    </row>
    <row r="550" ht="15.25" spans="1:10">
      <c r="A550" s="18">
        <v>45271</v>
      </c>
      <c r="B550" s="19" t="s">
        <v>1861</v>
      </c>
      <c r="C550" s="19" t="s">
        <v>1898</v>
      </c>
      <c r="D550" s="19" t="s">
        <v>1879</v>
      </c>
      <c r="E550" s="19" t="s">
        <v>1851</v>
      </c>
      <c r="F550" s="19" t="s">
        <v>1868</v>
      </c>
      <c r="G550" s="19" t="s">
        <v>1917</v>
      </c>
      <c r="H550" s="19">
        <v>14</v>
      </c>
      <c r="I550" s="19">
        <v>367.1</v>
      </c>
      <c r="J550" s="19">
        <v>5139.4</v>
      </c>
    </row>
    <row r="551" ht="15.25" spans="1:10">
      <c r="A551" s="18" t="s">
        <v>2084</v>
      </c>
      <c r="B551" s="19" t="s">
        <v>1867</v>
      </c>
      <c r="C551" s="19" t="s">
        <v>1941</v>
      </c>
      <c r="D551" s="19" t="s">
        <v>1879</v>
      </c>
      <c r="E551" s="19" t="s">
        <v>1851</v>
      </c>
      <c r="F551" s="19" t="s">
        <v>1876</v>
      </c>
      <c r="G551" s="19" t="s">
        <v>1877</v>
      </c>
      <c r="H551" s="19">
        <v>10</v>
      </c>
      <c r="I551" s="19">
        <v>4678.49</v>
      </c>
      <c r="J551" s="19">
        <v>46784.9</v>
      </c>
    </row>
    <row r="552" ht="15.25" spans="1:10">
      <c r="A552" s="18">
        <v>45201</v>
      </c>
      <c r="B552" s="19" t="s">
        <v>1855</v>
      </c>
      <c r="C552" s="19" t="s">
        <v>1903</v>
      </c>
      <c r="D552" s="19" t="s">
        <v>1884</v>
      </c>
      <c r="E552" s="19" t="s">
        <v>1895</v>
      </c>
      <c r="F552" s="19" t="s">
        <v>1868</v>
      </c>
      <c r="G552" s="19" t="s">
        <v>1907</v>
      </c>
      <c r="H552" s="19">
        <v>12</v>
      </c>
      <c r="I552" s="19">
        <v>1020.42</v>
      </c>
      <c r="J552" s="19">
        <v>12245.04</v>
      </c>
    </row>
    <row r="553" ht="15.25" spans="1:10">
      <c r="A553" s="18" t="s">
        <v>2079</v>
      </c>
      <c r="B553" s="19" t="s">
        <v>1871</v>
      </c>
      <c r="C553" s="19" t="s">
        <v>1602</v>
      </c>
      <c r="D553" s="19" t="s">
        <v>1862</v>
      </c>
      <c r="E553" s="19" t="s">
        <v>1858</v>
      </c>
      <c r="F553" s="19" t="s">
        <v>1876</v>
      </c>
      <c r="G553" s="19" t="s">
        <v>1883</v>
      </c>
      <c r="H553" s="19">
        <v>15</v>
      </c>
      <c r="I553" s="19">
        <v>1669.04</v>
      </c>
      <c r="J553" s="19">
        <v>25035.6</v>
      </c>
    </row>
    <row r="554" ht="26.75" spans="1:10">
      <c r="A554" s="18" t="s">
        <v>2040</v>
      </c>
      <c r="B554" s="19" t="s">
        <v>1892</v>
      </c>
      <c r="C554" s="19" t="s">
        <v>1598</v>
      </c>
      <c r="D554" s="19" t="s">
        <v>1850</v>
      </c>
      <c r="E554" s="19" t="s">
        <v>1851</v>
      </c>
      <c r="F554" s="19" t="s">
        <v>1859</v>
      </c>
      <c r="G554" s="19" t="s">
        <v>1947</v>
      </c>
      <c r="H554" s="19">
        <v>18</v>
      </c>
      <c r="I554" s="19">
        <v>138.01</v>
      </c>
      <c r="J554" s="19">
        <v>2484.18</v>
      </c>
    </row>
    <row r="555" ht="15.25" spans="1:10">
      <c r="A555" s="18" t="s">
        <v>2078</v>
      </c>
      <c r="B555" s="19" t="s">
        <v>1892</v>
      </c>
      <c r="C555" s="19" t="s">
        <v>1610</v>
      </c>
      <c r="D555" s="19" t="s">
        <v>1879</v>
      </c>
      <c r="E555" s="19" t="s">
        <v>1851</v>
      </c>
      <c r="F555" s="19" t="s">
        <v>1859</v>
      </c>
      <c r="G555" s="19" t="s">
        <v>1860</v>
      </c>
      <c r="H555" s="19">
        <v>6</v>
      </c>
      <c r="I555" s="19">
        <v>3847.76</v>
      </c>
      <c r="J555" s="19">
        <v>23086.56</v>
      </c>
    </row>
    <row r="556" ht="26.75" spans="1:10">
      <c r="A556" s="18">
        <v>45177</v>
      </c>
      <c r="B556" s="19" t="s">
        <v>1889</v>
      </c>
      <c r="C556" s="19" t="s">
        <v>1593</v>
      </c>
      <c r="D556" s="19" t="s">
        <v>1850</v>
      </c>
      <c r="E556" s="19" t="s">
        <v>1851</v>
      </c>
      <c r="F556" s="19" t="s">
        <v>1868</v>
      </c>
      <c r="G556" s="19" t="s">
        <v>1869</v>
      </c>
      <c r="H556" s="19">
        <v>4</v>
      </c>
      <c r="I556" s="19">
        <v>3246.52</v>
      </c>
      <c r="J556" s="19">
        <v>12986.08</v>
      </c>
    </row>
    <row r="557" ht="15.25" spans="1:10">
      <c r="A557" s="18" t="s">
        <v>1974</v>
      </c>
      <c r="B557" s="19" t="s">
        <v>1902</v>
      </c>
      <c r="C557" s="19" t="s">
        <v>1589</v>
      </c>
      <c r="D557" s="19" t="s">
        <v>1884</v>
      </c>
      <c r="E557" s="19" t="s">
        <v>1895</v>
      </c>
      <c r="F557" s="19" t="s">
        <v>1859</v>
      </c>
      <c r="G557" s="19" t="s">
        <v>1922</v>
      </c>
      <c r="H557" s="19">
        <v>14</v>
      </c>
      <c r="I557" s="19">
        <v>569.91</v>
      </c>
      <c r="J557" s="19">
        <v>7978.74</v>
      </c>
    </row>
    <row r="558" ht="15.25" spans="1:10">
      <c r="A558" s="18">
        <v>45261</v>
      </c>
      <c r="B558" s="19" t="s">
        <v>1878</v>
      </c>
      <c r="C558" s="19" t="s">
        <v>1626</v>
      </c>
      <c r="D558" s="19" t="s">
        <v>1857</v>
      </c>
      <c r="E558" s="19" t="s">
        <v>1858</v>
      </c>
      <c r="F558" s="19" t="s">
        <v>1876</v>
      </c>
      <c r="G558" s="19" t="s">
        <v>1883</v>
      </c>
      <c r="H558" s="19">
        <v>15</v>
      </c>
      <c r="I558" s="19">
        <v>4316.17</v>
      </c>
      <c r="J558" s="19">
        <v>64742.55</v>
      </c>
    </row>
    <row r="559" ht="15.25" spans="1:10">
      <c r="A559" s="18" t="s">
        <v>2043</v>
      </c>
      <c r="B559" s="19" t="s">
        <v>1855</v>
      </c>
      <c r="C559" s="19" t="s">
        <v>1626</v>
      </c>
      <c r="D559" s="19" t="s">
        <v>1857</v>
      </c>
      <c r="E559" s="19" t="s">
        <v>1858</v>
      </c>
      <c r="F559" s="19" t="s">
        <v>1865</v>
      </c>
      <c r="G559" s="19" t="s">
        <v>1866</v>
      </c>
      <c r="H559" s="19">
        <v>17</v>
      </c>
      <c r="I559" s="19">
        <v>2209.62</v>
      </c>
      <c r="J559" s="19">
        <v>37563.54</v>
      </c>
    </row>
    <row r="560" ht="15.25" spans="1:10">
      <c r="A560" s="18">
        <v>45117</v>
      </c>
      <c r="B560" s="19" t="s">
        <v>1878</v>
      </c>
      <c r="C560" s="19" t="s">
        <v>1894</v>
      </c>
      <c r="D560" s="19" t="s">
        <v>1884</v>
      </c>
      <c r="E560" s="19" t="s">
        <v>1895</v>
      </c>
      <c r="F560" s="19" t="s">
        <v>1852</v>
      </c>
      <c r="G560" s="19" t="s">
        <v>1934</v>
      </c>
      <c r="H560" s="19">
        <v>16</v>
      </c>
      <c r="I560" s="19">
        <v>3296.61</v>
      </c>
      <c r="J560" s="19">
        <v>52745.76</v>
      </c>
    </row>
    <row r="561" ht="15.25" spans="1:10">
      <c r="A561" s="18">
        <v>44932</v>
      </c>
      <c r="B561" s="19" t="s">
        <v>1848</v>
      </c>
      <c r="C561" s="19" t="s">
        <v>1589</v>
      </c>
      <c r="D561" s="19" t="s">
        <v>1884</v>
      </c>
      <c r="E561" s="19" t="s">
        <v>1895</v>
      </c>
      <c r="F561" s="19" t="s">
        <v>1852</v>
      </c>
      <c r="G561" s="19" t="s">
        <v>1853</v>
      </c>
      <c r="H561" s="19">
        <v>13</v>
      </c>
      <c r="I561" s="19">
        <v>523.83</v>
      </c>
      <c r="J561" s="19">
        <v>6809.79</v>
      </c>
    </row>
    <row r="562" ht="15.25" spans="1:10">
      <c r="A562" s="18" t="s">
        <v>2027</v>
      </c>
      <c r="B562" s="19" t="s">
        <v>1871</v>
      </c>
      <c r="C562" s="19" t="s">
        <v>1602</v>
      </c>
      <c r="D562" s="19" t="s">
        <v>1862</v>
      </c>
      <c r="E562" s="19" t="s">
        <v>1858</v>
      </c>
      <c r="F562" s="19" t="s">
        <v>1876</v>
      </c>
      <c r="G562" s="19" t="s">
        <v>1883</v>
      </c>
      <c r="H562" s="19">
        <v>3</v>
      </c>
      <c r="I562" s="19">
        <v>916.53</v>
      </c>
      <c r="J562" s="19">
        <v>2749.59</v>
      </c>
    </row>
    <row r="563" ht="26.75" spans="1:10">
      <c r="A563" s="18">
        <v>45266</v>
      </c>
      <c r="B563" s="19" t="s">
        <v>1848</v>
      </c>
      <c r="C563" s="19" t="s">
        <v>1598</v>
      </c>
      <c r="D563" s="19" t="s">
        <v>1850</v>
      </c>
      <c r="E563" s="19" t="s">
        <v>1851</v>
      </c>
      <c r="F563" s="19" t="s">
        <v>1865</v>
      </c>
      <c r="G563" s="19" t="s">
        <v>1890</v>
      </c>
      <c r="H563" s="19">
        <v>13</v>
      </c>
      <c r="I563" s="19">
        <v>1836.55</v>
      </c>
      <c r="J563" s="19">
        <v>23875.15</v>
      </c>
    </row>
    <row r="564" ht="15.25" spans="1:10">
      <c r="A564" s="18" t="s">
        <v>2042</v>
      </c>
      <c r="B564" s="19" t="s">
        <v>1867</v>
      </c>
      <c r="C564" s="19" t="s">
        <v>1903</v>
      </c>
      <c r="D564" s="19" t="s">
        <v>1884</v>
      </c>
      <c r="E564" s="19" t="s">
        <v>1895</v>
      </c>
      <c r="F564" s="19" t="s">
        <v>1865</v>
      </c>
      <c r="G564" s="19" t="s">
        <v>1866</v>
      </c>
      <c r="H564" s="19">
        <v>19</v>
      </c>
      <c r="I564" s="19">
        <v>2253.92</v>
      </c>
      <c r="J564" s="19">
        <v>42824.48</v>
      </c>
    </row>
    <row r="565" ht="26.75" spans="1:10">
      <c r="A565" s="18" t="s">
        <v>2087</v>
      </c>
      <c r="B565" s="19" t="s">
        <v>1867</v>
      </c>
      <c r="C565" s="19" t="s">
        <v>1598</v>
      </c>
      <c r="D565" s="19" t="s">
        <v>1850</v>
      </c>
      <c r="E565" s="19" t="s">
        <v>1851</v>
      </c>
      <c r="F565" s="19" t="s">
        <v>1852</v>
      </c>
      <c r="G565" s="19" t="s">
        <v>1853</v>
      </c>
      <c r="H565" s="19">
        <v>13</v>
      </c>
      <c r="I565" s="19">
        <v>3617.07</v>
      </c>
      <c r="J565" s="19">
        <v>47021.91</v>
      </c>
    </row>
    <row r="566" ht="15.25" spans="1:10">
      <c r="A566" s="18" t="s">
        <v>2088</v>
      </c>
      <c r="B566" s="19" t="s">
        <v>1889</v>
      </c>
      <c r="C566" s="19" t="s">
        <v>1875</v>
      </c>
      <c r="D566" s="19" t="s">
        <v>1862</v>
      </c>
      <c r="E566" s="19" t="s">
        <v>1858</v>
      </c>
      <c r="F566" s="19" t="s">
        <v>1868</v>
      </c>
      <c r="G566" s="19" t="s">
        <v>1917</v>
      </c>
      <c r="H566" s="19">
        <v>5</v>
      </c>
      <c r="I566" s="19">
        <v>417.76</v>
      </c>
      <c r="J566" s="19">
        <v>2088.8</v>
      </c>
    </row>
    <row r="567" ht="26.75" spans="1:10">
      <c r="A567" s="18">
        <v>45144</v>
      </c>
      <c r="B567" s="19" t="s">
        <v>1855</v>
      </c>
      <c r="C567" s="19" t="s">
        <v>1849</v>
      </c>
      <c r="D567" s="19" t="s">
        <v>1850</v>
      </c>
      <c r="E567" s="19" t="s">
        <v>1851</v>
      </c>
      <c r="F567" s="19" t="s">
        <v>1876</v>
      </c>
      <c r="G567" s="19" t="s">
        <v>1877</v>
      </c>
      <c r="H567" s="19">
        <v>11</v>
      </c>
      <c r="I567" s="19">
        <v>864.29</v>
      </c>
      <c r="J567" s="19">
        <v>9507.19</v>
      </c>
    </row>
    <row r="568" ht="15.25" spans="1:10">
      <c r="A568" s="18" t="s">
        <v>2089</v>
      </c>
      <c r="B568" s="19" t="s">
        <v>1871</v>
      </c>
      <c r="C568" s="19" t="s">
        <v>1894</v>
      </c>
      <c r="D568" s="19" t="s">
        <v>1884</v>
      </c>
      <c r="E568" s="19" t="s">
        <v>1895</v>
      </c>
      <c r="F568" s="19" t="s">
        <v>1876</v>
      </c>
      <c r="G568" s="19" t="s">
        <v>1877</v>
      </c>
      <c r="H568" s="19">
        <v>19</v>
      </c>
      <c r="I568" s="19">
        <v>2006.79</v>
      </c>
      <c r="J568" s="19">
        <v>38129.01</v>
      </c>
    </row>
    <row r="569" ht="15.25" spans="1:10">
      <c r="A569" s="18" t="s">
        <v>1980</v>
      </c>
      <c r="B569" s="19" t="s">
        <v>1855</v>
      </c>
      <c r="C569" s="19" t="s">
        <v>1610</v>
      </c>
      <c r="D569" s="19" t="s">
        <v>1879</v>
      </c>
      <c r="E569" s="19" t="s">
        <v>1851</v>
      </c>
      <c r="F569" s="19" t="s">
        <v>1868</v>
      </c>
      <c r="G569" s="19" t="s">
        <v>1907</v>
      </c>
      <c r="H569" s="19">
        <v>1</v>
      </c>
      <c r="I569" s="19">
        <v>403.2</v>
      </c>
      <c r="J569" s="19">
        <v>403.2</v>
      </c>
    </row>
    <row r="570" ht="26.75" spans="1:10">
      <c r="A570" s="18" t="s">
        <v>1881</v>
      </c>
      <c r="B570" s="19" t="s">
        <v>1892</v>
      </c>
      <c r="C570" s="19" t="s">
        <v>1598</v>
      </c>
      <c r="D570" s="19" t="s">
        <v>1850</v>
      </c>
      <c r="E570" s="19" t="s">
        <v>1851</v>
      </c>
      <c r="F570" s="19" t="s">
        <v>1852</v>
      </c>
      <c r="G570" s="19" t="s">
        <v>1950</v>
      </c>
      <c r="H570" s="19">
        <v>7</v>
      </c>
      <c r="I570" s="19">
        <v>2846.83</v>
      </c>
      <c r="J570" s="19">
        <v>19927.81</v>
      </c>
    </row>
    <row r="571" ht="15.25" spans="1:10">
      <c r="A571" s="18" t="s">
        <v>1988</v>
      </c>
      <c r="B571" s="19" t="s">
        <v>1848</v>
      </c>
      <c r="C571" s="19" t="s">
        <v>1626</v>
      </c>
      <c r="D571" s="19" t="s">
        <v>1857</v>
      </c>
      <c r="E571" s="19" t="s">
        <v>1858</v>
      </c>
      <c r="F571" s="19" t="s">
        <v>1865</v>
      </c>
      <c r="G571" s="19" t="s">
        <v>1866</v>
      </c>
      <c r="H571" s="19">
        <v>5</v>
      </c>
      <c r="I571" s="19">
        <v>850.9</v>
      </c>
      <c r="J571" s="19">
        <v>4254.5</v>
      </c>
    </row>
    <row r="572" ht="15.25" spans="1:10">
      <c r="A572" s="18" t="s">
        <v>2059</v>
      </c>
      <c r="B572" s="19" t="s">
        <v>1874</v>
      </c>
      <c r="C572" s="19" t="s">
        <v>1894</v>
      </c>
      <c r="D572" s="19" t="s">
        <v>1884</v>
      </c>
      <c r="E572" s="19" t="s">
        <v>1895</v>
      </c>
      <c r="F572" s="19" t="s">
        <v>1876</v>
      </c>
      <c r="G572" s="19" t="s">
        <v>1926</v>
      </c>
      <c r="H572" s="19">
        <v>16</v>
      </c>
      <c r="I572" s="19">
        <v>3337.15</v>
      </c>
      <c r="J572" s="19">
        <v>53394.4</v>
      </c>
    </row>
    <row r="573" ht="15.25" spans="1:10">
      <c r="A573" s="18" t="s">
        <v>2090</v>
      </c>
      <c r="B573" s="19" t="s">
        <v>1874</v>
      </c>
      <c r="C573" s="19" t="s">
        <v>1602</v>
      </c>
      <c r="D573" s="19" t="s">
        <v>1862</v>
      </c>
      <c r="E573" s="19" t="s">
        <v>1858</v>
      </c>
      <c r="F573" s="19" t="s">
        <v>1865</v>
      </c>
      <c r="G573" s="19" t="s">
        <v>1886</v>
      </c>
      <c r="H573" s="19">
        <v>15</v>
      </c>
      <c r="I573" s="19">
        <v>1299.55</v>
      </c>
      <c r="J573" s="19">
        <v>19493.25</v>
      </c>
    </row>
    <row r="574" ht="15.25" spans="1:10">
      <c r="A574" s="18" t="s">
        <v>1946</v>
      </c>
      <c r="B574" s="19" t="s">
        <v>1874</v>
      </c>
      <c r="C574" s="19" t="s">
        <v>1602</v>
      </c>
      <c r="D574" s="19" t="s">
        <v>1862</v>
      </c>
      <c r="E574" s="19" t="s">
        <v>1858</v>
      </c>
      <c r="F574" s="19" t="s">
        <v>1868</v>
      </c>
      <c r="G574" s="19" t="s">
        <v>1907</v>
      </c>
      <c r="H574" s="19">
        <v>7</v>
      </c>
      <c r="I574" s="19">
        <v>4898.57</v>
      </c>
      <c r="J574" s="19">
        <v>34289.99</v>
      </c>
    </row>
    <row r="575" ht="15.25" spans="1:10">
      <c r="A575" s="18">
        <v>45109</v>
      </c>
      <c r="B575" s="19" t="s">
        <v>1848</v>
      </c>
      <c r="C575" s="19" t="s">
        <v>1856</v>
      </c>
      <c r="D575" s="19" t="s">
        <v>1857</v>
      </c>
      <c r="E575" s="19" t="s">
        <v>1858</v>
      </c>
      <c r="F575" s="19" t="s">
        <v>1865</v>
      </c>
      <c r="G575" s="19" t="s">
        <v>1920</v>
      </c>
      <c r="H575" s="19">
        <v>11</v>
      </c>
      <c r="I575" s="19">
        <v>2471.65</v>
      </c>
      <c r="J575" s="19">
        <v>27188.15</v>
      </c>
    </row>
    <row r="576" ht="15.25" spans="1:10">
      <c r="A576" s="18" t="s">
        <v>1938</v>
      </c>
      <c r="B576" s="19" t="s">
        <v>1874</v>
      </c>
      <c r="C576" s="19" t="s">
        <v>1864</v>
      </c>
      <c r="D576" s="19" t="s">
        <v>1857</v>
      </c>
      <c r="E576" s="19" t="s">
        <v>1858</v>
      </c>
      <c r="F576" s="19" t="s">
        <v>1859</v>
      </c>
      <c r="G576" s="19" t="s">
        <v>1872</v>
      </c>
      <c r="H576" s="19">
        <v>2</v>
      </c>
      <c r="I576" s="19">
        <v>1125.53</v>
      </c>
      <c r="J576" s="19">
        <v>2251.06</v>
      </c>
    </row>
    <row r="577" ht="15.25" spans="1:10">
      <c r="A577" s="18">
        <v>44966</v>
      </c>
      <c r="B577" s="19" t="s">
        <v>1861</v>
      </c>
      <c r="C577" s="19" t="s">
        <v>1610</v>
      </c>
      <c r="D577" s="19" t="s">
        <v>1879</v>
      </c>
      <c r="E577" s="19" t="s">
        <v>1851</v>
      </c>
      <c r="F577" s="19" t="s">
        <v>1852</v>
      </c>
      <c r="G577" s="19" t="s">
        <v>1853</v>
      </c>
      <c r="H577" s="19">
        <v>13</v>
      </c>
      <c r="I577" s="19">
        <v>2835.8</v>
      </c>
      <c r="J577" s="19">
        <v>36865.4</v>
      </c>
    </row>
    <row r="578" ht="15.25" spans="1:10">
      <c r="A578" s="18">
        <v>45234</v>
      </c>
      <c r="B578" s="19" t="s">
        <v>1878</v>
      </c>
      <c r="C578" s="19" t="s">
        <v>1602</v>
      </c>
      <c r="D578" s="19" t="s">
        <v>1862</v>
      </c>
      <c r="E578" s="19" t="s">
        <v>1858</v>
      </c>
      <c r="F578" s="19" t="s">
        <v>1868</v>
      </c>
      <c r="G578" s="19" t="s">
        <v>1907</v>
      </c>
      <c r="H578" s="19">
        <v>17</v>
      </c>
      <c r="I578" s="19">
        <v>3973.87</v>
      </c>
      <c r="J578" s="19">
        <v>67555.79</v>
      </c>
    </row>
    <row r="579" ht="26.75" spans="1:10">
      <c r="A579" s="18">
        <v>45261</v>
      </c>
      <c r="B579" s="19" t="s">
        <v>1861</v>
      </c>
      <c r="C579" s="19" t="s">
        <v>1598</v>
      </c>
      <c r="D579" s="19" t="s">
        <v>1850</v>
      </c>
      <c r="E579" s="19" t="s">
        <v>1851</v>
      </c>
      <c r="F579" s="19" t="s">
        <v>1876</v>
      </c>
      <c r="G579" s="19" t="s">
        <v>1930</v>
      </c>
      <c r="H579" s="19">
        <v>4</v>
      </c>
      <c r="I579" s="19">
        <v>1998.26</v>
      </c>
      <c r="J579" s="19">
        <v>7993.04</v>
      </c>
    </row>
    <row r="580" ht="15.25" spans="1:10">
      <c r="A580" s="18">
        <v>45148</v>
      </c>
      <c r="B580" s="19" t="s">
        <v>1871</v>
      </c>
      <c r="C580" s="19" t="s">
        <v>1875</v>
      </c>
      <c r="D580" s="19" t="s">
        <v>1862</v>
      </c>
      <c r="E580" s="19" t="s">
        <v>1858</v>
      </c>
      <c r="F580" s="19" t="s">
        <v>1859</v>
      </c>
      <c r="G580" s="19" t="s">
        <v>1872</v>
      </c>
      <c r="H580" s="19">
        <v>7</v>
      </c>
      <c r="I580" s="19">
        <v>3820.3</v>
      </c>
      <c r="J580" s="19">
        <v>26742.1</v>
      </c>
    </row>
    <row r="581" ht="15.25" spans="1:10">
      <c r="A581" s="18" t="s">
        <v>2046</v>
      </c>
      <c r="B581" s="19" t="s">
        <v>1848</v>
      </c>
      <c r="C581" s="19" t="s">
        <v>1898</v>
      </c>
      <c r="D581" s="19" t="s">
        <v>1879</v>
      </c>
      <c r="E581" s="19" t="s">
        <v>1851</v>
      </c>
      <c r="F581" s="19" t="s">
        <v>1859</v>
      </c>
      <c r="G581" s="19" t="s">
        <v>1947</v>
      </c>
      <c r="H581" s="19">
        <v>19</v>
      </c>
      <c r="I581" s="19">
        <v>2199.32</v>
      </c>
      <c r="J581" s="19">
        <v>41787.08</v>
      </c>
    </row>
    <row r="582" ht="15.25" spans="1:10">
      <c r="A582" s="18" t="s">
        <v>2066</v>
      </c>
      <c r="B582" s="19" t="s">
        <v>1867</v>
      </c>
      <c r="C582" s="19" t="s">
        <v>1856</v>
      </c>
      <c r="D582" s="19" t="s">
        <v>1857</v>
      </c>
      <c r="E582" s="19" t="s">
        <v>1858</v>
      </c>
      <c r="F582" s="19" t="s">
        <v>1868</v>
      </c>
      <c r="G582" s="19" t="s">
        <v>1869</v>
      </c>
      <c r="H582" s="19">
        <v>6</v>
      </c>
      <c r="I582" s="19">
        <v>578.64</v>
      </c>
      <c r="J582" s="19">
        <v>3471.84</v>
      </c>
    </row>
    <row r="583" ht="15.25" spans="1:10">
      <c r="A583" s="18">
        <v>45118</v>
      </c>
      <c r="B583" s="19" t="s">
        <v>1871</v>
      </c>
      <c r="C583" s="19" t="s">
        <v>1626</v>
      </c>
      <c r="D583" s="19" t="s">
        <v>1857</v>
      </c>
      <c r="E583" s="19" t="s">
        <v>1858</v>
      </c>
      <c r="F583" s="19" t="s">
        <v>1876</v>
      </c>
      <c r="G583" s="19" t="s">
        <v>1883</v>
      </c>
      <c r="H583" s="19">
        <v>5</v>
      </c>
      <c r="I583" s="19">
        <v>1488.21</v>
      </c>
      <c r="J583" s="19">
        <v>7441.05</v>
      </c>
    </row>
    <row r="584" ht="15.25" spans="1:10">
      <c r="A584" s="18" t="s">
        <v>2091</v>
      </c>
      <c r="B584" s="19" t="s">
        <v>1889</v>
      </c>
      <c r="C584" s="19" t="s">
        <v>1856</v>
      </c>
      <c r="D584" s="19" t="s">
        <v>1857</v>
      </c>
      <c r="E584" s="19" t="s">
        <v>1858</v>
      </c>
      <c r="F584" s="19" t="s">
        <v>1852</v>
      </c>
      <c r="G584" s="19" t="s">
        <v>1950</v>
      </c>
      <c r="H584" s="19">
        <v>19</v>
      </c>
      <c r="I584" s="19">
        <v>3196.27</v>
      </c>
      <c r="J584" s="19">
        <v>60729.13</v>
      </c>
    </row>
    <row r="585" ht="15.25" spans="1:10">
      <c r="A585" s="18">
        <v>45205</v>
      </c>
      <c r="B585" s="19" t="s">
        <v>1861</v>
      </c>
      <c r="C585" s="19" t="s">
        <v>1941</v>
      </c>
      <c r="D585" s="19" t="s">
        <v>1879</v>
      </c>
      <c r="E585" s="19" t="s">
        <v>1851</v>
      </c>
      <c r="F585" s="19" t="s">
        <v>1868</v>
      </c>
      <c r="G585" s="19" t="s">
        <v>1869</v>
      </c>
      <c r="H585" s="19">
        <v>5</v>
      </c>
      <c r="I585" s="19">
        <v>1018.53</v>
      </c>
      <c r="J585" s="19">
        <v>5092.65</v>
      </c>
    </row>
    <row r="586" ht="15.25" spans="1:10">
      <c r="A586" s="18" t="s">
        <v>2057</v>
      </c>
      <c r="B586" s="19" t="s">
        <v>1878</v>
      </c>
      <c r="C586" s="19" t="s">
        <v>1894</v>
      </c>
      <c r="D586" s="19" t="s">
        <v>1884</v>
      </c>
      <c r="E586" s="19" t="s">
        <v>1895</v>
      </c>
      <c r="F586" s="19" t="s">
        <v>1859</v>
      </c>
      <c r="G586" s="19" t="s">
        <v>1922</v>
      </c>
      <c r="H586" s="19">
        <v>13</v>
      </c>
      <c r="I586" s="19">
        <v>1367.15</v>
      </c>
      <c r="J586" s="19">
        <v>17772.95</v>
      </c>
    </row>
    <row r="587" ht="15.25" spans="1:10">
      <c r="A587" s="18">
        <v>45117</v>
      </c>
      <c r="B587" s="19" t="s">
        <v>1861</v>
      </c>
      <c r="C587" s="19" t="s">
        <v>1626</v>
      </c>
      <c r="D587" s="19" t="s">
        <v>1857</v>
      </c>
      <c r="E587" s="19" t="s">
        <v>1858</v>
      </c>
      <c r="F587" s="19" t="s">
        <v>1876</v>
      </c>
      <c r="G587" s="19" t="s">
        <v>1930</v>
      </c>
      <c r="H587" s="19">
        <v>19</v>
      </c>
      <c r="I587" s="19">
        <v>4996.28</v>
      </c>
      <c r="J587" s="19">
        <v>94929.32</v>
      </c>
    </row>
    <row r="588" ht="26.75" spans="1:10">
      <c r="A588" s="18" t="s">
        <v>1984</v>
      </c>
      <c r="B588" s="19" t="s">
        <v>1902</v>
      </c>
      <c r="C588" s="19" t="s">
        <v>1593</v>
      </c>
      <c r="D588" s="19" t="s">
        <v>1850</v>
      </c>
      <c r="E588" s="19" t="s">
        <v>1851</v>
      </c>
      <c r="F588" s="19" t="s">
        <v>1865</v>
      </c>
      <c r="G588" s="19" t="s">
        <v>1890</v>
      </c>
      <c r="H588" s="19">
        <v>3</v>
      </c>
      <c r="I588" s="19">
        <v>4447.9</v>
      </c>
      <c r="J588" s="19">
        <v>13343.7</v>
      </c>
    </row>
    <row r="589" ht="26.75" spans="1:10">
      <c r="A589" s="18" t="s">
        <v>2028</v>
      </c>
      <c r="B589" s="19" t="s">
        <v>1878</v>
      </c>
      <c r="C589" s="19" t="s">
        <v>1598</v>
      </c>
      <c r="D589" s="19" t="s">
        <v>1850</v>
      </c>
      <c r="E589" s="19" t="s">
        <v>1851</v>
      </c>
      <c r="F589" s="19" t="s">
        <v>1859</v>
      </c>
      <c r="G589" s="19" t="s">
        <v>1860</v>
      </c>
      <c r="H589" s="19">
        <v>10</v>
      </c>
      <c r="I589" s="19">
        <v>1318.51</v>
      </c>
      <c r="J589" s="19">
        <v>13185.1</v>
      </c>
    </row>
    <row r="590" ht="15.25" spans="1:10">
      <c r="A590" s="18" t="s">
        <v>1901</v>
      </c>
      <c r="B590" s="19" t="s">
        <v>1848</v>
      </c>
      <c r="C590" s="19" t="s">
        <v>1856</v>
      </c>
      <c r="D590" s="19" t="s">
        <v>1857</v>
      </c>
      <c r="E590" s="19" t="s">
        <v>1858</v>
      </c>
      <c r="F590" s="19" t="s">
        <v>1868</v>
      </c>
      <c r="G590" s="19" t="s">
        <v>1917</v>
      </c>
      <c r="H590" s="19">
        <v>20</v>
      </c>
      <c r="I590" s="19">
        <v>1731.99</v>
      </c>
      <c r="J590" s="19">
        <v>34639.8</v>
      </c>
    </row>
    <row r="591" ht="26.75" spans="1:10">
      <c r="A591" s="18">
        <v>44938</v>
      </c>
      <c r="B591" s="19" t="s">
        <v>1878</v>
      </c>
      <c r="C591" s="19" t="s">
        <v>1849</v>
      </c>
      <c r="D591" s="19" t="s">
        <v>1850</v>
      </c>
      <c r="E591" s="19" t="s">
        <v>1851</v>
      </c>
      <c r="F591" s="19" t="s">
        <v>1865</v>
      </c>
      <c r="G591" s="19" t="s">
        <v>1866</v>
      </c>
      <c r="H591" s="19">
        <v>12</v>
      </c>
      <c r="I591" s="19">
        <v>4514.39</v>
      </c>
      <c r="J591" s="19">
        <v>54172.68</v>
      </c>
    </row>
    <row r="592" ht="15.25" spans="1:10">
      <c r="A592" s="18">
        <v>45087</v>
      </c>
      <c r="B592" s="19" t="s">
        <v>1902</v>
      </c>
      <c r="C592" s="19" t="s">
        <v>1602</v>
      </c>
      <c r="D592" s="19" t="s">
        <v>1862</v>
      </c>
      <c r="E592" s="19" t="s">
        <v>1858</v>
      </c>
      <c r="F592" s="19" t="s">
        <v>1852</v>
      </c>
      <c r="G592" s="19" t="s">
        <v>1934</v>
      </c>
      <c r="H592" s="19">
        <v>20</v>
      </c>
      <c r="I592" s="19">
        <v>1710.93</v>
      </c>
      <c r="J592" s="19">
        <v>34218.6</v>
      </c>
    </row>
    <row r="593" ht="15.25" spans="1:10">
      <c r="A593" s="18">
        <v>45204</v>
      </c>
      <c r="B593" s="19" t="s">
        <v>1855</v>
      </c>
      <c r="C593" s="19" t="s">
        <v>1906</v>
      </c>
      <c r="D593" s="19" t="s">
        <v>1862</v>
      </c>
      <c r="E593" s="19" t="s">
        <v>1858</v>
      </c>
      <c r="F593" s="19" t="s">
        <v>1859</v>
      </c>
      <c r="G593" s="19" t="s">
        <v>1872</v>
      </c>
      <c r="H593" s="19">
        <v>19</v>
      </c>
      <c r="I593" s="19">
        <v>491.53</v>
      </c>
      <c r="J593" s="19">
        <v>9339.07</v>
      </c>
    </row>
    <row r="594" ht="15.25" spans="1:10">
      <c r="A594" s="18">
        <v>45268</v>
      </c>
      <c r="B594" s="19" t="s">
        <v>1902</v>
      </c>
      <c r="C594" s="19" t="s">
        <v>1602</v>
      </c>
      <c r="D594" s="19" t="s">
        <v>1862</v>
      </c>
      <c r="E594" s="19" t="s">
        <v>1858</v>
      </c>
      <c r="F594" s="19" t="s">
        <v>1868</v>
      </c>
      <c r="G594" s="19" t="s">
        <v>1869</v>
      </c>
      <c r="H594" s="19">
        <v>6</v>
      </c>
      <c r="I594" s="19">
        <v>203.88</v>
      </c>
      <c r="J594" s="19">
        <v>1223.28</v>
      </c>
    </row>
    <row r="595" ht="26.75" spans="1:10">
      <c r="A595" s="18" t="s">
        <v>1985</v>
      </c>
      <c r="B595" s="19" t="s">
        <v>1855</v>
      </c>
      <c r="C595" s="19" t="s">
        <v>1593</v>
      </c>
      <c r="D595" s="19" t="s">
        <v>1850</v>
      </c>
      <c r="E595" s="19" t="s">
        <v>1851</v>
      </c>
      <c r="F595" s="19" t="s">
        <v>1859</v>
      </c>
      <c r="G595" s="19" t="s">
        <v>1860</v>
      </c>
      <c r="H595" s="19">
        <v>19</v>
      </c>
      <c r="I595" s="19">
        <v>4786.89</v>
      </c>
      <c r="J595" s="19">
        <v>90950.91</v>
      </c>
    </row>
    <row r="596" ht="15.25" spans="1:10">
      <c r="A596" s="18">
        <v>45210</v>
      </c>
      <c r="B596" s="19" t="s">
        <v>1902</v>
      </c>
      <c r="C596" s="19" t="s">
        <v>1875</v>
      </c>
      <c r="D596" s="19" t="s">
        <v>1862</v>
      </c>
      <c r="E596" s="19" t="s">
        <v>1858</v>
      </c>
      <c r="F596" s="19" t="s">
        <v>1865</v>
      </c>
      <c r="G596" s="19" t="s">
        <v>1890</v>
      </c>
      <c r="H596" s="19">
        <v>11</v>
      </c>
      <c r="I596" s="19">
        <v>2666.77</v>
      </c>
      <c r="J596" s="19">
        <v>29334.47</v>
      </c>
    </row>
    <row r="597" ht="26.75" spans="1:10">
      <c r="A597" s="18">
        <v>45201</v>
      </c>
      <c r="B597" s="19" t="s">
        <v>1867</v>
      </c>
      <c r="C597" s="19" t="s">
        <v>1849</v>
      </c>
      <c r="D597" s="19" t="s">
        <v>1850</v>
      </c>
      <c r="E597" s="19" t="s">
        <v>1851</v>
      </c>
      <c r="F597" s="19" t="s">
        <v>1876</v>
      </c>
      <c r="G597" s="19" t="s">
        <v>1877</v>
      </c>
      <c r="H597" s="19">
        <v>19</v>
      </c>
      <c r="I597" s="19">
        <v>2174.76</v>
      </c>
      <c r="J597" s="19">
        <v>41320.44</v>
      </c>
    </row>
    <row r="598" ht="15.25" spans="1:10">
      <c r="A598" s="18" t="s">
        <v>1954</v>
      </c>
      <c r="B598" s="19" t="s">
        <v>1867</v>
      </c>
      <c r="C598" s="19" t="s">
        <v>1941</v>
      </c>
      <c r="D598" s="19" t="s">
        <v>1879</v>
      </c>
      <c r="E598" s="19" t="s">
        <v>1851</v>
      </c>
      <c r="F598" s="19" t="s">
        <v>1859</v>
      </c>
      <c r="G598" s="19" t="s">
        <v>1947</v>
      </c>
      <c r="H598" s="19">
        <v>1</v>
      </c>
      <c r="I598" s="19">
        <v>1678.18</v>
      </c>
      <c r="J598" s="19">
        <v>1678.18</v>
      </c>
    </row>
    <row r="599" ht="26.75" spans="1:10">
      <c r="A599" s="18" t="s">
        <v>1936</v>
      </c>
      <c r="B599" s="19" t="s">
        <v>1874</v>
      </c>
      <c r="C599" s="19" t="s">
        <v>1849</v>
      </c>
      <c r="D599" s="19" t="s">
        <v>1850</v>
      </c>
      <c r="E599" s="19" t="s">
        <v>1851</v>
      </c>
      <c r="F599" s="19" t="s">
        <v>1876</v>
      </c>
      <c r="G599" s="19" t="s">
        <v>1926</v>
      </c>
      <c r="H599" s="19">
        <v>20</v>
      </c>
      <c r="I599" s="19">
        <v>2163.95</v>
      </c>
      <c r="J599" s="19">
        <v>43279</v>
      </c>
    </row>
    <row r="600" ht="26.75" spans="1:10">
      <c r="A600" s="18">
        <v>45058</v>
      </c>
      <c r="B600" s="19" t="s">
        <v>1867</v>
      </c>
      <c r="C600" s="19" t="s">
        <v>1849</v>
      </c>
      <c r="D600" s="19" t="s">
        <v>1850</v>
      </c>
      <c r="E600" s="19" t="s">
        <v>1851</v>
      </c>
      <c r="F600" s="19" t="s">
        <v>1852</v>
      </c>
      <c r="G600" s="19" t="s">
        <v>1853</v>
      </c>
      <c r="H600" s="19">
        <v>18</v>
      </c>
      <c r="I600" s="19">
        <v>3511.28</v>
      </c>
      <c r="J600" s="19">
        <v>63203.04</v>
      </c>
    </row>
    <row r="601" ht="15.25" spans="1:10">
      <c r="A601" s="18">
        <v>45047</v>
      </c>
      <c r="B601" s="19" t="s">
        <v>1855</v>
      </c>
      <c r="C601" s="19" t="s">
        <v>1875</v>
      </c>
      <c r="D601" s="19" t="s">
        <v>1862</v>
      </c>
      <c r="E601" s="19" t="s">
        <v>1858</v>
      </c>
      <c r="F601" s="19" t="s">
        <v>1859</v>
      </c>
      <c r="G601" s="19" t="s">
        <v>1922</v>
      </c>
      <c r="H601" s="19">
        <v>13</v>
      </c>
      <c r="I601" s="19">
        <v>2979.65</v>
      </c>
      <c r="J601" s="19">
        <v>38735.45</v>
      </c>
    </row>
    <row r="602" ht="26.75" spans="1:10">
      <c r="A602" s="18" t="s">
        <v>1951</v>
      </c>
      <c r="B602" s="19" t="s">
        <v>1892</v>
      </c>
      <c r="C602" s="19" t="s">
        <v>1849</v>
      </c>
      <c r="D602" s="19" t="s">
        <v>1850</v>
      </c>
      <c r="E602" s="19" t="s">
        <v>1851</v>
      </c>
      <c r="F602" s="19" t="s">
        <v>1865</v>
      </c>
      <c r="G602" s="19" t="s">
        <v>1886</v>
      </c>
      <c r="H602" s="19">
        <v>4</v>
      </c>
      <c r="I602" s="19">
        <v>2985.48</v>
      </c>
      <c r="J602" s="19">
        <v>11941.92</v>
      </c>
    </row>
    <row r="603" ht="15.25" spans="1:10">
      <c r="A603" s="18" t="s">
        <v>1940</v>
      </c>
      <c r="B603" s="19" t="s">
        <v>1871</v>
      </c>
      <c r="C603" s="19" t="s">
        <v>1875</v>
      </c>
      <c r="D603" s="19" t="s">
        <v>1862</v>
      </c>
      <c r="E603" s="19" t="s">
        <v>1858</v>
      </c>
      <c r="F603" s="19" t="s">
        <v>1859</v>
      </c>
      <c r="G603" s="19" t="s">
        <v>1872</v>
      </c>
      <c r="H603" s="19">
        <v>18</v>
      </c>
      <c r="I603" s="19">
        <v>3989.44</v>
      </c>
      <c r="J603" s="19">
        <v>71809.92</v>
      </c>
    </row>
    <row r="604" ht="15.25" spans="1:10">
      <c r="A604" s="18" t="s">
        <v>2068</v>
      </c>
      <c r="B604" s="19" t="s">
        <v>1871</v>
      </c>
      <c r="C604" s="19" t="s">
        <v>1610</v>
      </c>
      <c r="D604" s="19" t="s">
        <v>1879</v>
      </c>
      <c r="E604" s="19" t="s">
        <v>1851</v>
      </c>
      <c r="F604" s="19" t="s">
        <v>1876</v>
      </c>
      <c r="G604" s="19" t="s">
        <v>1930</v>
      </c>
      <c r="H604" s="19">
        <v>14</v>
      </c>
      <c r="I604" s="19">
        <v>2251.87</v>
      </c>
      <c r="J604" s="19">
        <v>31526.18</v>
      </c>
    </row>
    <row r="605" ht="15.25" spans="1:10">
      <c r="A605" s="18">
        <v>45173</v>
      </c>
      <c r="B605" s="19" t="s">
        <v>1902</v>
      </c>
      <c r="C605" s="19" t="s">
        <v>1898</v>
      </c>
      <c r="D605" s="19" t="s">
        <v>1879</v>
      </c>
      <c r="E605" s="19" t="s">
        <v>1851</v>
      </c>
      <c r="F605" s="19" t="s">
        <v>1868</v>
      </c>
      <c r="G605" s="19" t="s">
        <v>1917</v>
      </c>
      <c r="H605" s="19">
        <v>8</v>
      </c>
      <c r="I605" s="19">
        <v>2519.3</v>
      </c>
      <c r="J605" s="19">
        <v>20154.4</v>
      </c>
    </row>
    <row r="606" ht="15.25" spans="1:10">
      <c r="A606" s="18" t="s">
        <v>2067</v>
      </c>
      <c r="B606" s="19" t="s">
        <v>1861</v>
      </c>
      <c r="C606" s="19" t="s">
        <v>1875</v>
      </c>
      <c r="D606" s="19" t="s">
        <v>1862</v>
      </c>
      <c r="E606" s="19" t="s">
        <v>1858</v>
      </c>
      <c r="F606" s="19" t="s">
        <v>1865</v>
      </c>
      <c r="G606" s="19" t="s">
        <v>1866</v>
      </c>
      <c r="H606" s="19">
        <v>3</v>
      </c>
      <c r="I606" s="19">
        <v>1129.88</v>
      </c>
      <c r="J606" s="19">
        <v>3389.64</v>
      </c>
    </row>
    <row r="607" ht="15.25" spans="1:10">
      <c r="A607" s="18">
        <v>45087</v>
      </c>
      <c r="B607" s="19" t="s">
        <v>1848</v>
      </c>
      <c r="C607" s="19" t="s">
        <v>1610</v>
      </c>
      <c r="D607" s="19" t="s">
        <v>1879</v>
      </c>
      <c r="E607" s="19" t="s">
        <v>1851</v>
      </c>
      <c r="F607" s="19" t="s">
        <v>1852</v>
      </c>
      <c r="G607" s="19" t="s">
        <v>1934</v>
      </c>
      <c r="H607" s="19">
        <v>15</v>
      </c>
      <c r="I607" s="19">
        <v>4146.03</v>
      </c>
      <c r="J607" s="19">
        <v>62190.45</v>
      </c>
    </row>
    <row r="608" ht="26.75" spans="1:10">
      <c r="A608" s="18">
        <v>45113</v>
      </c>
      <c r="B608" s="19" t="s">
        <v>1892</v>
      </c>
      <c r="C608" s="19" t="s">
        <v>1849</v>
      </c>
      <c r="D608" s="19" t="s">
        <v>1850</v>
      </c>
      <c r="E608" s="19" t="s">
        <v>1851</v>
      </c>
      <c r="F608" s="19" t="s">
        <v>1852</v>
      </c>
      <c r="G608" s="19" t="s">
        <v>1910</v>
      </c>
      <c r="H608" s="19">
        <v>4</v>
      </c>
      <c r="I608" s="19">
        <v>3564.22</v>
      </c>
      <c r="J608" s="19">
        <v>14256.88</v>
      </c>
    </row>
    <row r="609" ht="15.25" spans="1:10">
      <c r="A609" s="18" t="s">
        <v>2072</v>
      </c>
      <c r="B609" s="19" t="s">
        <v>1892</v>
      </c>
      <c r="C609" s="19" t="s">
        <v>1856</v>
      </c>
      <c r="D609" s="19" t="s">
        <v>1857</v>
      </c>
      <c r="E609" s="19" t="s">
        <v>1858</v>
      </c>
      <c r="F609" s="19" t="s">
        <v>1852</v>
      </c>
      <c r="G609" s="19" t="s">
        <v>1934</v>
      </c>
      <c r="H609" s="19">
        <v>14</v>
      </c>
      <c r="I609" s="19">
        <v>414.51</v>
      </c>
      <c r="J609" s="19">
        <v>5803.14</v>
      </c>
    </row>
    <row r="610" ht="15.25" spans="1:10">
      <c r="A610" s="18" t="s">
        <v>2003</v>
      </c>
      <c r="B610" s="19" t="s">
        <v>1902</v>
      </c>
      <c r="C610" s="19" t="s">
        <v>1610</v>
      </c>
      <c r="D610" s="19" t="s">
        <v>1879</v>
      </c>
      <c r="E610" s="19" t="s">
        <v>1851</v>
      </c>
      <c r="F610" s="19" t="s">
        <v>1852</v>
      </c>
      <c r="G610" s="19" t="s">
        <v>1910</v>
      </c>
      <c r="H610" s="19">
        <v>11</v>
      </c>
      <c r="I610" s="19">
        <v>1788.39</v>
      </c>
      <c r="J610" s="19">
        <v>19672.29</v>
      </c>
    </row>
    <row r="611" ht="15.25" spans="1:10">
      <c r="A611" s="18" t="s">
        <v>1893</v>
      </c>
      <c r="B611" s="19" t="s">
        <v>1874</v>
      </c>
      <c r="C611" s="19" t="s">
        <v>1906</v>
      </c>
      <c r="D611" s="19" t="s">
        <v>1862</v>
      </c>
      <c r="E611" s="19" t="s">
        <v>1858</v>
      </c>
      <c r="F611" s="19" t="s">
        <v>1865</v>
      </c>
      <c r="G611" s="19" t="s">
        <v>1920</v>
      </c>
      <c r="H611" s="19">
        <v>6</v>
      </c>
      <c r="I611" s="19">
        <v>2867.98</v>
      </c>
      <c r="J611" s="19">
        <v>17207.88</v>
      </c>
    </row>
    <row r="612" ht="26.75" spans="1:10">
      <c r="A612" s="18" t="s">
        <v>2067</v>
      </c>
      <c r="B612" s="19" t="s">
        <v>1867</v>
      </c>
      <c r="C612" s="19" t="s">
        <v>1849</v>
      </c>
      <c r="D612" s="19" t="s">
        <v>1850</v>
      </c>
      <c r="E612" s="19" t="s">
        <v>1851</v>
      </c>
      <c r="F612" s="19" t="s">
        <v>1865</v>
      </c>
      <c r="G612" s="19" t="s">
        <v>1866</v>
      </c>
      <c r="H612" s="19">
        <v>6</v>
      </c>
      <c r="I612" s="19">
        <v>3566.53</v>
      </c>
      <c r="J612" s="19">
        <v>21399.18</v>
      </c>
    </row>
    <row r="613" ht="15.25" spans="1:10">
      <c r="A613" s="18">
        <v>45025</v>
      </c>
      <c r="B613" s="19" t="s">
        <v>1889</v>
      </c>
      <c r="C613" s="19" t="s">
        <v>1898</v>
      </c>
      <c r="D613" s="19" t="s">
        <v>1879</v>
      </c>
      <c r="E613" s="19" t="s">
        <v>1851</v>
      </c>
      <c r="F613" s="19" t="s">
        <v>1859</v>
      </c>
      <c r="G613" s="19" t="s">
        <v>1872</v>
      </c>
      <c r="H613" s="19">
        <v>13</v>
      </c>
      <c r="I613" s="19">
        <v>2669.5</v>
      </c>
      <c r="J613" s="19">
        <v>34703.5</v>
      </c>
    </row>
    <row r="614" ht="15.25" spans="1:10">
      <c r="A614" s="18">
        <v>45085</v>
      </c>
      <c r="B614" s="19" t="s">
        <v>1878</v>
      </c>
      <c r="C614" s="19" t="s">
        <v>1626</v>
      </c>
      <c r="D614" s="19" t="s">
        <v>1857</v>
      </c>
      <c r="E614" s="19" t="s">
        <v>1858</v>
      </c>
      <c r="F614" s="19" t="s">
        <v>1868</v>
      </c>
      <c r="G614" s="19" t="s">
        <v>1917</v>
      </c>
      <c r="H614" s="19">
        <v>6</v>
      </c>
      <c r="I614" s="19">
        <v>3842.46</v>
      </c>
      <c r="J614" s="19">
        <v>23054.76</v>
      </c>
    </row>
    <row r="615" ht="26.75" spans="1:10">
      <c r="A615" s="18" t="s">
        <v>1969</v>
      </c>
      <c r="B615" s="19" t="s">
        <v>1871</v>
      </c>
      <c r="C615" s="19" t="s">
        <v>1598</v>
      </c>
      <c r="D615" s="19" t="s">
        <v>1850</v>
      </c>
      <c r="E615" s="19" t="s">
        <v>1851</v>
      </c>
      <c r="F615" s="19" t="s">
        <v>1852</v>
      </c>
      <c r="G615" s="19" t="s">
        <v>1853</v>
      </c>
      <c r="H615" s="19">
        <v>13</v>
      </c>
      <c r="I615" s="19">
        <v>1419.3</v>
      </c>
      <c r="J615" s="19">
        <v>18450.9</v>
      </c>
    </row>
    <row r="616" ht="15.25" spans="1:10">
      <c r="A616" s="18">
        <v>44961</v>
      </c>
      <c r="B616" s="19" t="s">
        <v>1867</v>
      </c>
      <c r="C616" s="19" t="s">
        <v>1894</v>
      </c>
      <c r="D616" s="19" t="s">
        <v>1884</v>
      </c>
      <c r="E616" s="19" t="s">
        <v>1895</v>
      </c>
      <c r="F616" s="19" t="s">
        <v>1876</v>
      </c>
      <c r="G616" s="19" t="s">
        <v>1877</v>
      </c>
      <c r="H616" s="19">
        <v>1</v>
      </c>
      <c r="I616" s="19">
        <v>3187.31</v>
      </c>
      <c r="J616" s="19">
        <v>3187.31</v>
      </c>
    </row>
    <row r="617" ht="15.25" spans="1:10">
      <c r="A617" s="18">
        <v>44968</v>
      </c>
      <c r="B617" s="19" t="s">
        <v>1848</v>
      </c>
      <c r="C617" s="19" t="s">
        <v>1602</v>
      </c>
      <c r="D617" s="19" t="s">
        <v>1862</v>
      </c>
      <c r="E617" s="19" t="s">
        <v>1858</v>
      </c>
      <c r="F617" s="19" t="s">
        <v>1868</v>
      </c>
      <c r="G617" s="19" t="s">
        <v>1917</v>
      </c>
      <c r="H617" s="19">
        <v>12</v>
      </c>
      <c r="I617" s="19">
        <v>1837.2</v>
      </c>
      <c r="J617" s="19">
        <v>22046.4</v>
      </c>
    </row>
    <row r="618" ht="15.25" spans="1:10">
      <c r="A618" s="18" t="s">
        <v>2013</v>
      </c>
      <c r="B618" s="19" t="s">
        <v>1867</v>
      </c>
      <c r="C618" s="19" t="s">
        <v>1610</v>
      </c>
      <c r="D618" s="19" t="s">
        <v>1879</v>
      </c>
      <c r="E618" s="19" t="s">
        <v>1851</v>
      </c>
      <c r="F618" s="19" t="s">
        <v>1876</v>
      </c>
      <c r="G618" s="19" t="s">
        <v>1930</v>
      </c>
      <c r="H618" s="19">
        <v>2</v>
      </c>
      <c r="I618" s="19">
        <v>4081.92</v>
      </c>
      <c r="J618" s="19">
        <v>8163.84</v>
      </c>
    </row>
    <row r="619" ht="15.25" spans="1:10">
      <c r="A619" s="18" t="s">
        <v>2092</v>
      </c>
      <c r="B619" s="19" t="s">
        <v>1855</v>
      </c>
      <c r="C619" s="19" t="s">
        <v>1610</v>
      </c>
      <c r="D619" s="19" t="s">
        <v>1879</v>
      </c>
      <c r="E619" s="19" t="s">
        <v>1851</v>
      </c>
      <c r="F619" s="19" t="s">
        <v>1868</v>
      </c>
      <c r="G619" s="19" t="s">
        <v>1869</v>
      </c>
      <c r="H619" s="19">
        <v>20</v>
      </c>
      <c r="I619" s="19">
        <v>3184.86</v>
      </c>
      <c r="J619" s="19">
        <v>63697.2</v>
      </c>
    </row>
    <row r="620" ht="15.25" spans="1:10">
      <c r="A620" s="18" t="s">
        <v>2088</v>
      </c>
      <c r="B620" s="19" t="s">
        <v>1871</v>
      </c>
      <c r="C620" s="19" t="s">
        <v>1856</v>
      </c>
      <c r="D620" s="19" t="s">
        <v>1857</v>
      </c>
      <c r="E620" s="19" t="s">
        <v>1858</v>
      </c>
      <c r="F620" s="19" t="s">
        <v>1852</v>
      </c>
      <c r="G620" s="19" t="s">
        <v>1934</v>
      </c>
      <c r="H620" s="19">
        <v>8</v>
      </c>
      <c r="I620" s="19">
        <v>3402.24</v>
      </c>
      <c r="J620" s="19">
        <v>27217.92</v>
      </c>
    </row>
    <row r="621" ht="26.75" spans="1:10">
      <c r="A621" s="18">
        <v>44966</v>
      </c>
      <c r="B621" s="19" t="s">
        <v>1871</v>
      </c>
      <c r="C621" s="19" t="s">
        <v>1593</v>
      </c>
      <c r="D621" s="19" t="s">
        <v>1850</v>
      </c>
      <c r="E621" s="19" t="s">
        <v>1851</v>
      </c>
      <c r="F621" s="19" t="s">
        <v>1852</v>
      </c>
      <c r="G621" s="19" t="s">
        <v>1934</v>
      </c>
      <c r="H621" s="19">
        <v>10</v>
      </c>
      <c r="I621" s="19">
        <v>2750.69</v>
      </c>
      <c r="J621" s="19">
        <v>27506.9</v>
      </c>
    </row>
    <row r="622" ht="26.75" spans="1:10">
      <c r="A622" s="18">
        <v>45233</v>
      </c>
      <c r="B622" s="19" t="s">
        <v>1902</v>
      </c>
      <c r="C622" s="19" t="s">
        <v>1598</v>
      </c>
      <c r="D622" s="19" t="s">
        <v>1850</v>
      </c>
      <c r="E622" s="19" t="s">
        <v>1851</v>
      </c>
      <c r="F622" s="19" t="s">
        <v>1876</v>
      </c>
      <c r="G622" s="19" t="s">
        <v>1877</v>
      </c>
      <c r="H622" s="19">
        <v>13</v>
      </c>
      <c r="I622" s="19">
        <v>4090.9</v>
      </c>
      <c r="J622" s="19">
        <v>53181.7</v>
      </c>
    </row>
    <row r="623" ht="15.25" spans="1:10">
      <c r="A623" s="18">
        <v>45237</v>
      </c>
      <c r="B623" s="19" t="s">
        <v>1892</v>
      </c>
      <c r="C623" s="19" t="s">
        <v>1602</v>
      </c>
      <c r="D623" s="19" t="s">
        <v>1862</v>
      </c>
      <c r="E623" s="19" t="s">
        <v>1858</v>
      </c>
      <c r="F623" s="19" t="s">
        <v>1868</v>
      </c>
      <c r="G623" s="19" t="s">
        <v>1907</v>
      </c>
      <c r="H623" s="19">
        <v>3</v>
      </c>
      <c r="I623" s="19">
        <v>4234</v>
      </c>
      <c r="J623" s="19">
        <v>12702</v>
      </c>
    </row>
    <row r="624" ht="15.25" spans="1:10">
      <c r="A624" s="18">
        <v>45083</v>
      </c>
      <c r="B624" s="19" t="s">
        <v>1902</v>
      </c>
      <c r="C624" s="19" t="s">
        <v>1864</v>
      </c>
      <c r="D624" s="19" t="s">
        <v>1857</v>
      </c>
      <c r="E624" s="19" t="s">
        <v>1858</v>
      </c>
      <c r="F624" s="19" t="s">
        <v>1876</v>
      </c>
      <c r="G624" s="19" t="s">
        <v>1926</v>
      </c>
      <c r="H624" s="19">
        <v>12</v>
      </c>
      <c r="I624" s="19">
        <v>1701.3</v>
      </c>
      <c r="J624" s="19">
        <v>20415.6</v>
      </c>
    </row>
    <row r="625" ht="15.25" spans="1:10">
      <c r="A625" s="18">
        <v>45053</v>
      </c>
      <c r="B625" s="19" t="s">
        <v>1889</v>
      </c>
      <c r="C625" s="19" t="s">
        <v>1626</v>
      </c>
      <c r="D625" s="19" t="s">
        <v>1857</v>
      </c>
      <c r="E625" s="19" t="s">
        <v>1858</v>
      </c>
      <c r="F625" s="19" t="s">
        <v>1876</v>
      </c>
      <c r="G625" s="19" t="s">
        <v>1930</v>
      </c>
      <c r="H625" s="19">
        <v>18</v>
      </c>
      <c r="I625" s="19">
        <v>1599.01</v>
      </c>
      <c r="J625" s="19">
        <v>28782.18</v>
      </c>
    </row>
    <row r="626" ht="15.25" spans="1:10">
      <c r="A626" s="18" t="s">
        <v>1990</v>
      </c>
      <c r="B626" s="19" t="s">
        <v>1889</v>
      </c>
      <c r="C626" s="19" t="s">
        <v>1906</v>
      </c>
      <c r="D626" s="19" t="s">
        <v>1862</v>
      </c>
      <c r="E626" s="19" t="s">
        <v>1858</v>
      </c>
      <c r="F626" s="19" t="s">
        <v>1876</v>
      </c>
      <c r="G626" s="19" t="s">
        <v>1877</v>
      </c>
      <c r="H626" s="19">
        <v>11</v>
      </c>
      <c r="I626" s="19">
        <v>4564.73</v>
      </c>
      <c r="J626" s="19">
        <v>50212.03</v>
      </c>
    </row>
    <row r="627" ht="15.25" spans="1:10">
      <c r="A627" s="18">
        <v>44992</v>
      </c>
      <c r="B627" s="19" t="s">
        <v>1848</v>
      </c>
      <c r="C627" s="19" t="s">
        <v>1610</v>
      </c>
      <c r="D627" s="19" t="s">
        <v>1879</v>
      </c>
      <c r="E627" s="19" t="s">
        <v>1851</v>
      </c>
      <c r="F627" s="19" t="s">
        <v>1852</v>
      </c>
      <c r="G627" s="19" t="s">
        <v>1910</v>
      </c>
      <c r="H627" s="19">
        <v>14</v>
      </c>
      <c r="I627" s="19">
        <v>3507.75</v>
      </c>
      <c r="J627" s="19">
        <v>49108.5</v>
      </c>
    </row>
    <row r="628" ht="15.25" spans="1:10">
      <c r="A628" s="18" t="s">
        <v>1985</v>
      </c>
      <c r="B628" s="19" t="s">
        <v>1878</v>
      </c>
      <c r="C628" s="19" t="s">
        <v>1589</v>
      </c>
      <c r="D628" s="19" t="s">
        <v>1884</v>
      </c>
      <c r="E628" s="19" t="s">
        <v>1895</v>
      </c>
      <c r="F628" s="19" t="s">
        <v>1859</v>
      </c>
      <c r="G628" s="19" t="s">
        <v>1872</v>
      </c>
      <c r="H628" s="19">
        <v>4</v>
      </c>
      <c r="I628" s="19">
        <v>810.38</v>
      </c>
      <c r="J628" s="19">
        <v>3241.52</v>
      </c>
    </row>
    <row r="629" ht="26.75" spans="1:10">
      <c r="A629" s="18" t="s">
        <v>1916</v>
      </c>
      <c r="B629" s="19" t="s">
        <v>1848</v>
      </c>
      <c r="C629" s="19" t="s">
        <v>1598</v>
      </c>
      <c r="D629" s="19" t="s">
        <v>1850</v>
      </c>
      <c r="E629" s="19" t="s">
        <v>1851</v>
      </c>
      <c r="F629" s="19" t="s">
        <v>1876</v>
      </c>
      <c r="G629" s="19" t="s">
        <v>1926</v>
      </c>
      <c r="H629" s="19">
        <v>7</v>
      </c>
      <c r="I629" s="19">
        <v>698.8</v>
      </c>
      <c r="J629" s="19">
        <v>4891.6</v>
      </c>
    </row>
    <row r="630" ht="15.25" spans="1:10">
      <c r="A630" s="18">
        <v>45208</v>
      </c>
      <c r="B630" s="19" t="s">
        <v>1892</v>
      </c>
      <c r="C630" s="19" t="s">
        <v>1856</v>
      </c>
      <c r="D630" s="19" t="s">
        <v>1857</v>
      </c>
      <c r="E630" s="19" t="s">
        <v>1858</v>
      </c>
      <c r="F630" s="19" t="s">
        <v>1876</v>
      </c>
      <c r="G630" s="19" t="s">
        <v>1930</v>
      </c>
      <c r="H630" s="19">
        <v>14</v>
      </c>
      <c r="I630" s="19">
        <v>2833.44</v>
      </c>
      <c r="J630" s="19">
        <v>39668.16</v>
      </c>
    </row>
    <row r="631" ht="15.25" spans="1:10">
      <c r="A631" s="18" t="s">
        <v>1992</v>
      </c>
      <c r="B631" s="19" t="s">
        <v>1867</v>
      </c>
      <c r="C631" s="19" t="s">
        <v>1602</v>
      </c>
      <c r="D631" s="19" t="s">
        <v>1862</v>
      </c>
      <c r="E631" s="19" t="s">
        <v>1858</v>
      </c>
      <c r="F631" s="19" t="s">
        <v>1868</v>
      </c>
      <c r="G631" s="19" t="s">
        <v>1907</v>
      </c>
      <c r="H631" s="19">
        <v>20</v>
      </c>
      <c r="I631" s="19">
        <v>2409.68</v>
      </c>
      <c r="J631" s="19">
        <v>48193.6</v>
      </c>
    </row>
    <row r="632" ht="15.25" spans="1:10">
      <c r="A632" s="18">
        <v>45086</v>
      </c>
      <c r="B632" s="19" t="s">
        <v>1892</v>
      </c>
      <c r="C632" s="19" t="s">
        <v>1626</v>
      </c>
      <c r="D632" s="19" t="s">
        <v>1857</v>
      </c>
      <c r="E632" s="19" t="s">
        <v>1858</v>
      </c>
      <c r="F632" s="19" t="s">
        <v>1868</v>
      </c>
      <c r="G632" s="19" t="s">
        <v>1917</v>
      </c>
      <c r="H632" s="19">
        <v>17</v>
      </c>
      <c r="I632" s="19">
        <v>2448.51</v>
      </c>
      <c r="J632" s="19">
        <v>41624.67</v>
      </c>
    </row>
    <row r="633" ht="15.25" spans="1:10">
      <c r="A633" s="18">
        <v>45207</v>
      </c>
      <c r="B633" s="19" t="s">
        <v>1902</v>
      </c>
      <c r="C633" s="19" t="s">
        <v>1626</v>
      </c>
      <c r="D633" s="19" t="s">
        <v>1857</v>
      </c>
      <c r="E633" s="19" t="s">
        <v>1858</v>
      </c>
      <c r="F633" s="19" t="s">
        <v>1865</v>
      </c>
      <c r="G633" s="19" t="s">
        <v>1886</v>
      </c>
      <c r="H633" s="19">
        <v>7</v>
      </c>
      <c r="I633" s="19">
        <v>4029.58</v>
      </c>
      <c r="J633" s="19">
        <v>28207.06</v>
      </c>
    </row>
    <row r="634" ht="15.25" spans="1:10">
      <c r="A634" s="18" t="s">
        <v>2074</v>
      </c>
      <c r="B634" s="19" t="s">
        <v>1867</v>
      </c>
      <c r="C634" s="19" t="s">
        <v>1864</v>
      </c>
      <c r="D634" s="19" t="s">
        <v>1857</v>
      </c>
      <c r="E634" s="19" t="s">
        <v>1858</v>
      </c>
      <c r="F634" s="19" t="s">
        <v>1868</v>
      </c>
      <c r="G634" s="19" t="s">
        <v>1899</v>
      </c>
      <c r="H634" s="19">
        <v>15</v>
      </c>
      <c r="I634" s="19">
        <v>3999.29</v>
      </c>
      <c r="J634" s="19">
        <v>59989.35</v>
      </c>
    </row>
    <row r="635" ht="15.25" spans="1:10">
      <c r="A635" s="18" t="s">
        <v>2025</v>
      </c>
      <c r="B635" s="19" t="s">
        <v>1874</v>
      </c>
      <c r="C635" s="19" t="s">
        <v>1875</v>
      </c>
      <c r="D635" s="19" t="s">
        <v>1862</v>
      </c>
      <c r="E635" s="19" t="s">
        <v>1858</v>
      </c>
      <c r="F635" s="19" t="s">
        <v>1859</v>
      </c>
      <c r="G635" s="19" t="s">
        <v>1922</v>
      </c>
      <c r="H635" s="19">
        <v>17</v>
      </c>
      <c r="I635" s="19">
        <v>583.88</v>
      </c>
      <c r="J635" s="19">
        <v>9925.96</v>
      </c>
    </row>
    <row r="636" ht="15.25" spans="1:10">
      <c r="A636" s="18">
        <v>44965</v>
      </c>
      <c r="B636" s="19" t="s">
        <v>1902</v>
      </c>
      <c r="C636" s="19" t="s">
        <v>1898</v>
      </c>
      <c r="D636" s="19" t="s">
        <v>1879</v>
      </c>
      <c r="E636" s="19" t="s">
        <v>1851</v>
      </c>
      <c r="F636" s="19" t="s">
        <v>1865</v>
      </c>
      <c r="G636" s="19" t="s">
        <v>1890</v>
      </c>
      <c r="H636" s="19">
        <v>7</v>
      </c>
      <c r="I636" s="19">
        <v>1319.32</v>
      </c>
      <c r="J636" s="19">
        <v>9235.24</v>
      </c>
    </row>
    <row r="637" ht="26.75" spans="1:10">
      <c r="A637" s="18" t="s">
        <v>2016</v>
      </c>
      <c r="B637" s="19" t="s">
        <v>1871</v>
      </c>
      <c r="C637" s="19" t="s">
        <v>1849</v>
      </c>
      <c r="D637" s="19" t="s">
        <v>1850</v>
      </c>
      <c r="E637" s="19" t="s">
        <v>1851</v>
      </c>
      <c r="F637" s="19" t="s">
        <v>1852</v>
      </c>
      <c r="G637" s="19" t="s">
        <v>1950</v>
      </c>
      <c r="H637" s="19">
        <v>15</v>
      </c>
      <c r="I637" s="19">
        <v>2698.6</v>
      </c>
      <c r="J637" s="19">
        <v>40479</v>
      </c>
    </row>
    <row r="638" ht="15.25" spans="1:10">
      <c r="A638" s="18" t="s">
        <v>1959</v>
      </c>
      <c r="B638" s="19" t="s">
        <v>1861</v>
      </c>
      <c r="C638" s="19" t="s">
        <v>1602</v>
      </c>
      <c r="D638" s="19" t="s">
        <v>1862</v>
      </c>
      <c r="E638" s="19" t="s">
        <v>1858</v>
      </c>
      <c r="F638" s="19" t="s">
        <v>1859</v>
      </c>
      <c r="G638" s="19" t="s">
        <v>1922</v>
      </c>
      <c r="H638" s="19">
        <v>19</v>
      </c>
      <c r="I638" s="19">
        <v>4364.64</v>
      </c>
      <c r="J638" s="19">
        <v>82928.16</v>
      </c>
    </row>
    <row r="639" ht="15.25" spans="1:10">
      <c r="A639" s="18" t="s">
        <v>2042</v>
      </c>
      <c r="B639" s="19" t="s">
        <v>1889</v>
      </c>
      <c r="C639" s="19" t="s">
        <v>1864</v>
      </c>
      <c r="D639" s="19" t="s">
        <v>1857</v>
      </c>
      <c r="E639" s="19" t="s">
        <v>1858</v>
      </c>
      <c r="F639" s="19" t="s">
        <v>1852</v>
      </c>
      <c r="G639" s="19" t="s">
        <v>1910</v>
      </c>
      <c r="H639" s="19">
        <v>8</v>
      </c>
      <c r="I639" s="19">
        <v>4740.97</v>
      </c>
      <c r="J639" s="19">
        <v>37927.76</v>
      </c>
    </row>
    <row r="640" ht="15.25" spans="1:10">
      <c r="A640" s="18" t="s">
        <v>1980</v>
      </c>
      <c r="B640" s="19" t="s">
        <v>1871</v>
      </c>
      <c r="C640" s="19" t="s">
        <v>1875</v>
      </c>
      <c r="D640" s="19" t="s">
        <v>1862</v>
      </c>
      <c r="E640" s="19" t="s">
        <v>1858</v>
      </c>
      <c r="F640" s="19" t="s">
        <v>1859</v>
      </c>
      <c r="G640" s="19" t="s">
        <v>1922</v>
      </c>
      <c r="H640" s="19">
        <v>4</v>
      </c>
      <c r="I640" s="19">
        <v>917.97</v>
      </c>
      <c r="J640" s="19">
        <v>3671.88</v>
      </c>
    </row>
    <row r="641" ht="15.25" spans="1:10">
      <c r="A641" s="18">
        <v>45174</v>
      </c>
      <c r="B641" s="19" t="s">
        <v>1871</v>
      </c>
      <c r="C641" s="19" t="s">
        <v>1898</v>
      </c>
      <c r="D641" s="19" t="s">
        <v>1879</v>
      </c>
      <c r="E641" s="19" t="s">
        <v>1851</v>
      </c>
      <c r="F641" s="19" t="s">
        <v>1865</v>
      </c>
      <c r="G641" s="19" t="s">
        <v>1886</v>
      </c>
      <c r="H641" s="19">
        <v>10</v>
      </c>
      <c r="I641" s="19">
        <v>224.53</v>
      </c>
      <c r="J641" s="19">
        <v>2245.3</v>
      </c>
    </row>
    <row r="642" ht="15.25" spans="1:10">
      <c r="A642" s="18" t="s">
        <v>2093</v>
      </c>
      <c r="B642" s="19" t="s">
        <v>1855</v>
      </c>
      <c r="C642" s="19" t="s">
        <v>1589</v>
      </c>
      <c r="D642" s="19" t="s">
        <v>1884</v>
      </c>
      <c r="E642" s="19" t="s">
        <v>1895</v>
      </c>
      <c r="F642" s="19" t="s">
        <v>1859</v>
      </c>
      <c r="G642" s="19" t="s">
        <v>1922</v>
      </c>
      <c r="H642" s="19">
        <v>1</v>
      </c>
      <c r="I642" s="19">
        <v>3246.08</v>
      </c>
      <c r="J642" s="19">
        <v>3246.08</v>
      </c>
    </row>
    <row r="643" ht="26.75" spans="1:10">
      <c r="A643" s="18" t="s">
        <v>1982</v>
      </c>
      <c r="B643" s="19" t="s">
        <v>1861</v>
      </c>
      <c r="C643" s="19" t="s">
        <v>1849</v>
      </c>
      <c r="D643" s="19" t="s">
        <v>1850</v>
      </c>
      <c r="E643" s="19" t="s">
        <v>1851</v>
      </c>
      <c r="F643" s="19" t="s">
        <v>1852</v>
      </c>
      <c r="G643" s="19" t="s">
        <v>1950</v>
      </c>
      <c r="H643" s="19">
        <v>16</v>
      </c>
      <c r="I643" s="19">
        <v>1411.33</v>
      </c>
      <c r="J643" s="19">
        <v>22581.28</v>
      </c>
    </row>
    <row r="644" ht="15.25" spans="1:10">
      <c r="A644" s="18">
        <v>45051</v>
      </c>
      <c r="B644" s="19" t="s">
        <v>1848</v>
      </c>
      <c r="C644" s="19" t="s">
        <v>1626</v>
      </c>
      <c r="D644" s="19" t="s">
        <v>1857</v>
      </c>
      <c r="E644" s="19" t="s">
        <v>1858</v>
      </c>
      <c r="F644" s="19" t="s">
        <v>1865</v>
      </c>
      <c r="G644" s="19" t="s">
        <v>1920</v>
      </c>
      <c r="H644" s="19">
        <v>19</v>
      </c>
      <c r="I644" s="19">
        <v>2174.06</v>
      </c>
      <c r="J644" s="19">
        <v>41307.14</v>
      </c>
    </row>
    <row r="645" ht="15.25" spans="1:10">
      <c r="A645" s="18">
        <v>45203</v>
      </c>
      <c r="B645" s="19" t="s">
        <v>1848</v>
      </c>
      <c r="C645" s="19" t="s">
        <v>1864</v>
      </c>
      <c r="D645" s="19" t="s">
        <v>1857</v>
      </c>
      <c r="E645" s="19" t="s">
        <v>1858</v>
      </c>
      <c r="F645" s="19" t="s">
        <v>1868</v>
      </c>
      <c r="G645" s="19" t="s">
        <v>1899</v>
      </c>
      <c r="H645" s="19">
        <v>2</v>
      </c>
      <c r="I645" s="19">
        <v>1194.4</v>
      </c>
      <c r="J645" s="19">
        <v>2388.8</v>
      </c>
    </row>
    <row r="646" ht="15.25" spans="1:10">
      <c r="A646" s="18" t="s">
        <v>2090</v>
      </c>
      <c r="B646" s="19" t="s">
        <v>1892</v>
      </c>
      <c r="C646" s="19" t="s">
        <v>1898</v>
      </c>
      <c r="D646" s="19" t="s">
        <v>1879</v>
      </c>
      <c r="E646" s="19" t="s">
        <v>1851</v>
      </c>
      <c r="F646" s="19" t="s">
        <v>1865</v>
      </c>
      <c r="G646" s="19" t="s">
        <v>1886</v>
      </c>
      <c r="H646" s="19">
        <v>2</v>
      </c>
      <c r="I646" s="19">
        <v>3726.58</v>
      </c>
      <c r="J646" s="19">
        <v>7453.16</v>
      </c>
    </row>
    <row r="647" ht="15.25" spans="1:10">
      <c r="A647" s="18">
        <v>45144</v>
      </c>
      <c r="B647" s="19" t="s">
        <v>1874</v>
      </c>
      <c r="C647" s="19" t="s">
        <v>1626</v>
      </c>
      <c r="D647" s="19" t="s">
        <v>1857</v>
      </c>
      <c r="E647" s="19" t="s">
        <v>1858</v>
      </c>
      <c r="F647" s="19" t="s">
        <v>1852</v>
      </c>
      <c r="G647" s="19" t="s">
        <v>1934</v>
      </c>
      <c r="H647" s="19">
        <v>5</v>
      </c>
      <c r="I647" s="19">
        <v>1599.65</v>
      </c>
      <c r="J647" s="19">
        <v>7998.25</v>
      </c>
    </row>
    <row r="648" ht="15.25" spans="1:10">
      <c r="A648" s="18" t="s">
        <v>1893</v>
      </c>
      <c r="B648" s="19" t="s">
        <v>1889</v>
      </c>
      <c r="C648" s="19" t="s">
        <v>1903</v>
      </c>
      <c r="D648" s="19" t="s">
        <v>1884</v>
      </c>
      <c r="E648" s="19" t="s">
        <v>1895</v>
      </c>
      <c r="F648" s="19" t="s">
        <v>1852</v>
      </c>
      <c r="G648" s="19" t="s">
        <v>1853</v>
      </c>
      <c r="H648" s="19">
        <v>16</v>
      </c>
      <c r="I648" s="19">
        <v>1628.19</v>
      </c>
      <c r="J648" s="19">
        <v>26051.04</v>
      </c>
    </row>
    <row r="649" ht="15.25" spans="1:10">
      <c r="A649" s="18" t="s">
        <v>2032</v>
      </c>
      <c r="B649" s="19" t="s">
        <v>1889</v>
      </c>
      <c r="C649" s="19" t="s">
        <v>1602</v>
      </c>
      <c r="D649" s="19" t="s">
        <v>1862</v>
      </c>
      <c r="E649" s="19" t="s">
        <v>1858</v>
      </c>
      <c r="F649" s="19" t="s">
        <v>1865</v>
      </c>
      <c r="G649" s="19" t="s">
        <v>1890</v>
      </c>
      <c r="H649" s="19">
        <v>17</v>
      </c>
      <c r="I649" s="19">
        <v>3381.75</v>
      </c>
      <c r="J649" s="19">
        <v>57489.75</v>
      </c>
    </row>
    <row r="650" ht="15.25" spans="1:10">
      <c r="A650" s="18" t="s">
        <v>1952</v>
      </c>
      <c r="B650" s="19" t="s">
        <v>1855</v>
      </c>
      <c r="C650" s="19" t="s">
        <v>1875</v>
      </c>
      <c r="D650" s="19" t="s">
        <v>1862</v>
      </c>
      <c r="E650" s="19" t="s">
        <v>1858</v>
      </c>
      <c r="F650" s="19" t="s">
        <v>1859</v>
      </c>
      <c r="G650" s="19" t="s">
        <v>1860</v>
      </c>
      <c r="H650" s="19">
        <v>18</v>
      </c>
      <c r="I650" s="19">
        <v>3627.09</v>
      </c>
      <c r="J650" s="19">
        <v>65287.62</v>
      </c>
    </row>
    <row r="651" ht="15.25" spans="1:10">
      <c r="A651" s="18" t="s">
        <v>1972</v>
      </c>
      <c r="B651" s="19" t="s">
        <v>1848</v>
      </c>
      <c r="C651" s="19" t="s">
        <v>1898</v>
      </c>
      <c r="D651" s="19" t="s">
        <v>1879</v>
      </c>
      <c r="E651" s="19" t="s">
        <v>1851</v>
      </c>
      <c r="F651" s="19" t="s">
        <v>1868</v>
      </c>
      <c r="G651" s="19" t="s">
        <v>1869</v>
      </c>
      <c r="H651" s="19">
        <v>2</v>
      </c>
      <c r="I651" s="19">
        <v>3106.64</v>
      </c>
      <c r="J651" s="19">
        <v>6213.28</v>
      </c>
    </row>
    <row r="652" ht="26.75" spans="1:10">
      <c r="A652" s="18">
        <v>45202</v>
      </c>
      <c r="B652" s="19" t="s">
        <v>1848</v>
      </c>
      <c r="C652" s="19" t="s">
        <v>1598</v>
      </c>
      <c r="D652" s="19" t="s">
        <v>1850</v>
      </c>
      <c r="E652" s="19" t="s">
        <v>1851</v>
      </c>
      <c r="F652" s="19" t="s">
        <v>1876</v>
      </c>
      <c r="G652" s="19" t="s">
        <v>1883</v>
      </c>
      <c r="H652" s="19">
        <v>15</v>
      </c>
      <c r="I652" s="19">
        <v>4310.01</v>
      </c>
      <c r="J652" s="19">
        <v>64650.15</v>
      </c>
    </row>
    <row r="653" ht="15.25" spans="1:10">
      <c r="A653" s="18">
        <v>44988</v>
      </c>
      <c r="B653" s="19" t="s">
        <v>1878</v>
      </c>
      <c r="C653" s="19" t="s">
        <v>1941</v>
      </c>
      <c r="D653" s="19" t="s">
        <v>1879</v>
      </c>
      <c r="E653" s="19" t="s">
        <v>1851</v>
      </c>
      <c r="F653" s="19" t="s">
        <v>1852</v>
      </c>
      <c r="G653" s="19" t="s">
        <v>1853</v>
      </c>
      <c r="H653" s="19">
        <v>14</v>
      </c>
      <c r="I653" s="19">
        <v>3352.19</v>
      </c>
      <c r="J653" s="19">
        <v>46930.66</v>
      </c>
    </row>
    <row r="654" ht="15.25" spans="1:10">
      <c r="A654" s="18" t="s">
        <v>2054</v>
      </c>
      <c r="B654" s="19" t="s">
        <v>1867</v>
      </c>
      <c r="C654" s="19" t="s">
        <v>1903</v>
      </c>
      <c r="D654" s="19" t="s">
        <v>1884</v>
      </c>
      <c r="E654" s="19" t="s">
        <v>1895</v>
      </c>
      <c r="F654" s="19" t="s">
        <v>1876</v>
      </c>
      <c r="G654" s="19" t="s">
        <v>1926</v>
      </c>
      <c r="H654" s="19">
        <v>18</v>
      </c>
      <c r="I654" s="19">
        <v>214.47</v>
      </c>
      <c r="J654" s="19">
        <v>3860.46</v>
      </c>
    </row>
    <row r="655" ht="15.25" spans="1:10">
      <c r="A655" s="18" t="s">
        <v>1992</v>
      </c>
      <c r="B655" s="19" t="s">
        <v>1848</v>
      </c>
      <c r="C655" s="19" t="s">
        <v>1906</v>
      </c>
      <c r="D655" s="19" t="s">
        <v>1862</v>
      </c>
      <c r="E655" s="19" t="s">
        <v>1858</v>
      </c>
      <c r="F655" s="19" t="s">
        <v>1868</v>
      </c>
      <c r="G655" s="19" t="s">
        <v>1869</v>
      </c>
      <c r="H655" s="19">
        <v>3</v>
      </c>
      <c r="I655" s="19">
        <v>1810.87</v>
      </c>
      <c r="J655" s="19">
        <v>5432.61</v>
      </c>
    </row>
    <row r="656" ht="15.25" spans="1:10">
      <c r="A656" s="18" t="s">
        <v>1974</v>
      </c>
      <c r="B656" s="19" t="s">
        <v>1892</v>
      </c>
      <c r="C656" s="19" t="s">
        <v>1894</v>
      </c>
      <c r="D656" s="19" t="s">
        <v>1884</v>
      </c>
      <c r="E656" s="19" t="s">
        <v>1895</v>
      </c>
      <c r="F656" s="19" t="s">
        <v>1852</v>
      </c>
      <c r="G656" s="19" t="s">
        <v>1934</v>
      </c>
      <c r="H656" s="19">
        <v>3</v>
      </c>
      <c r="I656" s="19">
        <v>1105.46</v>
      </c>
      <c r="J656" s="19">
        <v>3316.38</v>
      </c>
    </row>
    <row r="657" ht="26.75" spans="1:10">
      <c r="A657" s="18" t="s">
        <v>2092</v>
      </c>
      <c r="B657" s="19" t="s">
        <v>1902</v>
      </c>
      <c r="C657" s="19" t="s">
        <v>1593</v>
      </c>
      <c r="D657" s="19" t="s">
        <v>1850</v>
      </c>
      <c r="E657" s="19" t="s">
        <v>1851</v>
      </c>
      <c r="F657" s="19" t="s">
        <v>1868</v>
      </c>
      <c r="G657" s="19" t="s">
        <v>1899</v>
      </c>
      <c r="H657" s="19">
        <v>10</v>
      </c>
      <c r="I657" s="19">
        <v>3707.43</v>
      </c>
      <c r="J657" s="19">
        <v>37074.3</v>
      </c>
    </row>
    <row r="658" ht="15.25" spans="1:10">
      <c r="A658" s="18">
        <v>45209</v>
      </c>
      <c r="B658" s="19" t="s">
        <v>1889</v>
      </c>
      <c r="C658" s="19" t="s">
        <v>1864</v>
      </c>
      <c r="D658" s="19" t="s">
        <v>1857</v>
      </c>
      <c r="E658" s="19" t="s">
        <v>1858</v>
      </c>
      <c r="F658" s="19" t="s">
        <v>1876</v>
      </c>
      <c r="G658" s="19" t="s">
        <v>1926</v>
      </c>
      <c r="H658" s="19">
        <v>18</v>
      </c>
      <c r="I658" s="19">
        <v>584.4</v>
      </c>
      <c r="J658" s="19">
        <v>10519.2</v>
      </c>
    </row>
    <row r="659" ht="15.25" spans="1:10">
      <c r="A659" s="18" t="s">
        <v>2076</v>
      </c>
      <c r="B659" s="19" t="s">
        <v>1855</v>
      </c>
      <c r="C659" s="19" t="s">
        <v>1906</v>
      </c>
      <c r="D659" s="19" t="s">
        <v>1862</v>
      </c>
      <c r="E659" s="19" t="s">
        <v>1858</v>
      </c>
      <c r="F659" s="19" t="s">
        <v>1852</v>
      </c>
      <c r="G659" s="19" t="s">
        <v>1934</v>
      </c>
      <c r="H659" s="19">
        <v>1</v>
      </c>
      <c r="I659" s="19">
        <v>2498.74</v>
      </c>
      <c r="J659" s="19">
        <v>2498.74</v>
      </c>
    </row>
    <row r="660" ht="15.25" spans="1:10">
      <c r="A660" s="18">
        <v>45110</v>
      </c>
      <c r="B660" s="19" t="s">
        <v>1871</v>
      </c>
      <c r="C660" s="19" t="s">
        <v>1602</v>
      </c>
      <c r="D660" s="19" t="s">
        <v>1862</v>
      </c>
      <c r="E660" s="19" t="s">
        <v>1858</v>
      </c>
      <c r="F660" s="19" t="s">
        <v>1876</v>
      </c>
      <c r="G660" s="19" t="s">
        <v>1926</v>
      </c>
      <c r="H660" s="19">
        <v>17</v>
      </c>
      <c r="I660" s="19">
        <v>2460.73</v>
      </c>
      <c r="J660" s="19">
        <v>41832.41</v>
      </c>
    </row>
    <row r="661" ht="26.75" spans="1:10">
      <c r="A661" s="18">
        <v>45261</v>
      </c>
      <c r="B661" s="19" t="s">
        <v>1892</v>
      </c>
      <c r="C661" s="19" t="s">
        <v>1849</v>
      </c>
      <c r="D661" s="19" t="s">
        <v>1850</v>
      </c>
      <c r="E661" s="19" t="s">
        <v>1851</v>
      </c>
      <c r="F661" s="19" t="s">
        <v>1852</v>
      </c>
      <c r="G661" s="19" t="s">
        <v>1853</v>
      </c>
      <c r="H661" s="19">
        <v>13</v>
      </c>
      <c r="I661" s="19">
        <v>4630.98</v>
      </c>
      <c r="J661" s="19">
        <v>60202.74</v>
      </c>
    </row>
    <row r="662" ht="15.25" spans="1:10">
      <c r="A662" s="18">
        <v>45241</v>
      </c>
      <c r="B662" s="19" t="s">
        <v>1867</v>
      </c>
      <c r="C662" s="19" t="s">
        <v>1602</v>
      </c>
      <c r="D662" s="19" t="s">
        <v>1862</v>
      </c>
      <c r="E662" s="19" t="s">
        <v>1858</v>
      </c>
      <c r="F662" s="19" t="s">
        <v>1876</v>
      </c>
      <c r="G662" s="19" t="s">
        <v>1930</v>
      </c>
      <c r="H662" s="19">
        <v>3</v>
      </c>
      <c r="I662" s="19">
        <v>4324.88</v>
      </c>
      <c r="J662" s="19">
        <v>12974.64</v>
      </c>
    </row>
    <row r="663" ht="15.25" spans="1:10">
      <c r="A663" s="18">
        <v>45270</v>
      </c>
      <c r="B663" s="19" t="s">
        <v>1848</v>
      </c>
      <c r="C663" s="19" t="s">
        <v>1894</v>
      </c>
      <c r="D663" s="19" t="s">
        <v>1884</v>
      </c>
      <c r="E663" s="19" t="s">
        <v>1895</v>
      </c>
      <c r="F663" s="19" t="s">
        <v>1876</v>
      </c>
      <c r="G663" s="19" t="s">
        <v>1930</v>
      </c>
      <c r="H663" s="19">
        <v>20</v>
      </c>
      <c r="I663" s="19">
        <v>4049.4</v>
      </c>
      <c r="J663" s="19">
        <v>80988</v>
      </c>
    </row>
    <row r="664" ht="15.25" spans="1:10">
      <c r="A664" s="18">
        <v>45148</v>
      </c>
      <c r="B664" s="19" t="s">
        <v>1855</v>
      </c>
      <c r="C664" s="19" t="s">
        <v>1941</v>
      </c>
      <c r="D664" s="19" t="s">
        <v>1879</v>
      </c>
      <c r="E664" s="19" t="s">
        <v>1851</v>
      </c>
      <c r="F664" s="19" t="s">
        <v>1868</v>
      </c>
      <c r="G664" s="19" t="s">
        <v>1917</v>
      </c>
      <c r="H664" s="19">
        <v>16</v>
      </c>
      <c r="I664" s="19">
        <v>2347.21</v>
      </c>
      <c r="J664" s="19">
        <v>37555.36</v>
      </c>
    </row>
    <row r="665" ht="26.75" spans="1:10">
      <c r="A665" s="18" t="s">
        <v>1939</v>
      </c>
      <c r="B665" s="19" t="s">
        <v>1855</v>
      </c>
      <c r="C665" s="19" t="s">
        <v>1598</v>
      </c>
      <c r="D665" s="19" t="s">
        <v>1850</v>
      </c>
      <c r="E665" s="19" t="s">
        <v>1851</v>
      </c>
      <c r="F665" s="19" t="s">
        <v>1865</v>
      </c>
      <c r="G665" s="19" t="s">
        <v>1920</v>
      </c>
      <c r="H665" s="19">
        <v>2</v>
      </c>
      <c r="I665" s="19">
        <v>3743.52</v>
      </c>
      <c r="J665" s="19">
        <v>7487.04</v>
      </c>
    </row>
    <row r="666" ht="15.25" spans="1:10">
      <c r="A666" s="18" t="s">
        <v>1962</v>
      </c>
      <c r="B666" s="19" t="s">
        <v>1861</v>
      </c>
      <c r="C666" s="19" t="s">
        <v>1875</v>
      </c>
      <c r="D666" s="19" t="s">
        <v>1862</v>
      </c>
      <c r="E666" s="19" t="s">
        <v>1858</v>
      </c>
      <c r="F666" s="19" t="s">
        <v>1868</v>
      </c>
      <c r="G666" s="19" t="s">
        <v>1907</v>
      </c>
      <c r="H666" s="19">
        <v>8</v>
      </c>
      <c r="I666" s="19">
        <v>303.48</v>
      </c>
      <c r="J666" s="19">
        <v>2427.84</v>
      </c>
    </row>
    <row r="667" ht="15.25" spans="1:10">
      <c r="A667" s="18" t="s">
        <v>2074</v>
      </c>
      <c r="B667" s="19" t="s">
        <v>1889</v>
      </c>
      <c r="C667" s="19" t="s">
        <v>1856</v>
      </c>
      <c r="D667" s="19" t="s">
        <v>1857</v>
      </c>
      <c r="E667" s="19" t="s">
        <v>1858</v>
      </c>
      <c r="F667" s="19" t="s">
        <v>1852</v>
      </c>
      <c r="G667" s="19" t="s">
        <v>1910</v>
      </c>
      <c r="H667" s="19">
        <v>7</v>
      </c>
      <c r="I667" s="19">
        <v>1373.41</v>
      </c>
      <c r="J667" s="19">
        <v>9613.87</v>
      </c>
    </row>
    <row r="668" ht="15.25" spans="1:10">
      <c r="A668" s="18" t="s">
        <v>2094</v>
      </c>
      <c r="B668" s="19" t="s">
        <v>1889</v>
      </c>
      <c r="C668" s="19" t="s">
        <v>1903</v>
      </c>
      <c r="D668" s="19" t="s">
        <v>1884</v>
      </c>
      <c r="E668" s="19" t="s">
        <v>1895</v>
      </c>
      <c r="F668" s="19" t="s">
        <v>1876</v>
      </c>
      <c r="G668" s="19" t="s">
        <v>1926</v>
      </c>
      <c r="H668" s="19">
        <v>10</v>
      </c>
      <c r="I668" s="19">
        <v>3048.2</v>
      </c>
      <c r="J668" s="19">
        <v>30482</v>
      </c>
    </row>
    <row r="669" ht="15.25" spans="1:10">
      <c r="A669" s="18" t="s">
        <v>2095</v>
      </c>
      <c r="B669" s="19" t="s">
        <v>1892</v>
      </c>
      <c r="C669" s="19" t="s">
        <v>1610</v>
      </c>
      <c r="D669" s="19" t="s">
        <v>1879</v>
      </c>
      <c r="E669" s="19" t="s">
        <v>1851</v>
      </c>
      <c r="F669" s="19" t="s">
        <v>1852</v>
      </c>
      <c r="G669" s="19" t="s">
        <v>1910</v>
      </c>
      <c r="H669" s="19">
        <v>20</v>
      </c>
      <c r="I669" s="19">
        <v>2818.78</v>
      </c>
      <c r="J669" s="19">
        <v>56375.6</v>
      </c>
    </row>
    <row r="670" ht="26.75" spans="1:10">
      <c r="A670" s="18">
        <v>45027</v>
      </c>
      <c r="B670" s="19" t="s">
        <v>1855</v>
      </c>
      <c r="C670" s="19" t="s">
        <v>1598</v>
      </c>
      <c r="D670" s="19" t="s">
        <v>1850</v>
      </c>
      <c r="E670" s="19" t="s">
        <v>1851</v>
      </c>
      <c r="F670" s="19" t="s">
        <v>1865</v>
      </c>
      <c r="G670" s="19" t="s">
        <v>1920</v>
      </c>
      <c r="H670" s="19">
        <v>1</v>
      </c>
      <c r="I670" s="19">
        <v>4647.3</v>
      </c>
      <c r="J670" s="19">
        <v>4647.3</v>
      </c>
    </row>
    <row r="671" ht="15.25" spans="1:10">
      <c r="A671" s="18">
        <v>45109</v>
      </c>
      <c r="B671" s="19" t="s">
        <v>1861</v>
      </c>
      <c r="C671" s="19" t="s">
        <v>1898</v>
      </c>
      <c r="D671" s="19" t="s">
        <v>1879</v>
      </c>
      <c r="E671" s="19" t="s">
        <v>1851</v>
      </c>
      <c r="F671" s="19" t="s">
        <v>1865</v>
      </c>
      <c r="G671" s="19" t="s">
        <v>1866</v>
      </c>
      <c r="H671" s="19">
        <v>20</v>
      </c>
      <c r="I671" s="19">
        <v>2302.47</v>
      </c>
      <c r="J671" s="19">
        <v>46049.4</v>
      </c>
    </row>
    <row r="672" ht="15.25" spans="1:10">
      <c r="A672" s="18" t="s">
        <v>1985</v>
      </c>
      <c r="B672" s="19" t="s">
        <v>1902</v>
      </c>
      <c r="C672" s="19" t="s">
        <v>1903</v>
      </c>
      <c r="D672" s="19" t="s">
        <v>1884</v>
      </c>
      <c r="E672" s="19" t="s">
        <v>1895</v>
      </c>
      <c r="F672" s="19" t="s">
        <v>1852</v>
      </c>
      <c r="G672" s="19" t="s">
        <v>1910</v>
      </c>
      <c r="H672" s="19">
        <v>17</v>
      </c>
      <c r="I672" s="19">
        <v>2805.45</v>
      </c>
      <c r="J672" s="19">
        <v>47692.65</v>
      </c>
    </row>
    <row r="673" ht="15.25" spans="1:10">
      <c r="A673" s="18" t="s">
        <v>2096</v>
      </c>
      <c r="B673" s="19" t="s">
        <v>1902</v>
      </c>
      <c r="C673" s="19" t="s">
        <v>1856</v>
      </c>
      <c r="D673" s="19" t="s">
        <v>1857</v>
      </c>
      <c r="E673" s="19" t="s">
        <v>1858</v>
      </c>
      <c r="F673" s="19" t="s">
        <v>1876</v>
      </c>
      <c r="G673" s="19" t="s">
        <v>1883</v>
      </c>
      <c r="H673" s="19">
        <v>3</v>
      </c>
      <c r="I673" s="19">
        <v>413.26</v>
      </c>
      <c r="J673" s="19">
        <v>1239.78</v>
      </c>
    </row>
    <row r="674" ht="15.25" spans="1:10">
      <c r="A674" s="18" t="s">
        <v>2089</v>
      </c>
      <c r="B674" s="19" t="s">
        <v>1871</v>
      </c>
      <c r="C674" s="19" t="s">
        <v>1898</v>
      </c>
      <c r="D674" s="19" t="s">
        <v>1879</v>
      </c>
      <c r="E674" s="19" t="s">
        <v>1851</v>
      </c>
      <c r="F674" s="19" t="s">
        <v>1865</v>
      </c>
      <c r="G674" s="19" t="s">
        <v>1886</v>
      </c>
      <c r="H674" s="19">
        <v>17</v>
      </c>
      <c r="I674" s="19">
        <v>3203.04</v>
      </c>
      <c r="J674" s="19">
        <v>54451.68</v>
      </c>
    </row>
    <row r="675" ht="15.25" spans="1:10">
      <c r="A675" s="18" t="s">
        <v>2096</v>
      </c>
      <c r="B675" s="19" t="s">
        <v>1874</v>
      </c>
      <c r="C675" s="19" t="s">
        <v>1610</v>
      </c>
      <c r="D675" s="19" t="s">
        <v>1879</v>
      </c>
      <c r="E675" s="19" t="s">
        <v>1851</v>
      </c>
      <c r="F675" s="19" t="s">
        <v>1865</v>
      </c>
      <c r="G675" s="19" t="s">
        <v>1866</v>
      </c>
      <c r="H675" s="19">
        <v>4</v>
      </c>
      <c r="I675" s="19">
        <v>1906.89</v>
      </c>
      <c r="J675" s="19">
        <v>7627.56</v>
      </c>
    </row>
    <row r="676" ht="15.25" spans="1:10">
      <c r="A676" s="18" t="s">
        <v>1948</v>
      </c>
      <c r="B676" s="19" t="s">
        <v>1892</v>
      </c>
      <c r="C676" s="19" t="s">
        <v>1894</v>
      </c>
      <c r="D676" s="19" t="s">
        <v>1884</v>
      </c>
      <c r="E676" s="19" t="s">
        <v>1895</v>
      </c>
      <c r="F676" s="19" t="s">
        <v>1868</v>
      </c>
      <c r="G676" s="19" t="s">
        <v>1917</v>
      </c>
      <c r="H676" s="19">
        <v>14</v>
      </c>
      <c r="I676" s="19">
        <v>3829.68</v>
      </c>
      <c r="J676" s="19">
        <v>53615.52</v>
      </c>
    </row>
    <row r="677" ht="15.25" spans="1:10">
      <c r="A677" s="18" t="s">
        <v>2097</v>
      </c>
      <c r="B677" s="19" t="s">
        <v>1855</v>
      </c>
      <c r="C677" s="19" t="s">
        <v>1626</v>
      </c>
      <c r="D677" s="19" t="s">
        <v>1857</v>
      </c>
      <c r="E677" s="19" t="s">
        <v>1858</v>
      </c>
      <c r="F677" s="19" t="s">
        <v>1859</v>
      </c>
      <c r="G677" s="19" t="s">
        <v>1860</v>
      </c>
      <c r="H677" s="19">
        <v>19</v>
      </c>
      <c r="I677" s="19">
        <v>2636.08</v>
      </c>
      <c r="J677" s="19">
        <v>50085.52</v>
      </c>
    </row>
    <row r="678" ht="15.25" spans="1:10">
      <c r="A678" s="18">
        <v>45238</v>
      </c>
      <c r="B678" s="19" t="s">
        <v>1848</v>
      </c>
      <c r="C678" s="19" t="s">
        <v>1856</v>
      </c>
      <c r="D678" s="19" t="s">
        <v>1857</v>
      </c>
      <c r="E678" s="19" t="s">
        <v>1858</v>
      </c>
      <c r="F678" s="19" t="s">
        <v>1876</v>
      </c>
      <c r="G678" s="19" t="s">
        <v>1877</v>
      </c>
      <c r="H678" s="19">
        <v>13</v>
      </c>
      <c r="I678" s="19">
        <v>3994.86</v>
      </c>
      <c r="J678" s="19">
        <v>51933.18</v>
      </c>
    </row>
    <row r="679" ht="15.25" spans="1:10">
      <c r="A679" s="18" t="s">
        <v>1847</v>
      </c>
      <c r="B679" s="19" t="s">
        <v>1871</v>
      </c>
      <c r="C679" s="19" t="s">
        <v>1610</v>
      </c>
      <c r="D679" s="19" t="s">
        <v>1879</v>
      </c>
      <c r="E679" s="19" t="s">
        <v>1851</v>
      </c>
      <c r="F679" s="19" t="s">
        <v>1859</v>
      </c>
      <c r="G679" s="19" t="s">
        <v>1872</v>
      </c>
      <c r="H679" s="19">
        <v>12</v>
      </c>
      <c r="I679" s="19">
        <v>1554.75</v>
      </c>
      <c r="J679" s="19">
        <v>18657</v>
      </c>
    </row>
    <row r="680" ht="15.25" spans="1:10">
      <c r="A680" s="18">
        <v>45108</v>
      </c>
      <c r="B680" s="19" t="s">
        <v>1874</v>
      </c>
      <c r="C680" s="19" t="s">
        <v>1875</v>
      </c>
      <c r="D680" s="19" t="s">
        <v>1862</v>
      </c>
      <c r="E680" s="19" t="s">
        <v>1858</v>
      </c>
      <c r="F680" s="19" t="s">
        <v>1859</v>
      </c>
      <c r="G680" s="19" t="s">
        <v>1947</v>
      </c>
      <c r="H680" s="19">
        <v>9</v>
      </c>
      <c r="I680" s="19">
        <v>4674.04</v>
      </c>
      <c r="J680" s="19">
        <v>42066.36</v>
      </c>
    </row>
    <row r="681" ht="15.25" spans="1:10">
      <c r="A681" s="18">
        <v>45018</v>
      </c>
      <c r="B681" s="19" t="s">
        <v>1874</v>
      </c>
      <c r="C681" s="19" t="s">
        <v>1941</v>
      </c>
      <c r="D681" s="19" t="s">
        <v>1879</v>
      </c>
      <c r="E681" s="19" t="s">
        <v>1851</v>
      </c>
      <c r="F681" s="19" t="s">
        <v>1852</v>
      </c>
      <c r="G681" s="19" t="s">
        <v>1853</v>
      </c>
      <c r="H681" s="19">
        <v>2</v>
      </c>
      <c r="I681" s="19">
        <v>1252.3</v>
      </c>
      <c r="J681" s="19">
        <v>2504.6</v>
      </c>
    </row>
    <row r="682" ht="15.25" spans="1:10">
      <c r="A682" s="18" t="s">
        <v>2098</v>
      </c>
      <c r="B682" s="19" t="s">
        <v>1867</v>
      </c>
      <c r="C682" s="19" t="s">
        <v>1906</v>
      </c>
      <c r="D682" s="19" t="s">
        <v>1862</v>
      </c>
      <c r="E682" s="19" t="s">
        <v>1858</v>
      </c>
      <c r="F682" s="19" t="s">
        <v>1859</v>
      </c>
      <c r="G682" s="19" t="s">
        <v>1872</v>
      </c>
      <c r="H682" s="19">
        <v>15</v>
      </c>
      <c r="I682" s="19">
        <v>1738.86</v>
      </c>
      <c r="J682" s="19">
        <v>26082.9</v>
      </c>
    </row>
    <row r="683" ht="15.25" spans="1:10">
      <c r="A683" s="18" t="s">
        <v>1952</v>
      </c>
      <c r="B683" s="19" t="s">
        <v>1855</v>
      </c>
      <c r="C683" s="19" t="s">
        <v>1898</v>
      </c>
      <c r="D683" s="19" t="s">
        <v>1879</v>
      </c>
      <c r="E683" s="19" t="s">
        <v>1851</v>
      </c>
      <c r="F683" s="19" t="s">
        <v>1865</v>
      </c>
      <c r="G683" s="19" t="s">
        <v>1886</v>
      </c>
      <c r="H683" s="19">
        <v>4</v>
      </c>
      <c r="I683" s="19">
        <v>2527.15</v>
      </c>
      <c r="J683" s="19">
        <v>10108.6</v>
      </c>
    </row>
    <row r="684" ht="15.25" spans="1:10">
      <c r="A684" s="18">
        <v>44928</v>
      </c>
      <c r="B684" s="19" t="s">
        <v>1867</v>
      </c>
      <c r="C684" s="19" t="s">
        <v>1610</v>
      </c>
      <c r="D684" s="19" t="s">
        <v>1879</v>
      </c>
      <c r="E684" s="19" t="s">
        <v>1851</v>
      </c>
      <c r="F684" s="19" t="s">
        <v>1865</v>
      </c>
      <c r="G684" s="19" t="s">
        <v>1866</v>
      </c>
      <c r="H684" s="19">
        <v>17</v>
      </c>
      <c r="I684" s="19">
        <v>4247.56</v>
      </c>
      <c r="J684" s="19">
        <v>72208.52</v>
      </c>
    </row>
    <row r="685" ht="15.25" spans="1:10">
      <c r="A685" s="18" t="s">
        <v>2006</v>
      </c>
      <c r="B685" s="19" t="s">
        <v>1892</v>
      </c>
      <c r="C685" s="19" t="s">
        <v>1626</v>
      </c>
      <c r="D685" s="19" t="s">
        <v>1857</v>
      </c>
      <c r="E685" s="19" t="s">
        <v>1858</v>
      </c>
      <c r="F685" s="19" t="s">
        <v>1868</v>
      </c>
      <c r="G685" s="19" t="s">
        <v>1869</v>
      </c>
      <c r="H685" s="19">
        <v>8</v>
      </c>
      <c r="I685" s="19">
        <v>978.4</v>
      </c>
      <c r="J685" s="19">
        <v>7827.2</v>
      </c>
    </row>
    <row r="686" ht="15.25" spans="1:10">
      <c r="A686" s="18">
        <v>44993</v>
      </c>
      <c r="B686" s="19" t="s">
        <v>1892</v>
      </c>
      <c r="C686" s="19" t="s">
        <v>1941</v>
      </c>
      <c r="D686" s="19" t="s">
        <v>1879</v>
      </c>
      <c r="E686" s="19" t="s">
        <v>1851</v>
      </c>
      <c r="F686" s="19" t="s">
        <v>1852</v>
      </c>
      <c r="G686" s="19" t="s">
        <v>1934</v>
      </c>
      <c r="H686" s="19">
        <v>5</v>
      </c>
      <c r="I686" s="19">
        <v>1530.16</v>
      </c>
      <c r="J686" s="19">
        <v>7650.8</v>
      </c>
    </row>
    <row r="687" ht="15.25" spans="1:10">
      <c r="A687" s="18">
        <v>45048</v>
      </c>
      <c r="B687" s="19" t="s">
        <v>1902</v>
      </c>
      <c r="C687" s="19" t="s">
        <v>1856</v>
      </c>
      <c r="D687" s="19" t="s">
        <v>1857</v>
      </c>
      <c r="E687" s="19" t="s">
        <v>1858</v>
      </c>
      <c r="F687" s="19" t="s">
        <v>1852</v>
      </c>
      <c r="G687" s="19" t="s">
        <v>1934</v>
      </c>
      <c r="H687" s="19">
        <v>15</v>
      </c>
      <c r="I687" s="19">
        <v>4748.62</v>
      </c>
      <c r="J687" s="19">
        <v>71229.3</v>
      </c>
    </row>
    <row r="688" ht="15.25" spans="1:10">
      <c r="A688" s="18" t="s">
        <v>2086</v>
      </c>
      <c r="B688" s="19" t="s">
        <v>1892</v>
      </c>
      <c r="C688" s="19" t="s">
        <v>1602</v>
      </c>
      <c r="D688" s="19" t="s">
        <v>1862</v>
      </c>
      <c r="E688" s="19" t="s">
        <v>1858</v>
      </c>
      <c r="F688" s="19" t="s">
        <v>1852</v>
      </c>
      <c r="G688" s="19" t="s">
        <v>1853</v>
      </c>
      <c r="H688" s="19">
        <v>5</v>
      </c>
      <c r="I688" s="19">
        <v>4402.72</v>
      </c>
      <c r="J688" s="19">
        <v>22013.6</v>
      </c>
    </row>
    <row r="689" ht="26.75" spans="1:10">
      <c r="A689" s="18">
        <v>45206</v>
      </c>
      <c r="B689" s="19" t="s">
        <v>1848</v>
      </c>
      <c r="C689" s="19" t="s">
        <v>1593</v>
      </c>
      <c r="D689" s="19" t="s">
        <v>1850</v>
      </c>
      <c r="E689" s="19" t="s">
        <v>1851</v>
      </c>
      <c r="F689" s="19" t="s">
        <v>1865</v>
      </c>
      <c r="G689" s="19" t="s">
        <v>1866</v>
      </c>
      <c r="H689" s="19">
        <v>16</v>
      </c>
      <c r="I689" s="19">
        <v>3858.12</v>
      </c>
      <c r="J689" s="19">
        <v>61729.92</v>
      </c>
    </row>
    <row r="690" ht="15.25" spans="1:10">
      <c r="A690" s="18" t="s">
        <v>1974</v>
      </c>
      <c r="B690" s="19" t="s">
        <v>1861</v>
      </c>
      <c r="C690" s="19" t="s">
        <v>1941</v>
      </c>
      <c r="D690" s="19" t="s">
        <v>1879</v>
      </c>
      <c r="E690" s="19" t="s">
        <v>1851</v>
      </c>
      <c r="F690" s="19" t="s">
        <v>1868</v>
      </c>
      <c r="G690" s="19" t="s">
        <v>1899</v>
      </c>
      <c r="H690" s="19">
        <v>10</v>
      </c>
      <c r="I690" s="19">
        <v>4939.99</v>
      </c>
      <c r="J690" s="19">
        <v>49399.9</v>
      </c>
    </row>
    <row r="691" ht="15.25" spans="1:10">
      <c r="A691" s="18" t="s">
        <v>1912</v>
      </c>
      <c r="B691" s="19" t="s">
        <v>1848</v>
      </c>
      <c r="C691" s="19" t="s">
        <v>1856</v>
      </c>
      <c r="D691" s="19" t="s">
        <v>1857</v>
      </c>
      <c r="E691" s="19" t="s">
        <v>1858</v>
      </c>
      <c r="F691" s="19" t="s">
        <v>1852</v>
      </c>
      <c r="G691" s="19" t="s">
        <v>1950</v>
      </c>
      <c r="H691" s="19">
        <v>8</v>
      </c>
      <c r="I691" s="19">
        <v>2394.87</v>
      </c>
      <c r="J691" s="19">
        <v>19158.96</v>
      </c>
    </row>
    <row r="692" ht="15.25" spans="1:10">
      <c r="A692" s="18" t="s">
        <v>2018</v>
      </c>
      <c r="B692" s="19" t="s">
        <v>1855</v>
      </c>
      <c r="C692" s="19" t="s">
        <v>1941</v>
      </c>
      <c r="D692" s="19" t="s">
        <v>1879</v>
      </c>
      <c r="E692" s="19" t="s">
        <v>1851</v>
      </c>
      <c r="F692" s="19" t="s">
        <v>1865</v>
      </c>
      <c r="G692" s="19" t="s">
        <v>1920</v>
      </c>
      <c r="H692" s="19">
        <v>11</v>
      </c>
      <c r="I692" s="19">
        <v>3277.74</v>
      </c>
      <c r="J692" s="19">
        <v>36055.14</v>
      </c>
    </row>
    <row r="693" ht="15.25" spans="1:10">
      <c r="A693" s="18" t="s">
        <v>1970</v>
      </c>
      <c r="B693" s="19" t="s">
        <v>1871</v>
      </c>
      <c r="C693" s="19" t="s">
        <v>1602</v>
      </c>
      <c r="D693" s="19" t="s">
        <v>1862</v>
      </c>
      <c r="E693" s="19" t="s">
        <v>1858</v>
      </c>
      <c r="F693" s="19" t="s">
        <v>1852</v>
      </c>
      <c r="G693" s="19" t="s">
        <v>1950</v>
      </c>
      <c r="H693" s="19">
        <v>5</v>
      </c>
      <c r="I693" s="19">
        <v>2411.33</v>
      </c>
      <c r="J693" s="19">
        <v>12056.65</v>
      </c>
    </row>
    <row r="694" ht="15.25" spans="1:10">
      <c r="A694" s="18" t="s">
        <v>1927</v>
      </c>
      <c r="B694" s="19" t="s">
        <v>1861</v>
      </c>
      <c r="C694" s="19" t="s">
        <v>1610</v>
      </c>
      <c r="D694" s="19" t="s">
        <v>1879</v>
      </c>
      <c r="E694" s="19" t="s">
        <v>1851</v>
      </c>
      <c r="F694" s="19" t="s">
        <v>1859</v>
      </c>
      <c r="G694" s="19" t="s">
        <v>1922</v>
      </c>
      <c r="H694" s="19">
        <v>17</v>
      </c>
      <c r="I694" s="19">
        <v>3844.7</v>
      </c>
      <c r="J694" s="19">
        <v>65359.9</v>
      </c>
    </row>
    <row r="695" ht="15.25" spans="1:10">
      <c r="A695" s="18" t="s">
        <v>2000</v>
      </c>
      <c r="B695" s="19" t="s">
        <v>1892</v>
      </c>
      <c r="C695" s="19" t="s">
        <v>1856</v>
      </c>
      <c r="D695" s="19" t="s">
        <v>1857</v>
      </c>
      <c r="E695" s="19" t="s">
        <v>1858</v>
      </c>
      <c r="F695" s="19" t="s">
        <v>1865</v>
      </c>
      <c r="G695" s="19" t="s">
        <v>1890</v>
      </c>
      <c r="H695" s="19">
        <v>14</v>
      </c>
      <c r="I695" s="19">
        <v>816.99</v>
      </c>
      <c r="J695" s="19">
        <v>11437.86</v>
      </c>
    </row>
    <row r="696" ht="15.25" spans="1:10">
      <c r="A696" s="18" t="s">
        <v>2077</v>
      </c>
      <c r="B696" s="19" t="s">
        <v>1878</v>
      </c>
      <c r="C696" s="19" t="s">
        <v>1626</v>
      </c>
      <c r="D696" s="19" t="s">
        <v>1857</v>
      </c>
      <c r="E696" s="19" t="s">
        <v>1858</v>
      </c>
      <c r="F696" s="19" t="s">
        <v>1876</v>
      </c>
      <c r="G696" s="19" t="s">
        <v>1930</v>
      </c>
      <c r="H696" s="19">
        <v>3</v>
      </c>
      <c r="I696" s="19">
        <v>3102.92</v>
      </c>
      <c r="J696" s="19">
        <v>9308.76</v>
      </c>
    </row>
    <row r="697" ht="15.25" spans="1:10">
      <c r="A697" s="18" t="s">
        <v>2011</v>
      </c>
      <c r="B697" s="19" t="s">
        <v>1867</v>
      </c>
      <c r="C697" s="19" t="s">
        <v>1610</v>
      </c>
      <c r="D697" s="19" t="s">
        <v>1879</v>
      </c>
      <c r="E697" s="19" t="s">
        <v>1851</v>
      </c>
      <c r="F697" s="19" t="s">
        <v>1876</v>
      </c>
      <c r="G697" s="19" t="s">
        <v>1883</v>
      </c>
      <c r="H697" s="19">
        <v>11</v>
      </c>
      <c r="I697" s="19">
        <v>490.34</v>
      </c>
      <c r="J697" s="19">
        <v>5393.74</v>
      </c>
    </row>
    <row r="698" ht="26.75" spans="1:10">
      <c r="A698" s="18" t="s">
        <v>2040</v>
      </c>
      <c r="B698" s="19" t="s">
        <v>1874</v>
      </c>
      <c r="C698" s="19" t="s">
        <v>1598</v>
      </c>
      <c r="D698" s="19" t="s">
        <v>1850</v>
      </c>
      <c r="E698" s="19" t="s">
        <v>1851</v>
      </c>
      <c r="F698" s="19" t="s">
        <v>1865</v>
      </c>
      <c r="G698" s="19" t="s">
        <v>1890</v>
      </c>
      <c r="H698" s="19">
        <v>6</v>
      </c>
      <c r="I698" s="19">
        <v>4079.26</v>
      </c>
      <c r="J698" s="19">
        <v>24475.56</v>
      </c>
    </row>
    <row r="699" ht="15.25" spans="1:10">
      <c r="A699" s="18">
        <v>44988</v>
      </c>
      <c r="B699" s="19" t="s">
        <v>1848</v>
      </c>
      <c r="C699" s="19" t="s">
        <v>1589</v>
      </c>
      <c r="D699" s="19" t="s">
        <v>1884</v>
      </c>
      <c r="E699" s="19" t="s">
        <v>1895</v>
      </c>
      <c r="F699" s="19" t="s">
        <v>1852</v>
      </c>
      <c r="G699" s="19" t="s">
        <v>1950</v>
      </c>
      <c r="H699" s="19">
        <v>12</v>
      </c>
      <c r="I699" s="19">
        <v>3229.61</v>
      </c>
      <c r="J699" s="19">
        <v>38755.32</v>
      </c>
    </row>
    <row r="700" ht="15.25" spans="1:10">
      <c r="A700" s="18">
        <v>45179</v>
      </c>
      <c r="B700" s="19" t="s">
        <v>1871</v>
      </c>
      <c r="C700" s="19" t="s">
        <v>1864</v>
      </c>
      <c r="D700" s="19" t="s">
        <v>1857</v>
      </c>
      <c r="E700" s="19" t="s">
        <v>1858</v>
      </c>
      <c r="F700" s="19" t="s">
        <v>1859</v>
      </c>
      <c r="G700" s="19" t="s">
        <v>1922</v>
      </c>
      <c r="H700" s="19">
        <v>16</v>
      </c>
      <c r="I700" s="19">
        <v>1873.12</v>
      </c>
      <c r="J700" s="19">
        <v>29969.92</v>
      </c>
    </row>
    <row r="701" ht="26.75" spans="1:10">
      <c r="A701" s="18">
        <v>45233</v>
      </c>
      <c r="B701" s="19" t="s">
        <v>1867</v>
      </c>
      <c r="C701" s="19" t="s">
        <v>1593</v>
      </c>
      <c r="D701" s="19" t="s">
        <v>1850</v>
      </c>
      <c r="E701" s="19" t="s">
        <v>1851</v>
      </c>
      <c r="F701" s="19" t="s">
        <v>1868</v>
      </c>
      <c r="G701" s="19" t="s">
        <v>1907</v>
      </c>
      <c r="H701" s="19">
        <v>7</v>
      </c>
      <c r="I701" s="19">
        <v>1640.58</v>
      </c>
      <c r="J701" s="19">
        <v>11484.06</v>
      </c>
    </row>
    <row r="702" ht="26.75" spans="1:10">
      <c r="A702" s="18" t="s">
        <v>2015</v>
      </c>
      <c r="B702" s="19" t="s">
        <v>1848</v>
      </c>
      <c r="C702" s="19" t="s">
        <v>1849</v>
      </c>
      <c r="D702" s="19" t="s">
        <v>1850</v>
      </c>
      <c r="E702" s="19" t="s">
        <v>1851</v>
      </c>
      <c r="F702" s="19" t="s">
        <v>1876</v>
      </c>
      <c r="G702" s="19" t="s">
        <v>1883</v>
      </c>
      <c r="H702" s="19">
        <v>13</v>
      </c>
      <c r="I702" s="19">
        <v>4843.21</v>
      </c>
      <c r="J702" s="19">
        <v>62961.73</v>
      </c>
    </row>
    <row r="703" ht="15.25" spans="1:10">
      <c r="A703" s="18" t="s">
        <v>1952</v>
      </c>
      <c r="B703" s="19" t="s">
        <v>1902</v>
      </c>
      <c r="C703" s="19" t="s">
        <v>1894</v>
      </c>
      <c r="D703" s="19" t="s">
        <v>1884</v>
      </c>
      <c r="E703" s="19" t="s">
        <v>1895</v>
      </c>
      <c r="F703" s="19" t="s">
        <v>1859</v>
      </c>
      <c r="G703" s="19" t="s">
        <v>1860</v>
      </c>
      <c r="H703" s="19">
        <v>13</v>
      </c>
      <c r="I703" s="19">
        <v>1782.01</v>
      </c>
      <c r="J703" s="19">
        <v>23166.13</v>
      </c>
    </row>
    <row r="704" ht="15.25" spans="1:10">
      <c r="A704" s="18" t="s">
        <v>2000</v>
      </c>
      <c r="B704" s="19" t="s">
        <v>1902</v>
      </c>
      <c r="C704" s="19" t="s">
        <v>1875</v>
      </c>
      <c r="D704" s="19" t="s">
        <v>1862</v>
      </c>
      <c r="E704" s="19" t="s">
        <v>1858</v>
      </c>
      <c r="F704" s="19" t="s">
        <v>1868</v>
      </c>
      <c r="G704" s="19" t="s">
        <v>1907</v>
      </c>
      <c r="H704" s="19">
        <v>19</v>
      </c>
      <c r="I704" s="19">
        <v>1120.6</v>
      </c>
      <c r="J704" s="19">
        <v>21291.4</v>
      </c>
    </row>
    <row r="705" ht="15.25" spans="1:10">
      <c r="A705" s="18" t="s">
        <v>1897</v>
      </c>
      <c r="B705" s="19" t="s">
        <v>1878</v>
      </c>
      <c r="C705" s="19" t="s">
        <v>1602</v>
      </c>
      <c r="D705" s="19" t="s">
        <v>1862</v>
      </c>
      <c r="E705" s="19" t="s">
        <v>1858</v>
      </c>
      <c r="F705" s="19" t="s">
        <v>1852</v>
      </c>
      <c r="G705" s="19" t="s">
        <v>1910</v>
      </c>
      <c r="H705" s="19">
        <v>2</v>
      </c>
      <c r="I705" s="19">
        <v>1927.02</v>
      </c>
      <c r="J705" s="19">
        <v>3854.04</v>
      </c>
    </row>
    <row r="706" ht="26.75" spans="1:10">
      <c r="A706" s="18" t="s">
        <v>2017</v>
      </c>
      <c r="B706" s="19" t="s">
        <v>1867</v>
      </c>
      <c r="C706" s="19" t="s">
        <v>1593</v>
      </c>
      <c r="D706" s="19" t="s">
        <v>1850</v>
      </c>
      <c r="E706" s="19" t="s">
        <v>1851</v>
      </c>
      <c r="F706" s="19" t="s">
        <v>1852</v>
      </c>
      <c r="G706" s="19" t="s">
        <v>1934</v>
      </c>
      <c r="H706" s="19">
        <v>15</v>
      </c>
      <c r="I706" s="19">
        <v>4642.69</v>
      </c>
      <c r="J706" s="19">
        <v>69640.35</v>
      </c>
    </row>
    <row r="707" ht="26.75" spans="1:10">
      <c r="A707" s="18" t="s">
        <v>2099</v>
      </c>
      <c r="B707" s="19" t="s">
        <v>1867</v>
      </c>
      <c r="C707" s="19" t="s">
        <v>1593</v>
      </c>
      <c r="D707" s="19" t="s">
        <v>1850</v>
      </c>
      <c r="E707" s="19" t="s">
        <v>1851</v>
      </c>
      <c r="F707" s="19" t="s">
        <v>1859</v>
      </c>
      <c r="G707" s="19" t="s">
        <v>1860</v>
      </c>
      <c r="H707" s="19">
        <v>19</v>
      </c>
      <c r="I707" s="19">
        <v>3316.87</v>
      </c>
      <c r="J707" s="19">
        <v>63020.53</v>
      </c>
    </row>
    <row r="708" ht="15.25" spans="1:10">
      <c r="A708" s="18">
        <v>45024</v>
      </c>
      <c r="B708" s="19" t="s">
        <v>1855</v>
      </c>
      <c r="C708" s="19" t="s">
        <v>1898</v>
      </c>
      <c r="D708" s="19" t="s">
        <v>1879</v>
      </c>
      <c r="E708" s="19" t="s">
        <v>1851</v>
      </c>
      <c r="F708" s="19" t="s">
        <v>1859</v>
      </c>
      <c r="G708" s="19" t="s">
        <v>1947</v>
      </c>
      <c r="H708" s="19">
        <v>19</v>
      </c>
      <c r="I708" s="19">
        <v>1372.28</v>
      </c>
      <c r="J708" s="19">
        <v>26073.32</v>
      </c>
    </row>
    <row r="709" ht="15.25" spans="1:10">
      <c r="A709" s="18">
        <v>45078</v>
      </c>
      <c r="B709" s="19" t="s">
        <v>1867</v>
      </c>
      <c r="C709" s="19" t="s">
        <v>1602</v>
      </c>
      <c r="D709" s="19" t="s">
        <v>1862</v>
      </c>
      <c r="E709" s="19" t="s">
        <v>1858</v>
      </c>
      <c r="F709" s="19" t="s">
        <v>1859</v>
      </c>
      <c r="G709" s="19" t="s">
        <v>1947</v>
      </c>
      <c r="H709" s="19">
        <v>8</v>
      </c>
      <c r="I709" s="19">
        <v>4786.48</v>
      </c>
      <c r="J709" s="19">
        <v>38291.84</v>
      </c>
    </row>
    <row r="710" ht="15.25" spans="1:10">
      <c r="A710" s="18" t="s">
        <v>1974</v>
      </c>
      <c r="B710" s="19" t="s">
        <v>1861</v>
      </c>
      <c r="C710" s="19" t="s">
        <v>1626</v>
      </c>
      <c r="D710" s="19" t="s">
        <v>1857</v>
      </c>
      <c r="E710" s="19" t="s">
        <v>1858</v>
      </c>
      <c r="F710" s="19" t="s">
        <v>1852</v>
      </c>
      <c r="G710" s="19" t="s">
        <v>1934</v>
      </c>
      <c r="H710" s="19">
        <v>18</v>
      </c>
      <c r="I710" s="19">
        <v>620.93</v>
      </c>
      <c r="J710" s="19">
        <v>11176.74</v>
      </c>
    </row>
    <row r="711" ht="15.25" spans="1:10">
      <c r="A711" s="18" t="s">
        <v>1863</v>
      </c>
      <c r="B711" s="19" t="s">
        <v>1902</v>
      </c>
      <c r="C711" s="19" t="s">
        <v>1626</v>
      </c>
      <c r="D711" s="19" t="s">
        <v>1857</v>
      </c>
      <c r="E711" s="19" t="s">
        <v>1858</v>
      </c>
      <c r="F711" s="19" t="s">
        <v>1876</v>
      </c>
      <c r="G711" s="19" t="s">
        <v>1930</v>
      </c>
      <c r="H711" s="19">
        <v>4</v>
      </c>
      <c r="I711" s="19">
        <v>1241.21</v>
      </c>
      <c r="J711" s="19">
        <v>4964.84</v>
      </c>
    </row>
    <row r="712" ht="26.75" spans="1:10">
      <c r="A712" s="18" t="s">
        <v>2044</v>
      </c>
      <c r="B712" s="19" t="s">
        <v>1848</v>
      </c>
      <c r="C712" s="19" t="s">
        <v>1598</v>
      </c>
      <c r="D712" s="19" t="s">
        <v>1850</v>
      </c>
      <c r="E712" s="19" t="s">
        <v>1851</v>
      </c>
      <c r="F712" s="19" t="s">
        <v>1876</v>
      </c>
      <c r="G712" s="19" t="s">
        <v>1930</v>
      </c>
      <c r="H712" s="19">
        <v>10</v>
      </c>
      <c r="I712" s="19">
        <v>1823.34</v>
      </c>
      <c r="J712" s="19">
        <v>18233.4</v>
      </c>
    </row>
    <row r="713" ht="26.75" spans="1:10">
      <c r="A713" s="18">
        <v>45146</v>
      </c>
      <c r="B713" s="19" t="s">
        <v>1892</v>
      </c>
      <c r="C713" s="19" t="s">
        <v>1598</v>
      </c>
      <c r="D713" s="19" t="s">
        <v>1850</v>
      </c>
      <c r="E713" s="19" t="s">
        <v>1851</v>
      </c>
      <c r="F713" s="19" t="s">
        <v>1865</v>
      </c>
      <c r="G713" s="19" t="s">
        <v>1886</v>
      </c>
      <c r="H713" s="19">
        <v>10</v>
      </c>
      <c r="I713" s="19">
        <v>4304.71</v>
      </c>
      <c r="J713" s="19">
        <v>43047.1</v>
      </c>
    </row>
    <row r="714" ht="15.25" spans="1:10">
      <c r="A714" s="18" t="s">
        <v>2100</v>
      </c>
      <c r="B714" s="19" t="s">
        <v>1902</v>
      </c>
      <c r="C714" s="19" t="s">
        <v>1856</v>
      </c>
      <c r="D714" s="19" t="s">
        <v>1857</v>
      </c>
      <c r="E714" s="19" t="s">
        <v>1858</v>
      </c>
      <c r="F714" s="19" t="s">
        <v>1868</v>
      </c>
      <c r="G714" s="19" t="s">
        <v>1907</v>
      </c>
      <c r="H714" s="19">
        <v>11</v>
      </c>
      <c r="I714" s="19">
        <v>4446.37</v>
      </c>
      <c r="J714" s="19">
        <v>48910.07</v>
      </c>
    </row>
    <row r="715" ht="26.75" spans="1:10">
      <c r="A715" s="18" t="s">
        <v>1991</v>
      </c>
      <c r="B715" s="19" t="s">
        <v>1861</v>
      </c>
      <c r="C715" s="19" t="s">
        <v>1593</v>
      </c>
      <c r="D715" s="19" t="s">
        <v>1850</v>
      </c>
      <c r="E715" s="19" t="s">
        <v>1851</v>
      </c>
      <c r="F715" s="19" t="s">
        <v>1868</v>
      </c>
      <c r="G715" s="19" t="s">
        <v>1869</v>
      </c>
      <c r="H715" s="19">
        <v>8</v>
      </c>
      <c r="I715" s="19">
        <v>465.32</v>
      </c>
      <c r="J715" s="19">
        <v>3722.56</v>
      </c>
    </row>
    <row r="716" ht="15.25" spans="1:10">
      <c r="A716" s="18" t="s">
        <v>1962</v>
      </c>
      <c r="B716" s="19" t="s">
        <v>1874</v>
      </c>
      <c r="C716" s="19" t="s">
        <v>1864</v>
      </c>
      <c r="D716" s="19" t="s">
        <v>1857</v>
      </c>
      <c r="E716" s="19" t="s">
        <v>1858</v>
      </c>
      <c r="F716" s="19" t="s">
        <v>1859</v>
      </c>
      <c r="G716" s="19" t="s">
        <v>1922</v>
      </c>
      <c r="H716" s="19">
        <v>1</v>
      </c>
      <c r="I716" s="19">
        <v>3431.7</v>
      </c>
      <c r="J716" s="19">
        <v>3431.7</v>
      </c>
    </row>
    <row r="717" ht="26.75" spans="1:10">
      <c r="A717" s="18" t="s">
        <v>2101</v>
      </c>
      <c r="B717" s="19" t="s">
        <v>1867</v>
      </c>
      <c r="C717" s="19" t="s">
        <v>1593</v>
      </c>
      <c r="D717" s="19" t="s">
        <v>1850</v>
      </c>
      <c r="E717" s="19" t="s">
        <v>1851</v>
      </c>
      <c r="F717" s="19" t="s">
        <v>1852</v>
      </c>
      <c r="G717" s="19" t="s">
        <v>1934</v>
      </c>
      <c r="H717" s="19">
        <v>20</v>
      </c>
      <c r="I717" s="19">
        <v>1365.33</v>
      </c>
      <c r="J717" s="19">
        <v>27306.6</v>
      </c>
    </row>
    <row r="718" ht="15.25" spans="1:10">
      <c r="A718" s="18" t="s">
        <v>2063</v>
      </c>
      <c r="B718" s="19" t="s">
        <v>1861</v>
      </c>
      <c r="C718" s="19" t="s">
        <v>1856</v>
      </c>
      <c r="D718" s="19" t="s">
        <v>1857</v>
      </c>
      <c r="E718" s="19" t="s">
        <v>1858</v>
      </c>
      <c r="F718" s="19" t="s">
        <v>1876</v>
      </c>
      <c r="G718" s="19" t="s">
        <v>1877</v>
      </c>
      <c r="H718" s="19">
        <v>14</v>
      </c>
      <c r="I718" s="19">
        <v>2343.4</v>
      </c>
      <c r="J718" s="19">
        <v>32807.6</v>
      </c>
    </row>
    <row r="719" ht="15.25" spans="1:10">
      <c r="A719" s="18">
        <v>45078</v>
      </c>
      <c r="B719" s="19" t="s">
        <v>1889</v>
      </c>
      <c r="C719" s="19" t="s">
        <v>1610</v>
      </c>
      <c r="D719" s="19" t="s">
        <v>1879</v>
      </c>
      <c r="E719" s="19" t="s">
        <v>1851</v>
      </c>
      <c r="F719" s="19" t="s">
        <v>1876</v>
      </c>
      <c r="G719" s="19" t="s">
        <v>1883</v>
      </c>
      <c r="H719" s="19">
        <v>15</v>
      </c>
      <c r="I719" s="19">
        <v>447.71</v>
      </c>
      <c r="J719" s="19">
        <v>6715.65</v>
      </c>
    </row>
    <row r="720" ht="15.25" spans="1:10">
      <c r="A720" s="18">
        <v>45047</v>
      </c>
      <c r="B720" s="19" t="s">
        <v>1889</v>
      </c>
      <c r="C720" s="19" t="s">
        <v>1941</v>
      </c>
      <c r="D720" s="19" t="s">
        <v>1879</v>
      </c>
      <c r="E720" s="19" t="s">
        <v>1851</v>
      </c>
      <c r="F720" s="19" t="s">
        <v>1868</v>
      </c>
      <c r="G720" s="19" t="s">
        <v>1917</v>
      </c>
      <c r="H720" s="19">
        <v>3</v>
      </c>
      <c r="I720" s="19">
        <v>2393.72</v>
      </c>
      <c r="J720" s="19">
        <v>7181.16</v>
      </c>
    </row>
    <row r="721" ht="15.25" spans="1:10">
      <c r="A721" s="18" t="s">
        <v>2018</v>
      </c>
      <c r="B721" s="19" t="s">
        <v>1902</v>
      </c>
      <c r="C721" s="19" t="s">
        <v>1894</v>
      </c>
      <c r="D721" s="19" t="s">
        <v>1884</v>
      </c>
      <c r="E721" s="19" t="s">
        <v>1895</v>
      </c>
      <c r="F721" s="19" t="s">
        <v>1865</v>
      </c>
      <c r="G721" s="19" t="s">
        <v>1886</v>
      </c>
      <c r="H721" s="19">
        <v>20</v>
      </c>
      <c r="I721" s="19">
        <v>138.6</v>
      </c>
      <c r="J721" s="19">
        <v>2772</v>
      </c>
    </row>
    <row r="722" ht="26.75" spans="1:10">
      <c r="A722" s="18" t="s">
        <v>2037</v>
      </c>
      <c r="B722" s="19" t="s">
        <v>1878</v>
      </c>
      <c r="C722" s="19" t="s">
        <v>1593</v>
      </c>
      <c r="D722" s="19" t="s">
        <v>1850</v>
      </c>
      <c r="E722" s="19" t="s">
        <v>1851</v>
      </c>
      <c r="F722" s="19" t="s">
        <v>1868</v>
      </c>
      <c r="G722" s="19" t="s">
        <v>1869</v>
      </c>
      <c r="H722" s="19">
        <v>6</v>
      </c>
      <c r="I722" s="19">
        <v>3119.62</v>
      </c>
      <c r="J722" s="19">
        <v>18717.72</v>
      </c>
    </row>
    <row r="723" ht="15.25" spans="1:10">
      <c r="A723" s="18" t="s">
        <v>2062</v>
      </c>
      <c r="B723" s="19" t="s">
        <v>1871</v>
      </c>
      <c r="C723" s="19" t="s">
        <v>1626</v>
      </c>
      <c r="D723" s="19" t="s">
        <v>1857</v>
      </c>
      <c r="E723" s="19" t="s">
        <v>1858</v>
      </c>
      <c r="F723" s="19" t="s">
        <v>1876</v>
      </c>
      <c r="G723" s="19" t="s">
        <v>1930</v>
      </c>
      <c r="H723" s="19">
        <v>1</v>
      </c>
      <c r="I723" s="19">
        <v>4175.7</v>
      </c>
      <c r="J723" s="19">
        <v>4175.7</v>
      </c>
    </row>
    <row r="724" ht="15.25" spans="1:10">
      <c r="A724" s="18" t="s">
        <v>1870</v>
      </c>
      <c r="B724" s="19" t="s">
        <v>1892</v>
      </c>
      <c r="C724" s="19" t="s">
        <v>1903</v>
      </c>
      <c r="D724" s="19" t="s">
        <v>1884</v>
      </c>
      <c r="E724" s="19" t="s">
        <v>1895</v>
      </c>
      <c r="F724" s="19" t="s">
        <v>1859</v>
      </c>
      <c r="G724" s="19" t="s">
        <v>1922</v>
      </c>
      <c r="H724" s="19">
        <v>17</v>
      </c>
      <c r="I724" s="19">
        <v>2655.23</v>
      </c>
      <c r="J724" s="19">
        <v>45138.91</v>
      </c>
    </row>
    <row r="725" ht="15.25" spans="1:10">
      <c r="A725" s="18">
        <v>44967</v>
      </c>
      <c r="B725" s="19" t="s">
        <v>1889</v>
      </c>
      <c r="C725" s="19" t="s">
        <v>1589</v>
      </c>
      <c r="D725" s="19" t="s">
        <v>1884</v>
      </c>
      <c r="E725" s="19" t="s">
        <v>1895</v>
      </c>
      <c r="F725" s="19" t="s">
        <v>1868</v>
      </c>
      <c r="G725" s="19" t="s">
        <v>1917</v>
      </c>
      <c r="H725" s="19">
        <v>14</v>
      </c>
      <c r="I725" s="19">
        <v>4235.22</v>
      </c>
      <c r="J725" s="19">
        <v>59293.08</v>
      </c>
    </row>
    <row r="726" ht="15.25" spans="1:10">
      <c r="A726" s="18" t="s">
        <v>2039</v>
      </c>
      <c r="B726" s="19" t="s">
        <v>1848</v>
      </c>
      <c r="C726" s="19" t="s">
        <v>1894</v>
      </c>
      <c r="D726" s="19" t="s">
        <v>1884</v>
      </c>
      <c r="E726" s="19" t="s">
        <v>1895</v>
      </c>
      <c r="F726" s="19" t="s">
        <v>1859</v>
      </c>
      <c r="G726" s="19" t="s">
        <v>1922</v>
      </c>
      <c r="H726" s="19">
        <v>20</v>
      </c>
      <c r="I726" s="19">
        <v>3393.01</v>
      </c>
      <c r="J726" s="19">
        <v>67860.2</v>
      </c>
    </row>
    <row r="727" ht="15.25" spans="1:10">
      <c r="A727" s="18">
        <v>44961</v>
      </c>
      <c r="B727" s="19" t="s">
        <v>1889</v>
      </c>
      <c r="C727" s="19" t="s">
        <v>1875</v>
      </c>
      <c r="D727" s="19" t="s">
        <v>1862</v>
      </c>
      <c r="E727" s="19" t="s">
        <v>1858</v>
      </c>
      <c r="F727" s="19" t="s">
        <v>1876</v>
      </c>
      <c r="G727" s="19" t="s">
        <v>1877</v>
      </c>
      <c r="H727" s="19">
        <v>14</v>
      </c>
      <c r="I727" s="19">
        <v>1247.48</v>
      </c>
      <c r="J727" s="19">
        <v>17464.72</v>
      </c>
    </row>
    <row r="728" ht="15.25" spans="1:10">
      <c r="A728" s="18">
        <v>45054</v>
      </c>
      <c r="B728" s="19" t="s">
        <v>1892</v>
      </c>
      <c r="C728" s="19" t="s">
        <v>1610</v>
      </c>
      <c r="D728" s="19" t="s">
        <v>1879</v>
      </c>
      <c r="E728" s="19" t="s">
        <v>1851</v>
      </c>
      <c r="F728" s="19" t="s">
        <v>1865</v>
      </c>
      <c r="G728" s="19" t="s">
        <v>1866</v>
      </c>
      <c r="H728" s="19">
        <v>20</v>
      </c>
      <c r="I728" s="19">
        <v>4428.59</v>
      </c>
      <c r="J728" s="19">
        <v>88571.8</v>
      </c>
    </row>
    <row r="729" ht="15.25" spans="1:10">
      <c r="A729" s="18">
        <v>45058</v>
      </c>
      <c r="B729" s="19" t="s">
        <v>1871</v>
      </c>
      <c r="C729" s="19" t="s">
        <v>1626</v>
      </c>
      <c r="D729" s="19" t="s">
        <v>1857</v>
      </c>
      <c r="E729" s="19" t="s">
        <v>1858</v>
      </c>
      <c r="F729" s="19" t="s">
        <v>1859</v>
      </c>
      <c r="G729" s="19" t="s">
        <v>1860</v>
      </c>
      <c r="H729" s="19">
        <v>9</v>
      </c>
      <c r="I729" s="19">
        <v>2251.19</v>
      </c>
      <c r="J729" s="19">
        <v>20260.71</v>
      </c>
    </row>
    <row r="730" ht="15.25" spans="1:10">
      <c r="A730" s="18" t="s">
        <v>2102</v>
      </c>
      <c r="B730" s="19" t="s">
        <v>1861</v>
      </c>
      <c r="C730" s="19" t="s">
        <v>1856</v>
      </c>
      <c r="D730" s="19" t="s">
        <v>1857</v>
      </c>
      <c r="E730" s="19" t="s">
        <v>1858</v>
      </c>
      <c r="F730" s="19" t="s">
        <v>1876</v>
      </c>
      <c r="G730" s="19" t="s">
        <v>1926</v>
      </c>
      <c r="H730" s="19">
        <v>19</v>
      </c>
      <c r="I730" s="19">
        <v>2240.89</v>
      </c>
      <c r="J730" s="19">
        <v>42576.91</v>
      </c>
    </row>
    <row r="731" ht="15.25" spans="1:10">
      <c r="A731" s="18">
        <v>45117</v>
      </c>
      <c r="B731" s="19" t="s">
        <v>1874</v>
      </c>
      <c r="C731" s="19" t="s">
        <v>1894</v>
      </c>
      <c r="D731" s="19" t="s">
        <v>1884</v>
      </c>
      <c r="E731" s="19" t="s">
        <v>1895</v>
      </c>
      <c r="F731" s="19" t="s">
        <v>1852</v>
      </c>
      <c r="G731" s="19" t="s">
        <v>1934</v>
      </c>
      <c r="H731" s="19">
        <v>19</v>
      </c>
      <c r="I731" s="19">
        <v>4089.21</v>
      </c>
      <c r="J731" s="19">
        <v>77694.99</v>
      </c>
    </row>
    <row r="732" ht="15.25" spans="1:10">
      <c r="A732" s="18" t="s">
        <v>1989</v>
      </c>
      <c r="B732" s="19" t="s">
        <v>1889</v>
      </c>
      <c r="C732" s="19" t="s">
        <v>1856</v>
      </c>
      <c r="D732" s="19" t="s">
        <v>1857</v>
      </c>
      <c r="E732" s="19" t="s">
        <v>1858</v>
      </c>
      <c r="F732" s="19" t="s">
        <v>1868</v>
      </c>
      <c r="G732" s="19" t="s">
        <v>1899</v>
      </c>
      <c r="H732" s="19">
        <v>6</v>
      </c>
      <c r="I732" s="19">
        <v>4286.28</v>
      </c>
      <c r="J732" s="19">
        <v>25717.68</v>
      </c>
    </row>
    <row r="733" ht="15.25" spans="1:10">
      <c r="A733" s="18" t="s">
        <v>1990</v>
      </c>
      <c r="B733" s="19" t="s">
        <v>1867</v>
      </c>
      <c r="C733" s="19" t="s">
        <v>1864</v>
      </c>
      <c r="D733" s="19" t="s">
        <v>1857</v>
      </c>
      <c r="E733" s="19" t="s">
        <v>1858</v>
      </c>
      <c r="F733" s="19" t="s">
        <v>1876</v>
      </c>
      <c r="G733" s="19" t="s">
        <v>1883</v>
      </c>
      <c r="H733" s="19">
        <v>20</v>
      </c>
      <c r="I733" s="19">
        <v>1316.67</v>
      </c>
      <c r="J733" s="19">
        <v>26333.4</v>
      </c>
    </row>
    <row r="734" ht="15.25" spans="1:10">
      <c r="A734" s="18" t="s">
        <v>2064</v>
      </c>
      <c r="B734" s="19" t="s">
        <v>1889</v>
      </c>
      <c r="C734" s="19" t="s">
        <v>1898</v>
      </c>
      <c r="D734" s="19" t="s">
        <v>1879</v>
      </c>
      <c r="E734" s="19" t="s">
        <v>1851</v>
      </c>
      <c r="F734" s="19" t="s">
        <v>1865</v>
      </c>
      <c r="G734" s="19" t="s">
        <v>1920</v>
      </c>
      <c r="H734" s="19">
        <v>17</v>
      </c>
      <c r="I734" s="19">
        <v>3145.73</v>
      </c>
      <c r="J734" s="19">
        <v>53477.41</v>
      </c>
    </row>
    <row r="735" ht="26.75" spans="1:10">
      <c r="A735" s="18" t="s">
        <v>2002</v>
      </c>
      <c r="B735" s="19" t="s">
        <v>1889</v>
      </c>
      <c r="C735" s="19" t="s">
        <v>1598</v>
      </c>
      <c r="D735" s="19" t="s">
        <v>1850</v>
      </c>
      <c r="E735" s="19" t="s">
        <v>1851</v>
      </c>
      <c r="F735" s="19" t="s">
        <v>1865</v>
      </c>
      <c r="G735" s="19" t="s">
        <v>1886</v>
      </c>
      <c r="H735" s="19">
        <v>10</v>
      </c>
      <c r="I735" s="19">
        <v>2523.59</v>
      </c>
      <c r="J735" s="19">
        <v>25235.9</v>
      </c>
    </row>
    <row r="736" ht="15.25" spans="1:10">
      <c r="A736" s="18" t="s">
        <v>2068</v>
      </c>
      <c r="B736" s="19" t="s">
        <v>1861</v>
      </c>
      <c r="C736" s="19" t="s">
        <v>1903</v>
      </c>
      <c r="D736" s="19" t="s">
        <v>1884</v>
      </c>
      <c r="E736" s="19" t="s">
        <v>1895</v>
      </c>
      <c r="F736" s="19" t="s">
        <v>1859</v>
      </c>
      <c r="G736" s="19" t="s">
        <v>1860</v>
      </c>
      <c r="H736" s="19">
        <v>2</v>
      </c>
      <c r="I736" s="19">
        <v>2851.64</v>
      </c>
      <c r="J736" s="19">
        <v>5703.28</v>
      </c>
    </row>
    <row r="737" ht="26.75" spans="1:10">
      <c r="A737" s="18" t="s">
        <v>2050</v>
      </c>
      <c r="B737" s="19" t="s">
        <v>1889</v>
      </c>
      <c r="C737" s="19" t="s">
        <v>1598</v>
      </c>
      <c r="D737" s="19" t="s">
        <v>1850</v>
      </c>
      <c r="E737" s="19" t="s">
        <v>1851</v>
      </c>
      <c r="F737" s="19" t="s">
        <v>1859</v>
      </c>
      <c r="G737" s="19" t="s">
        <v>1860</v>
      </c>
      <c r="H737" s="19">
        <v>20</v>
      </c>
      <c r="I737" s="19">
        <v>3193.18</v>
      </c>
      <c r="J737" s="19">
        <v>63863.6</v>
      </c>
    </row>
    <row r="738" ht="15.25" spans="1:10">
      <c r="A738" s="18" t="s">
        <v>2004</v>
      </c>
      <c r="B738" s="19" t="s">
        <v>1861</v>
      </c>
      <c r="C738" s="19" t="s">
        <v>1589</v>
      </c>
      <c r="D738" s="19" t="s">
        <v>1884</v>
      </c>
      <c r="E738" s="19" t="s">
        <v>1895</v>
      </c>
      <c r="F738" s="19" t="s">
        <v>1865</v>
      </c>
      <c r="G738" s="19" t="s">
        <v>1886</v>
      </c>
      <c r="H738" s="19">
        <v>8</v>
      </c>
      <c r="I738" s="19">
        <v>4663.82</v>
      </c>
      <c r="J738" s="19">
        <v>37310.56</v>
      </c>
    </row>
    <row r="739" ht="26.75" spans="1:10">
      <c r="A739" s="18">
        <v>44938</v>
      </c>
      <c r="B739" s="19" t="s">
        <v>1874</v>
      </c>
      <c r="C739" s="19" t="s">
        <v>1593</v>
      </c>
      <c r="D739" s="19" t="s">
        <v>1850</v>
      </c>
      <c r="E739" s="19" t="s">
        <v>1851</v>
      </c>
      <c r="F739" s="19" t="s">
        <v>1859</v>
      </c>
      <c r="G739" s="19" t="s">
        <v>1947</v>
      </c>
      <c r="H739" s="19">
        <v>13</v>
      </c>
      <c r="I739" s="19">
        <v>4263.79</v>
      </c>
      <c r="J739" s="19">
        <v>55429.27</v>
      </c>
    </row>
    <row r="740" ht="15.25" spans="1:10">
      <c r="A740" s="18" t="s">
        <v>2047</v>
      </c>
      <c r="B740" s="19" t="s">
        <v>1902</v>
      </c>
      <c r="C740" s="19" t="s">
        <v>1864</v>
      </c>
      <c r="D740" s="19" t="s">
        <v>1857</v>
      </c>
      <c r="E740" s="19" t="s">
        <v>1858</v>
      </c>
      <c r="F740" s="19" t="s">
        <v>1852</v>
      </c>
      <c r="G740" s="19" t="s">
        <v>1950</v>
      </c>
      <c r="H740" s="19">
        <v>11</v>
      </c>
      <c r="I740" s="19">
        <v>819.85</v>
      </c>
      <c r="J740" s="19">
        <v>9018.35</v>
      </c>
    </row>
    <row r="741" ht="15.25" spans="1:10">
      <c r="A741" s="18" t="s">
        <v>2103</v>
      </c>
      <c r="B741" s="19" t="s">
        <v>1892</v>
      </c>
      <c r="C741" s="19" t="s">
        <v>1864</v>
      </c>
      <c r="D741" s="19" t="s">
        <v>1857</v>
      </c>
      <c r="E741" s="19" t="s">
        <v>1858</v>
      </c>
      <c r="F741" s="19" t="s">
        <v>1876</v>
      </c>
      <c r="G741" s="19" t="s">
        <v>1930</v>
      </c>
      <c r="H741" s="19">
        <v>8</v>
      </c>
      <c r="I741" s="19">
        <v>2784.08</v>
      </c>
      <c r="J741" s="19">
        <v>22272.64</v>
      </c>
    </row>
    <row r="742" ht="15.25" spans="1:10">
      <c r="A742" s="18" t="s">
        <v>2008</v>
      </c>
      <c r="B742" s="19" t="s">
        <v>1889</v>
      </c>
      <c r="C742" s="19" t="s">
        <v>1626</v>
      </c>
      <c r="D742" s="19" t="s">
        <v>1857</v>
      </c>
      <c r="E742" s="19" t="s">
        <v>1858</v>
      </c>
      <c r="F742" s="19" t="s">
        <v>1865</v>
      </c>
      <c r="G742" s="19" t="s">
        <v>1890</v>
      </c>
      <c r="H742" s="19">
        <v>8</v>
      </c>
      <c r="I742" s="19">
        <v>2240.22</v>
      </c>
      <c r="J742" s="19">
        <v>17921.76</v>
      </c>
    </row>
    <row r="743" ht="15.25" spans="1:10">
      <c r="A743" s="18">
        <v>45089</v>
      </c>
      <c r="B743" s="19" t="s">
        <v>1855</v>
      </c>
      <c r="C743" s="19" t="s">
        <v>1626</v>
      </c>
      <c r="D743" s="19" t="s">
        <v>1857</v>
      </c>
      <c r="E743" s="19" t="s">
        <v>1858</v>
      </c>
      <c r="F743" s="19" t="s">
        <v>1876</v>
      </c>
      <c r="G743" s="19" t="s">
        <v>1877</v>
      </c>
      <c r="H743" s="19">
        <v>18</v>
      </c>
      <c r="I743" s="19">
        <v>1039.38</v>
      </c>
      <c r="J743" s="19">
        <v>18708.84</v>
      </c>
    </row>
    <row r="744" ht="15.25" spans="1:10">
      <c r="A744" s="18">
        <v>45118</v>
      </c>
      <c r="B744" s="19" t="s">
        <v>1867</v>
      </c>
      <c r="C744" s="19" t="s">
        <v>1898</v>
      </c>
      <c r="D744" s="19" t="s">
        <v>1879</v>
      </c>
      <c r="E744" s="19" t="s">
        <v>1851</v>
      </c>
      <c r="F744" s="19" t="s">
        <v>1868</v>
      </c>
      <c r="G744" s="19" t="s">
        <v>1899</v>
      </c>
      <c r="H744" s="19">
        <v>18</v>
      </c>
      <c r="I744" s="19">
        <v>1297.93</v>
      </c>
      <c r="J744" s="19">
        <v>23362.74</v>
      </c>
    </row>
    <row r="745" ht="26.75" spans="1:10">
      <c r="A745" s="18">
        <v>45047</v>
      </c>
      <c r="B745" s="19" t="s">
        <v>1902</v>
      </c>
      <c r="C745" s="19" t="s">
        <v>1593</v>
      </c>
      <c r="D745" s="19" t="s">
        <v>1850</v>
      </c>
      <c r="E745" s="19" t="s">
        <v>1851</v>
      </c>
      <c r="F745" s="19" t="s">
        <v>1852</v>
      </c>
      <c r="G745" s="19" t="s">
        <v>1934</v>
      </c>
      <c r="H745" s="19">
        <v>4</v>
      </c>
      <c r="I745" s="19">
        <v>4293.74</v>
      </c>
      <c r="J745" s="19">
        <v>17174.96</v>
      </c>
    </row>
    <row r="746" ht="15.25" spans="1:10">
      <c r="A746" s="18" t="s">
        <v>2104</v>
      </c>
      <c r="B746" s="19" t="s">
        <v>1871</v>
      </c>
      <c r="C746" s="19" t="s">
        <v>1589</v>
      </c>
      <c r="D746" s="19" t="s">
        <v>1884</v>
      </c>
      <c r="E746" s="19" t="s">
        <v>1895</v>
      </c>
      <c r="F746" s="19" t="s">
        <v>1876</v>
      </c>
      <c r="G746" s="19" t="s">
        <v>1877</v>
      </c>
      <c r="H746" s="19">
        <v>11</v>
      </c>
      <c r="I746" s="19">
        <v>2133.36</v>
      </c>
      <c r="J746" s="19">
        <v>23466.96</v>
      </c>
    </row>
    <row r="747" ht="15.25" spans="1:10">
      <c r="A747" s="18" t="s">
        <v>1962</v>
      </c>
      <c r="B747" s="19" t="s">
        <v>1848</v>
      </c>
      <c r="C747" s="19" t="s">
        <v>1602</v>
      </c>
      <c r="D747" s="19" t="s">
        <v>1862</v>
      </c>
      <c r="E747" s="19" t="s">
        <v>1858</v>
      </c>
      <c r="F747" s="19" t="s">
        <v>1868</v>
      </c>
      <c r="G747" s="19" t="s">
        <v>1907</v>
      </c>
      <c r="H747" s="19">
        <v>11</v>
      </c>
      <c r="I747" s="19">
        <v>735.74</v>
      </c>
      <c r="J747" s="19">
        <v>8093.14</v>
      </c>
    </row>
    <row r="748" ht="15.25" spans="1:10">
      <c r="A748" s="18">
        <v>45141</v>
      </c>
      <c r="B748" s="19" t="s">
        <v>1861</v>
      </c>
      <c r="C748" s="19" t="s">
        <v>1894</v>
      </c>
      <c r="D748" s="19" t="s">
        <v>1884</v>
      </c>
      <c r="E748" s="19" t="s">
        <v>1895</v>
      </c>
      <c r="F748" s="19" t="s">
        <v>1865</v>
      </c>
      <c r="G748" s="19" t="s">
        <v>1866</v>
      </c>
      <c r="H748" s="19">
        <v>14</v>
      </c>
      <c r="I748" s="19">
        <v>271.27</v>
      </c>
      <c r="J748" s="19">
        <v>3797.78</v>
      </c>
    </row>
    <row r="749" ht="15.25" spans="1:10">
      <c r="A749" s="18">
        <v>45210</v>
      </c>
      <c r="B749" s="19" t="s">
        <v>1861</v>
      </c>
      <c r="C749" s="19" t="s">
        <v>1602</v>
      </c>
      <c r="D749" s="19" t="s">
        <v>1862</v>
      </c>
      <c r="E749" s="19" t="s">
        <v>1858</v>
      </c>
      <c r="F749" s="19" t="s">
        <v>1852</v>
      </c>
      <c r="G749" s="19" t="s">
        <v>1853</v>
      </c>
      <c r="H749" s="19">
        <v>5</v>
      </c>
      <c r="I749" s="19">
        <v>4759.19</v>
      </c>
      <c r="J749" s="19">
        <v>23795.95</v>
      </c>
    </row>
    <row r="750" ht="15.25" spans="1:10">
      <c r="A750" s="18">
        <v>45211</v>
      </c>
      <c r="B750" s="19" t="s">
        <v>1855</v>
      </c>
      <c r="C750" s="19" t="s">
        <v>1610</v>
      </c>
      <c r="D750" s="19" t="s">
        <v>1879</v>
      </c>
      <c r="E750" s="19" t="s">
        <v>1851</v>
      </c>
      <c r="F750" s="19" t="s">
        <v>1876</v>
      </c>
      <c r="G750" s="19" t="s">
        <v>1883</v>
      </c>
      <c r="H750" s="19">
        <v>11</v>
      </c>
      <c r="I750" s="19">
        <v>941.97</v>
      </c>
      <c r="J750" s="19">
        <v>10361.67</v>
      </c>
    </row>
    <row r="751" ht="15.25" spans="1:10">
      <c r="A751" s="18">
        <v>45238</v>
      </c>
      <c r="B751" s="19" t="s">
        <v>1855</v>
      </c>
      <c r="C751" s="19" t="s">
        <v>1864</v>
      </c>
      <c r="D751" s="19" t="s">
        <v>1857</v>
      </c>
      <c r="E751" s="19" t="s">
        <v>1858</v>
      </c>
      <c r="F751" s="19" t="s">
        <v>1868</v>
      </c>
      <c r="G751" s="19" t="s">
        <v>1917</v>
      </c>
      <c r="H751" s="19">
        <v>11</v>
      </c>
      <c r="I751" s="19">
        <v>2182.46</v>
      </c>
      <c r="J751" s="19">
        <v>24007.06</v>
      </c>
    </row>
    <row r="752" ht="26.75" spans="1:10">
      <c r="A752" s="18" t="s">
        <v>2091</v>
      </c>
      <c r="B752" s="19" t="s">
        <v>1855</v>
      </c>
      <c r="C752" s="19" t="s">
        <v>1593</v>
      </c>
      <c r="D752" s="19" t="s">
        <v>1850</v>
      </c>
      <c r="E752" s="19" t="s">
        <v>1851</v>
      </c>
      <c r="F752" s="19" t="s">
        <v>1868</v>
      </c>
      <c r="G752" s="19" t="s">
        <v>1907</v>
      </c>
      <c r="H752" s="19">
        <v>10</v>
      </c>
      <c r="I752" s="19">
        <v>2112.91</v>
      </c>
      <c r="J752" s="19">
        <v>21129.1</v>
      </c>
    </row>
    <row r="753" ht="15.25" spans="1:10">
      <c r="A753" s="18">
        <v>45232</v>
      </c>
      <c r="B753" s="19" t="s">
        <v>1867</v>
      </c>
      <c r="C753" s="19" t="s">
        <v>1898</v>
      </c>
      <c r="D753" s="19" t="s">
        <v>1879</v>
      </c>
      <c r="E753" s="19" t="s">
        <v>1851</v>
      </c>
      <c r="F753" s="19" t="s">
        <v>1865</v>
      </c>
      <c r="G753" s="19" t="s">
        <v>1866</v>
      </c>
      <c r="H753" s="19">
        <v>13</v>
      </c>
      <c r="I753" s="19">
        <v>3495.08</v>
      </c>
      <c r="J753" s="19">
        <v>45436.04</v>
      </c>
    </row>
    <row r="754" ht="15.25" spans="1:10">
      <c r="A754" s="18">
        <v>44932</v>
      </c>
      <c r="B754" s="19" t="s">
        <v>1848</v>
      </c>
      <c r="C754" s="19" t="s">
        <v>1903</v>
      </c>
      <c r="D754" s="19" t="s">
        <v>1884</v>
      </c>
      <c r="E754" s="19" t="s">
        <v>1895</v>
      </c>
      <c r="F754" s="19" t="s">
        <v>1868</v>
      </c>
      <c r="G754" s="19" t="s">
        <v>1869</v>
      </c>
      <c r="H754" s="19">
        <v>2</v>
      </c>
      <c r="I754" s="19">
        <v>3439.47</v>
      </c>
      <c r="J754" s="19">
        <v>6878.94</v>
      </c>
    </row>
    <row r="755" ht="15.25" spans="1:10">
      <c r="A755" s="18">
        <v>45231</v>
      </c>
      <c r="B755" s="19" t="s">
        <v>1861</v>
      </c>
      <c r="C755" s="19" t="s">
        <v>1941</v>
      </c>
      <c r="D755" s="19" t="s">
        <v>1879</v>
      </c>
      <c r="E755" s="19" t="s">
        <v>1851</v>
      </c>
      <c r="F755" s="19" t="s">
        <v>1852</v>
      </c>
      <c r="G755" s="19" t="s">
        <v>1853</v>
      </c>
      <c r="H755" s="19">
        <v>20</v>
      </c>
      <c r="I755" s="19">
        <v>3279.25</v>
      </c>
      <c r="J755" s="19">
        <v>65585</v>
      </c>
    </row>
    <row r="756" ht="15.25" spans="1:10">
      <c r="A756" s="18">
        <v>44928</v>
      </c>
      <c r="B756" s="19" t="s">
        <v>1861</v>
      </c>
      <c r="C756" s="19" t="s">
        <v>1589</v>
      </c>
      <c r="D756" s="19" t="s">
        <v>1884</v>
      </c>
      <c r="E756" s="19" t="s">
        <v>1895</v>
      </c>
      <c r="F756" s="19" t="s">
        <v>1852</v>
      </c>
      <c r="G756" s="19" t="s">
        <v>1910</v>
      </c>
      <c r="H756" s="19">
        <v>16</v>
      </c>
      <c r="I756" s="19">
        <v>3320.8</v>
      </c>
      <c r="J756" s="19">
        <v>53132.8</v>
      </c>
    </row>
    <row r="757" ht="26.75" spans="1:10">
      <c r="A757" s="18" t="s">
        <v>2037</v>
      </c>
      <c r="B757" s="19" t="s">
        <v>1861</v>
      </c>
      <c r="C757" s="19" t="s">
        <v>1598</v>
      </c>
      <c r="D757" s="19" t="s">
        <v>1850</v>
      </c>
      <c r="E757" s="19" t="s">
        <v>1851</v>
      </c>
      <c r="F757" s="19" t="s">
        <v>1865</v>
      </c>
      <c r="G757" s="19" t="s">
        <v>1920</v>
      </c>
      <c r="H757" s="19">
        <v>6</v>
      </c>
      <c r="I757" s="19">
        <v>4105.19</v>
      </c>
      <c r="J757" s="19">
        <v>24631.14</v>
      </c>
    </row>
    <row r="758" ht="15.25" spans="1:10">
      <c r="A758" s="18" t="s">
        <v>2099</v>
      </c>
      <c r="B758" s="19" t="s">
        <v>1878</v>
      </c>
      <c r="C758" s="19" t="s">
        <v>1903</v>
      </c>
      <c r="D758" s="19" t="s">
        <v>1884</v>
      </c>
      <c r="E758" s="19" t="s">
        <v>1895</v>
      </c>
      <c r="F758" s="19" t="s">
        <v>1868</v>
      </c>
      <c r="G758" s="19" t="s">
        <v>1899</v>
      </c>
      <c r="H758" s="19">
        <v>7</v>
      </c>
      <c r="I758" s="19">
        <v>1830.46</v>
      </c>
      <c r="J758" s="19">
        <v>12813.22</v>
      </c>
    </row>
    <row r="759" ht="15.25" spans="1:10">
      <c r="A759" s="18" t="s">
        <v>2105</v>
      </c>
      <c r="B759" s="19" t="s">
        <v>1855</v>
      </c>
      <c r="C759" s="19" t="s">
        <v>1903</v>
      </c>
      <c r="D759" s="19" t="s">
        <v>1884</v>
      </c>
      <c r="E759" s="19" t="s">
        <v>1895</v>
      </c>
      <c r="F759" s="19" t="s">
        <v>1859</v>
      </c>
      <c r="G759" s="19" t="s">
        <v>1947</v>
      </c>
      <c r="H759" s="19">
        <v>19</v>
      </c>
      <c r="I759" s="19">
        <v>3901.75</v>
      </c>
      <c r="J759" s="19">
        <v>74133.25</v>
      </c>
    </row>
    <row r="760" ht="15.25" spans="1:10">
      <c r="A760" s="18" t="s">
        <v>2106</v>
      </c>
      <c r="B760" s="19" t="s">
        <v>1855</v>
      </c>
      <c r="C760" s="19" t="s">
        <v>1856</v>
      </c>
      <c r="D760" s="19" t="s">
        <v>1857</v>
      </c>
      <c r="E760" s="19" t="s">
        <v>1858</v>
      </c>
      <c r="F760" s="19" t="s">
        <v>1868</v>
      </c>
      <c r="G760" s="19" t="s">
        <v>1869</v>
      </c>
      <c r="H760" s="19">
        <v>10</v>
      </c>
      <c r="I760" s="19">
        <v>3031.91</v>
      </c>
      <c r="J760" s="19">
        <v>30319.1</v>
      </c>
    </row>
    <row r="761" ht="26.75" spans="1:10">
      <c r="A761" s="18">
        <v>45116</v>
      </c>
      <c r="B761" s="19" t="s">
        <v>1874</v>
      </c>
      <c r="C761" s="19" t="s">
        <v>1849</v>
      </c>
      <c r="D761" s="19" t="s">
        <v>1850</v>
      </c>
      <c r="E761" s="19" t="s">
        <v>1851</v>
      </c>
      <c r="F761" s="19" t="s">
        <v>1859</v>
      </c>
      <c r="G761" s="19" t="s">
        <v>1860</v>
      </c>
      <c r="H761" s="19">
        <v>18</v>
      </c>
      <c r="I761" s="19">
        <v>3575.04</v>
      </c>
      <c r="J761" s="19">
        <v>64350.72</v>
      </c>
    </row>
    <row r="762" ht="15.25" spans="1:10">
      <c r="A762" s="18">
        <v>44935</v>
      </c>
      <c r="B762" s="19" t="s">
        <v>1878</v>
      </c>
      <c r="C762" s="19" t="s">
        <v>1602</v>
      </c>
      <c r="D762" s="19" t="s">
        <v>1862</v>
      </c>
      <c r="E762" s="19" t="s">
        <v>1858</v>
      </c>
      <c r="F762" s="19" t="s">
        <v>1868</v>
      </c>
      <c r="G762" s="19" t="s">
        <v>1907</v>
      </c>
      <c r="H762" s="19">
        <v>17</v>
      </c>
      <c r="I762" s="19">
        <v>2920.06</v>
      </c>
      <c r="J762" s="19">
        <v>49641.02</v>
      </c>
    </row>
    <row r="763" ht="26.75" spans="1:10">
      <c r="A763" s="18" t="s">
        <v>2096</v>
      </c>
      <c r="B763" s="19" t="s">
        <v>1889</v>
      </c>
      <c r="C763" s="19" t="s">
        <v>1593</v>
      </c>
      <c r="D763" s="19" t="s">
        <v>1850</v>
      </c>
      <c r="E763" s="19" t="s">
        <v>1851</v>
      </c>
      <c r="F763" s="19" t="s">
        <v>1876</v>
      </c>
      <c r="G763" s="19" t="s">
        <v>1930</v>
      </c>
      <c r="H763" s="19">
        <v>15</v>
      </c>
      <c r="I763" s="19">
        <v>2796.48</v>
      </c>
      <c r="J763" s="19">
        <v>41947.2</v>
      </c>
    </row>
    <row r="764" ht="15.25" spans="1:10">
      <c r="A764" s="18" t="s">
        <v>2107</v>
      </c>
      <c r="B764" s="19" t="s">
        <v>1871</v>
      </c>
      <c r="C764" s="19" t="s">
        <v>1626</v>
      </c>
      <c r="D764" s="19" t="s">
        <v>1857</v>
      </c>
      <c r="E764" s="19" t="s">
        <v>1858</v>
      </c>
      <c r="F764" s="19" t="s">
        <v>1876</v>
      </c>
      <c r="G764" s="19" t="s">
        <v>1883</v>
      </c>
      <c r="H764" s="19">
        <v>1</v>
      </c>
      <c r="I764" s="19">
        <v>2918.29</v>
      </c>
      <c r="J764" s="19">
        <v>2918.29</v>
      </c>
    </row>
    <row r="765" ht="15.25" spans="1:10">
      <c r="A765" s="18" t="s">
        <v>2108</v>
      </c>
      <c r="B765" s="19" t="s">
        <v>1878</v>
      </c>
      <c r="C765" s="19" t="s">
        <v>1610</v>
      </c>
      <c r="D765" s="19" t="s">
        <v>1879</v>
      </c>
      <c r="E765" s="19" t="s">
        <v>1851</v>
      </c>
      <c r="F765" s="19" t="s">
        <v>1852</v>
      </c>
      <c r="G765" s="19" t="s">
        <v>1910</v>
      </c>
      <c r="H765" s="19">
        <v>10</v>
      </c>
      <c r="I765" s="19">
        <v>1097.83</v>
      </c>
      <c r="J765" s="19">
        <v>10978.3</v>
      </c>
    </row>
    <row r="766" ht="26.75" spans="1:10">
      <c r="A766" s="18">
        <v>45262</v>
      </c>
      <c r="B766" s="19" t="s">
        <v>1848</v>
      </c>
      <c r="C766" s="19" t="s">
        <v>1593</v>
      </c>
      <c r="D766" s="19" t="s">
        <v>1850</v>
      </c>
      <c r="E766" s="19" t="s">
        <v>1851</v>
      </c>
      <c r="F766" s="19" t="s">
        <v>1865</v>
      </c>
      <c r="G766" s="19" t="s">
        <v>1890</v>
      </c>
      <c r="H766" s="19">
        <v>10</v>
      </c>
      <c r="I766" s="19">
        <v>3391.5</v>
      </c>
      <c r="J766" s="19">
        <v>33915</v>
      </c>
    </row>
    <row r="767" ht="15.25" spans="1:10">
      <c r="A767" s="18">
        <v>45176</v>
      </c>
      <c r="B767" s="19" t="s">
        <v>1892</v>
      </c>
      <c r="C767" s="19" t="s">
        <v>1589</v>
      </c>
      <c r="D767" s="19" t="s">
        <v>1884</v>
      </c>
      <c r="E767" s="19" t="s">
        <v>1895</v>
      </c>
      <c r="F767" s="19" t="s">
        <v>1868</v>
      </c>
      <c r="G767" s="19" t="s">
        <v>1907</v>
      </c>
      <c r="H767" s="19">
        <v>13</v>
      </c>
      <c r="I767" s="19">
        <v>2225.88</v>
      </c>
      <c r="J767" s="19">
        <v>28936.44</v>
      </c>
    </row>
    <row r="768" ht="26.75" spans="1:10">
      <c r="A768" s="18">
        <v>45058</v>
      </c>
      <c r="B768" s="19" t="s">
        <v>1874</v>
      </c>
      <c r="C768" s="19" t="s">
        <v>1598</v>
      </c>
      <c r="D768" s="19" t="s">
        <v>1850</v>
      </c>
      <c r="E768" s="19" t="s">
        <v>1851</v>
      </c>
      <c r="F768" s="19" t="s">
        <v>1865</v>
      </c>
      <c r="G768" s="19" t="s">
        <v>1890</v>
      </c>
      <c r="H768" s="19">
        <v>2</v>
      </c>
      <c r="I768" s="19">
        <v>1559.76</v>
      </c>
      <c r="J768" s="19">
        <v>3119.52</v>
      </c>
    </row>
    <row r="769" ht="15.25" spans="1:10">
      <c r="A769" s="18" t="s">
        <v>1987</v>
      </c>
      <c r="B769" s="19" t="s">
        <v>1861</v>
      </c>
      <c r="C769" s="19" t="s">
        <v>1941</v>
      </c>
      <c r="D769" s="19" t="s">
        <v>1879</v>
      </c>
      <c r="E769" s="19" t="s">
        <v>1851</v>
      </c>
      <c r="F769" s="19" t="s">
        <v>1868</v>
      </c>
      <c r="G769" s="19" t="s">
        <v>1899</v>
      </c>
      <c r="H769" s="19">
        <v>13</v>
      </c>
      <c r="I769" s="19">
        <v>4719.96</v>
      </c>
      <c r="J769" s="19">
        <v>61359.48</v>
      </c>
    </row>
    <row r="770" ht="15.25" spans="1:10">
      <c r="A770" s="18" t="s">
        <v>2109</v>
      </c>
      <c r="B770" s="19" t="s">
        <v>1902</v>
      </c>
      <c r="C770" s="19" t="s">
        <v>1602</v>
      </c>
      <c r="D770" s="19" t="s">
        <v>1862</v>
      </c>
      <c r="E770" s="19" t="s">
        <v>1858</v>
      </c>
      <c r="F770" s="19" t="s">
        <v>1859</v>
      </c>
      <c r="G770" s="19" t="s">
        <v>1872</v>
      </c>
      <c r="H770" s="19">
        <v>5</v>
      </c>
      <c r="I770" s="19">
        <v>1593.02</v>
      </c>
      <c r="J770" s="19">
        <v>7965.1</v>
      </c>
    </row>
    <row r="771" ht="15.25" spans="1:10">
      <c r="A771" s="18" t="s">
        <v>1928</v>
      </c>
      <c r="B771" s="19" t="s">
        <v>1871</v>
      </c>
      <c r="C771" s="19" t="s">
        <v>1626</v>
      </c>
      <c r="D771" s="19" t="s">
        <v>1857</v>
      </c>
      <c r="E771" s="19" t="s">
        <v>1858</v>
      </c>
      <c r="F771" s="19" t="s">
        <v>1865</v>
      </c>
      <c r="G771" s="19" t="s">
        <v>1866</v>
      </c>
      <c r="H771" s="19">
        <v>7</v>
      </c>
      <c r="I771" s="19">
        <v>1233.63</v>
      </c>
      <c r="J771" s="19">
        <v>8635.41</v>
      </c>
    </row>
    <row r="772" ht="15.25" spans="1:10">
      <c r="A772" s="18" t="s">
        <v>1980</v>
      </c>
      <c r="B772" s="19" t="s">
        <v>1867</v>
      </c>
      <c r="C772" s="19" t="s">
        <v>1864</v>
      </c>
      <c r="D772" s="19" t="s">
        <v>1857</v>
      </c>
      <c r="E772" s="19" t="s">
        <v>1858</v>
      </c>
      <c r="F772" s="19" t="s">
        <v>1876</v>
      </c>
      <c r="G772" s="19" t="s">
        <v>1926</v>
      </c>
      <c r="H772" s="19">
        <v>2</v>
      </c>
      <c r="I772" s="19">
        <v>2261.69</v>
      </c>
      <c r="J772" s="19">
        <v>4523.38</v>
      </c>
    </row>
    <row r="773" ht="15.25" spans="1:10">
      <c r="A773" s="18">
        <v>45235</v>
      </c>
      <c r="B773" s="19" t="s">
        <v>1878</v>
      </c>
      <c r="C773" s="19" t="s">
        <v>1856</v>
      </c>
      <c r="D773" s="19" t="s">
        <v>1857</v>
      </c>
      <c r="E773" s="19" t="s">
        <v>1858</v>
      </c>
      <c r="F773" s="19" t="s">
        <v>1868</v>
      </c>
      <c r="G773" s="19" t="s">
        <v>1907</v>
      </c>
      <c r="H773" s="19">
        <v>15</v>
      </c>
      <c r="I773" s="19">
        <v>1197.31</v>
      </c>
      <c r="J773" s="19">
        <v>17959.65</v>
      </c>
    </row>
    <row r="774" ht="15.25" spans="1:10">
      <c r="A774" s="18">
        <v>45173</v>
      </c>
      <c r="B774" s="19" t="s">
        <v>1855</v>
      </c>
      <c r="C774" s="19" t="s">
        <v>1875</v>
      </c>
      <c r="D774" s="19" t="s">
        <v>1862</v>
      </c>
      <c r="E774" s="19" t="s">
        <v>1858</v>
      </c>
      <c r="F774" s="19" t="s">
        <v>1859</v>
      </c>
      <c r="G774" s="19" t="s">
        <v>1872</v>
      </c>
      <c r="H774" s="19">
        <v>9</v>
      </c>
      <c r="I774" s="19">
        <v>3441.09</v>
      </c>
      <c r="J774" s="19">
        <v>30969.81</v>
      </c>
    </row>
    <row r="775" ht="15.25" spans="1:10">
      <c r="A775" s="18" t="s">
        <v>2053</v>
      </c>
      <c r="B775" s="19" t="s">
        <v>1855</v>
      </c>
      <c r="C775" s="19" t="s">
        <v>1589</v>
      </c>
      <c r="D775" s="19" t="s">
        <v>1884</v>
      </c>
      <c r="E775" s="19" t="s">
        <v>1895</v>
      </c>
      <c r="F775" s="19" t="s">
        <v>1852</v>
      </c>
      <c r="G775" s="19" t="s">
        <v>1934</v>
      </c>
      <c r="H775" s="19">
        <v>2</v>
      </c>
      <c r="I775" s="19">
        <v>3325.99</v>
      </c>
      <c r="J775" s="19">
        <v>6651.98</v>
      </c>
    </row>
    <row r="776" ht="26.75" spans="1:10">
      <c r="A776" s="18" t="s">
        <v>2075</v>
      </c>
      <c r="B776" s="19" t="s">
        <v>1902</v>
      </c>
      <c r="C776" s="19" t="s">
        <v>1593</v>
      </c>
      <c r="D776" s="19" t="s">
        <v>1850</v>
      </c>
      <c r="E776" s="19" t="s">
        <v>1851</v>
      </c>
      <c r="F776" s="19" t="s">
        <v>1865</v>
      </c>
      <c r="G776" s="19" t="s">
        <v>1866</v>
      </c>
      <c r="H776" s="19">
        <v>2</v>
      </c>
      <c r="I776" s="19">
        <v>991.8</v>
      </c>
      <c r="J776" s="19">
        <v>1983.6</v>
      </c>
    </row>
    <row r="777" ht="15.25" spans="1:10">
      <c r="A777" s="18" t="s">
        <v>2097</v>
      </c>
      <c r="B777" s="19" t="s">
        <v>1892</v>
      </c>
      <c r="C777" s="19" t="s">
        <v>1589</v>
      </c>
      <c r="D777" s="19" t="s">
        <v>1884</v>
      </c>
      <c r="E777" s="19" t="s">
        <v>1895</v>
      </c>
      <c r="F777" s="19" t="s">
        <v>1868</v>
      </c>
      <c r="G777" s="19" t="s">
        <v>1869</v>
      </c>
      <c r="H777" s="19">
        <v>9</v>
      </c>
      <c r="I777" s="19">
        <v>4763.01</v>
      </c>
      <c r="J777" s="19">
        <v>42867.09</v>
      </c>
    </row>
    <row r="778" ht="15.25" spans="1:10">
      <c r="A778" s="18" t="s">
        <v>1983</v>
      </c>
      <c r="B778" s="19" t="s">
        <v>1889</v>
      </c>
      <c r="C778" s="19" t="s">
        <v>1941</v>
      </c>
      <c r="D778" s="19" t="s">
        <v>1879</v>
      </c>
      <c r="E778" s="19" t="s">
        <v>1851</v>
      </c>
      <c r="F778" s="19" t="s">
        <v>1865</v>
      </c>
      <c r="G778" s="19" t="s">
        <v>1920</v>
      </c>
      <c r="H778" s="19">
        <v>8</v>
      </c>
      <c r="I778" s="19">
        <v>826.71</v>
      </c>
      <c r="J778" s="19">
        <v>6613.68</v>
      </c>
    </row>
    <row r="779" ht="15.25" spans="1:10">
      <c r="A779" s="18" t="s">
        <v>1880</v>
      </c>
      <c r="B779" s="19" t="s">
        <v>1848</v>
      </c>
      <c r="C779" s="19" t="s">
        <v>1602</v>
      </c>
      <c r="D779" s="19" t="s">
        <v>1862</v>
      </c>
      <c r="E779" s="19" t="s">
        <v>1858</v>
      </c>
      <c r="F779" s="19" t="s">
        <v>1868</v>
      </c>
      <c r="G779" s="19" t="s">
        <v>1917</v>
      </c>
      <c r="H779" s="19">
        <v>9</v>
      </c>
      <c r="I779" s="19">
        <v>209.57</v>
      </c>
      <c r="J779" s="19">
        <v>1886.13</v>
      </c>
    </row>
    <row r="780" ht="15.25" spans="1:10">
      <c r="A780" s="18" t="s">
        <v>2024</v>
      </c>
      <c r="B780" s="19" t="s">
        <v>1871</v>
      </c>
      <c r="C780" s="19" t="s">
        <v>1602</v>
      </c>
      <c r="D780" s="19" t="s">
        <v>1862</v>
      </c>
      <c r="E780" s="19" t="s">
        <v>1858</v>
      </c>
      <c r="F780" s="19" t="s">
        <v>1876</v>
      </c>
      <c r="G780" s="19" t="s">
        <v>1877</v>
      </c>
      <c r="H780" s="19">
        <v>7</v>
      </c>
      <c r="I780" s="19">
        <v>2538.43</v>
      </c>
      <c r="J780" s="19">
        <v>17769.01</v>
      </c>
    </row>
    <row r="781" ht="15.25" spans="1:10">
      <c r="A781" s="18" t="s">
        <v>2065</v>
      </c>
      <c r="B781" s="19" t="s">
        <v>1867</v>
      </c>
      <c r="C781" s="19" t="s">
        <v>1898</v>
      </c>
      <c r="D781" s="19" t="s">
        <v>1879</v>
      </c>
      <c r="E781" s="19" t="s">
        <v>1851</v>
      </c>
      <c r="F781" s="19" t="s">
        <v>1868</v>
      </c>
      <c r="G781" s="19" t="s">
        <v>1907</v>
      </c>
      <c r="H781" s="19">
        <v>7</v>
      </c>
      <c r="I781" s="19">
        <v>4116.98</v>
      </c>
      <c r="J781" s="19">
        <v>28818.86</v>
      </c>
    </row>
    <row r="782" ht="26.75" spans="1:10">
      <c r="A782" s="18">
        <v>44933</v>
      </c>
      <c r="B782" s="19" t="s">
        <v>1855</v>
      </c>
      <c r="C782" s="19" t="s">
        <v>1598</v>
      </c>
      <c r="D782" s="19" t="s">
        <v>1850</v>
      </c>
      <c r="E782" s="19" t="s">
        <v>1851</v>
      </c>
      <c r="F782" s="19" t="s">
        <v>1876</v>
      </c>
      <c r="G782" s="19" t="s">
        <v>1883</v>
      </c>
      <c r="H782" s="19">
        <v>20</v>
      </c>
      <c r="I782" s="19">
        <v>3638.01</v>
      </c>
      <c r="J782" s="19">
        <v>72760.2</v>
      </c>
    </row>
    <row r="783" ht="15.25" spans="1:10">
      <c r="A783" s="18" t="s">
        <v>2105</v>
      </c>
      <c r="B783" s="19" t="s">
        <v>1902</v>
      </c>
      <c r="C783" s="19" t="s">
        <v>1894</v>
      </c>
      <c r="D783" s="19" t="s">
        <v>1884</v>
      </c>
      <c r="E783" s="19" t="s">
        <v>1895</v>
      </c>
      <c r="F783" s="19" t="s">
        <v>1852</v>
      </c>
      <c r="G783" s="19" t="s">
        <v>1934</v>
      </c>
      <c r="H783" s="19">
        <v>8</v>
      </c>
      <c r="I783" s="19">
        <v>4523.44</v>
      </c>
      <c r="J783" s="19">
        <v>36187.52</v>
      </c>
    </row>
    <row r="784" ht="15.25" spans="1:10">
      <c r="A784" s="18" t="s">
        <v>2101</v>
      </c>
      <c r="B784" s="19" t="s">
        <v>1867</v>
      </c>
      <c r="C784" s="19" t="s">
        <v>1589</v>
      </c>
      <c r="D784" s="19" t="s">
        <v>1884</v>
      </c>
      <c r="E784" s="19" t="s">
        <v>1895</v>
      </c>
      <c r="F784" s="19" t="s">
        <v>1852</v>
      </c>
      <c r="G784" s="19" t="s">
        <v>1910</v>
      </c>
      <c r="H784" s="19">
        <v>17</v>
      </c>
      <c r="I784" s="19">
        <v>2042</v>
      </c>
      <c r="J784" s="19">
        <v>34714</v>
      </c>
    </row>
    <row r="785" ht="15.25" spans="1:10">
      <c r="A785" s="18" t="s">
        <v>1975</v>
      </c>
      <c r="B785" s="19" t="s">
        <v>1902</v>
      </c>
      <c r="C785" s="19" t="s">
        <v>1864</v>
      </c>
      <c r="D785" s="19" t="s">
        <v>1857</v>
      </c>
      <c r="E785" s="19" t="s">
        <v>1858</v>
      </c>
      <c r="F785" s="19" t="s">
        <v>1859</v>
      </c>
      <c r="G785" s="19" t="s">
        <v>1860</v>
      </c>
      <c r="H785" s="19">
        <v>19</v>
      </c>
      <c r="I785" s="19">
        <v>2357.62</v>
      </c>
      <c r="J785" s="19">
        <v>44794.78</v>
      </c>
    </row>
    <row r="786" ht="15.25" spans="1:10">
      <c r="A786" s="18">
        <v>45079</v>
      </c>
      <c r="B786" s="19" t="s">
        <v>1861</v>
      </c>
      <c r="C786" s="19" t="s">
        <v>1875</v>
      </c>
      <c r="D786" s="19" t="s">
        <v>1862</v>
      </c>
      <c r="E786" s="19" t="s">
        <v>1858</v>
      </c>
      <c r="F786" s="19" t="s">
        <v>1865</v>
      </c>
      <c r="G786" s="19" t="s">
        <v>1866</v>
      </c>
      <c r="H786" s="19">
        <v>18</v>
      </c>
      <c r="I786" s="19">
        <v>941.19</v>
      </c>
      <c r="J786" s="19">
        <v>16941.42</v>
      </c>
    </row>
    <row r="787" ht="15.25" spans="1:10">
      <c r="A787" s="18">
        <v>45021</v>
      </c>
      <c r="B787" s="19" t="s">
        <v>1892</v>
      </c>
      <c r="C787" s="19" t="s">
        <v>1856</v>
      </c>
      <c r="D787" s="19" t="s">
        <v>1857</v>
      </c>
      <c r="E787" s="19" t="s">
        <v>1858</v>
      </c>
      <c r="F787" s="19" t="s">
        <v>1865</v>
      </c>
      <c r="G787" s="19" t="s">
        <v>1890</v>
      </c>
      <c r="H787" s="19">
        <v>9</v>
      </c>
      <c r="I787" s="19">
        <v>3927.83</v>
      </c>
      <c r="J787" s="19">
        <v>35350.47</v>
      </c>
    </row>
    <row r="788" ht="15.25" spans="1:10">
      <c r="A788" s="18" t="s">
        <v>1998</v>
      </c>
      <c r="B788" s="19" t="s">
        <v>1855</v>
      </c>
      <c r="C788" s="19" t="s">
        <v>1602</v>
      </c>
      <c r="D788" s="19" t="s">
        <v>1862</v>
      </c>
      <c r="E788" s="19" t="s">
        <v>1858</v>
      </c>
      <c r="F788" s="19" t="s">
        <v>1868</v>
      </c>
      <c r="G788" s="19" t="s">
        <v>1907</v>
      </c>
      <c r="H788" s="19">
        <v>1</v>
      </c>
      <c r="I788" s="19">
        <v>4555.42</v>
      </c>
      <c r="J788" s="19">
        <v>4555.42</v>
      </c>
    </row>
    <row r="789" ht="26.75" spans="1:10">
      <c r="A789" s="18" t="s">
        <v>2036</v>
      </c>
      <c r="B789" s="19" t="s">
        <v>1871</v>
      </c>
      <c r="C789" s="19" t="s">
        <v>1849</v>
      </c>
      <c r="D789" s="19" t="s">
        <v>1850</v>
      </c>
      <c r="E789" s="19" t="s">
        <v>1851</v>
      </c>
      <c r="F789" s="19" t="s">
        <v>1865</v>
      </c>
      <c r="G789" s="19" t="s">
        <v>1890</v>
      </c>
      <c r="H789" s="19">
        <v>18</v>
      </c>
      <c r="I789" s="19">
        <v>3271.29</v>
      </c>
      <c r="J789" s="19">
        <v>58883.22</v>
      </c>
    </row>
    <row r="790" ht="15.25" spans="1:10">
      <c r="A790" s="18" t="s">
        <v>1954</v>
      </c>
      <c r="B790" s="19" t="s">
        <v>1848</v>
      </c>
      <c r="C790" s="19" t="s">
        <v>1941</v>
      </c>
      <c r="D790" s="19" t="s">
        <v>1879</v>
      </c>
      <c r="E790" s="19" t="s">
        <v>1851</v>
      </c>
      <c r="F790" s="19" t="s">
        <v>1876</v>
      </c>
      <c r="G790" s="19" t="s">
        <v>1926</v>
      </c>
      <c r="H790" s="19">
        <v>15</v>
      </c>
      <c r="I790" s="19">
        <v>4406.31</v>
      </c>
      <c r="J790" s="19">
        <v>66094.65</v>
      </c>
    </row>
    <row r="791" ht="15.25" spans="1:10">
      <c r="A791" s="18">
        <v>44997</v>
      </c>
      <c r="B791" s="19" t="s">
        <v>1889</v>
      </c>
      <c r="C791" s="19" t="s">
        <v>1898</v>
      </c>
      <c r="D791" s="19" t="s">
        <v>1879</v>
      </c>
      <c r="E791" s="19" t="s">
        <v>1851</v>
      </c>
      <c r="F791" s="19" t="s">
        <v>1859</v>
      </c>
      <c r="G791" s="19" t="s">
        <v>1947</v>
      </c>
      <c r="H791" s="19">
        <v>19</v>
      </c>
      <c r="I791" s="19">
        <v>2016.56</v>
      </c>
      <c r="J791" s="19">
        <v>38314.64</v>
      </c>
    </row>
    <row r="792" ht="15.25" spans="1:10">
      <c r="A792" s="18" t="s">
        <v>2090</v>
      </c>
      <c r="B792" s="19" t="s">
        <v>1889</v>
      </c>
      <c r="C792" s="19" t="s">
        <v>1941</v>
      </c>
      <c r="D792" s="19" t="s">
        <v>1879</v>
      </c>
      <c r="E792" s="19" t="s">
        <v>1851</v>
      </c>
      <c r="F792" s="19" t="s">
        <v>1852</v>
      </c>
      <c r="G792" s="19" t="s">
        <v>1950</v>
      </c>
      <c r="H792" s="19">
        <v>13</v>
      </c>
      <c r="I792" s="19">
        <v>3531.03</v>
      </c>
      <c r="J792" s="19">
        <v>45903.39</v>
      </c>
    </row>
    <row r="793" ht="15.25" spans="1:10">
      <c r="A793" s="18" t="s">
        <v>2110</v>
      </c>
      <c r="B793" s="19" t="s">
        <v>1874</v>
      </c>
      <c r="C793" s="19" t="s">
        <v>1856</v>
      </c>
      <c r="D793" s="19" t="s">
        <v>1857</v>
      </c>
      <c r="E793" s="19" t="s">
        <v>1858</v>
      </c>
      <c r="F793" s="19" t="s">
        <v>1852</v>
      </c>
      <c r="G793" s="19" t="s">
        <v>1853</v>
      </c>
      <c r="H793" s="19">
        <v>7</v>
      </c>
      <c r="I793" s="19">
        <v>4077.95</v>
      </c>
      <c r="J793" s="19">
        <v>28545.65</v>
      </c>
    </row>
    <row r="794" ht="15.25" spans="1:10">
      <c r="A794" s="18" t="s">
        <v>2051</v>
      </c>
      <c r="B794" s="19" t="s">
        <v>1871</v>
      </c>
      <c r="C794" s="19" t="s">
        <v>1875</v>
      </c>
      <c r="D794" s="19" t="s">
        <v>1862</v>
      </c>
      <c r="E794" s="19" t="s">
        <v>1858</v>
      </c>
      <c r="F794" s="19" t="s">
        <v>1868</v>
      </c>
      <c r="G794" s="19" t="s">
        <v>1917</v>
      </c>
      <c r="H794" s="19">
        <v>1</v>
      </c>
      <c r="I794" s="19">
        <v>1628.88</v>
      </c>
      <c r="J794" s="19">
        <v>1628.88</v>
      </c>
    </row>
    <row r="795" ht="15.25" spans="1:10">
      <c r="A795" s="18" t="s">
        <v>1901</v>
      </c>
      <c r="B795" s="19" t="s">
        <v>1855</v>
      </c>
      <c r="C795" s="19" t="s">
        <v>1602</v>
      </c>
      <c r="D795" s="19" t="s">
        <v>1862</v>
      </c>
      <c r="E795" s="19" t="s">
        <v>1858</v>
      </c>
      <c r="F795" s="19" t="s">
        <v>1865</v>
      </c>
      <c r="G795" s="19" t="s">
        <v>1866</v>
      </c>
      <c r="H795" s="19">
        <v>15</v>
      </c>
      <c r="I795" s="19">
        <v>2093.03</v>
      </c>
      <c r="J795" s="19">
        <v>31395.45</v>
      </c>
    </row>
    <row r="796" ht="15.25" spans="1:10">
      <c r="A796" s="18">
        <v>44992</v>
      </c>
      <c r="B796" s="19" t="s">
        <v>1892</v>
      </c>
      <c r="C796" s="19" t="s">
        <v>1903</v>
      </c>
      <c r="D796" s="19" t="s">
        <v>1884</v>
      </c>
      <c r="E796" s="19" t="s">
        <v>1895</v>
      </c>
      <c r="F796" s="19" t="s">
        <v>1865</v>
      </c>
      <c r="G796" s="19" t="s">
        <v>1890</v>
      </c>
      <c r="H796" s="19">
        <v>14</v>
      </c>
      <c r="I796" s="19">
        <v>2441.07</v>
      </c>
      <c r="J796" s="19">
        <v>34174.98</v>
      </c>
    </row>
    <row r="797" ht="26.75" spans="1:10">
      <c r="A797" s="18">
        <v>45266</v>
      </c>
      <c r="B797" s="19" t="s">
        <v>1902</v>
      </c>
      <c r="C797" s="19" t="s">
        <v>1598</v>
      </c>
      <c r="D797" s="19" t="s">
        <v>1850</v>
      </c>
      <c r="E797" s="19" t="s">
        <v>1851</v>
      </c>
      <c r="F797" s="19" t="s">
        <v>1852</v>
      </c>
      <c r="G797" s="19" t="s">
        <v>1934</v>
      </c>
      <c r="H797" s="19">
        <v>18</v>
      </c>
      <c r="I797" s="19">
        <v>134.67</v>
      </c>
      <c r="J797" s="19">
        <v>2424.06</v>
      </c>
    </row>
    <row r="798" ht="15.25" spans="1:10">
      <c r="A798" s="18">
        <v>45207</v>
      </c>
      <c r="B798" s="19" t="s">
        <v>1855</v>
      </c>
      <c r="C798" s="19" t="s">
        <v>1875</v>
      </c>
      <c r="D798" s="19" t="s">
        <v>1862</v>
      </c>
      <c r="E798" s="19" t="s">
        <v>1858</v>
      </c>
      <c r="F798" s="19" t="s">
        <v>1876</v>
      </c>
      <c r="G798" s="19" t="s">
        <v>1877</v>
      </c>
      <c r="H798" s="19">
        <v>8</v>
      </c>
      <c r="I798" s="19">
        <v>2518.13</v>
      </c>
      <c r="J798" s="19">
        <v>20145.04</v>
      </c>
    </row>
    <row r="799" ht="15.25" spans="1:10">
      <c r="A799" s="18">
        <v>45054</v>
      </c>
      <c r="B799" s="19" t="s">
        <v>1861</v>
      </c>
      <c r="C799" s="19" t="s">
        <v>1903</v>
      </c>
      <c r="D799" s="19" t="s">
        <v>1884</v>
      </c>
      <c r="E799" s="19" t="s">
        <v>1895</v>
      </c>
      <c r="F799" s="19" t="s">
        <v>1859</v>
      </c>
      <c r="G799" s="19" t="s">
        <v>1922</v>
      </c>
      <c r="H799" s="19">
        <v>1</v>
      </c>
      <c r="I799" s="19">
        <v>2366.64</v>
      </c>
      <c r="J799" s="19">
        <v>2366.64</v>
      </c>
    </row>
    <row r="800" ht="26.75" spans="1:10">
      <c r="A800" s="18">
        <v>45028</v>
      </c>
      <c r="B800" s="19" t="s">
        <v>1855</v>
      </c>
      <c r="C800" s="19" t="s">
        <v>1593</v>
      </c>
      <c r="D800" s="19" t="s">
        <v>1850</v>
      </c>
      <c r="E800" s="19" t="s">
        <v>1851</v>
      </c>
      <c r="F800" s="19" t="s">
        <v>1859</v>
      </c>
      <c r="G800" s="19" t="s">
        <v>1860</v>
      </c>
      <c r="H800" s="19">
        <v>14</v>
      </c>
      <c r="I800" s="19">
        <v>3167.49</v>
      </c>
      <c r="J800" s="19">
        <v>44344.86</v>
      </c>
    </row>
    <row r="801" ht="26.75" spans="1:10">
      <c r="A801" s="18">
        <v>45265</v>
      </c>
      <c r="B801" s="19" t="s">
        <v>1871</v>
      </c>
      <c r="C801" s="19" t="s">
        <v>1593</v>
      </c>
      <c r="D801" s="19" t="s">
        <v>1850</v>
      </c>
      <c r="E801" s="19" t="s">
        <v>1851</v>
      </c>
      <c r="F801" s="19" t="s">
        <v>1876</v>
      </c>
      <c r="G801" s="19" t="s">
        <v>1883</v>
      </c>
      <c r="H801" s="19">
        <v>9</v>
      </c>
      <c r="I801" s="19">
        <v>109.56</v>
      </c>
      <c r="J801" s="19">
        <v>986.04</v>
      </c>
    </row>
    <row r="802" ht="15.25" spans="1:10">
      <c r="A802" s="18">
        <v>44963</v>
      </c>
      <c r="B802" s="19" t="s">
        <v>1874</v>
      </c>
      <c r="C802" s="19" t="s">
        <v>1903</v>
      </c>
      <c r="D802" s="19" t="s">
        <v>1884</v>
      </c>
      <c r="E802" s="19" t="s">
        <v>1895</v>
      </c>
      <c r="F802" s="19" t="s">
        <v>1876</v>
      </c>
      <c r="G802" s="19" t="s">
        <v>1930</v>
      </c>
      <c r="H802" s="19">
        <v>20</v>
      </c>
      <c r="I802" s="19">
        <v>652.87</v>
      </c>
      <c r="J802" s="19">
        <v>13057.4</v>
      </c>
    </row>
    <row r="803" ht="15.25" spans="1:10">
      <c r="A803" s="18" t="s">
        <v>1992</v>
      </c>
      <c r="B803" s="19" t="s">
        <v>1871</v>
      </c>
      <c r="C803" s="19" t="s">
        <v>1602</v>
      </c>
      <c r="D803" s="19" t="s">
        <v>1862</v>
      </c>
      <c r="E803" s="19" t="s">
        <v>1858</v>
      </c>
      <c r="F803" s="19" t="s">
        <v>1865</v>
      </c>
      <c r="G803" s="19" t="s">
        <v>1890</v>
      </c>
      <c r="H803" s="19">
        <v>4</v>
      </c>
      <c r="I803" s="19">
        <v>2563.65</v>
      </c>
      <c r="J803" s="19">
        <v>10254.6</v>
      </c>
    </row>
    <row r="804" ht="15.25" spans="1:10">
      <c r="A804" s="18" t="s">
        <v>1968</v>
      </c>
      <c r="B804" s="19" t="s">
        <v>1867</v>
      </c>
      <c r="C804" s="19" t="s">
        <v>1626</v>
      </c>
      <c r="D804" s="19" t="s">
        <v>1857</v>
      </c>
      <c r="E804" s="19" t="s">
        <v>1858</v>
      </c>
      <c r="F804" s="19" t="s">
        <v>1868</v>
      </c>
      <c r="G804" s="19" t="s">
        <v>1899</v>
      </c>
      <c r="H804" s="19">
        <v>2</v>
      </c>
      <c r="I804" s="19">
        <v>771.23</v>
      </c>
      <c r="J804" s="19">
        <v>1542.46</v>
      </c>
    </row>
    <row r="805" ht="15.25" spans="1:10">
      <c r="A805" s="18" t="s">
        <v>2020</v>
      </c>
      <c r="B805" s="19" t="s">
        <v>1878</v>
      </c>
      <c r="C805" s="19" t="s">
        <v>1864</v>
      </c>
      <c r="D805" s="19" t="s">
        <v>1857</v>
      </c>
      <c r="E805" s="19" t="s">
        <v>1858</v>
      </c>
      <c r="F805" s="19" t="s">
        <v>1865</v>
      </c>
      <c r="G805" s="19" t="s">
        <v>1890</v>
      </c>
      <c r="H805" s="19">
        <v>19</v>
      </c>
      <c r="I805" s="19">
        <v>2290.68</v>
      </c>
      <c r="J805" s="19">
        <v>43522.92</v>
      </c>
    </row>
    <row r="806" ht="15.25" spans="1:10">
      <c r="A806" s="18" t="s">
        <v>1921</v>
      </c>
      <c r="B806" s="19" t="s">
        <v>1871</v>
      </c>
      <c r="C806" s="19" t="s">
        <v>1906</v>
      </c>
      <c r="D806" s="19" t="s">
        <v>1862</v>
      </c>
      <c r="E806" s="19" t="s">
        <v>1858</v>
      </c>
      <c r="F806" s="19" t="s">
        <v>1859</v>
      </c>
      <c r="G806" s="19" t="s">
        <v>1872</v>
      </c>
      <c r="H806" s="19">
        <v>9</v>
      </c>
      <c r="I806" s="19">
        <v>4965.3</v>
      </c>
      <c r="J806" s="19">
        <v>44687.7</v>
      </c>
    </row>
    <row r="807" ht="26.75" spans="1:10">
      <c r="A807" s="18" t="s">
        <v>2068</v>
      </c>
      <c r="B807" s="19" t="s">
        <v>1867</v>
      </c>
      <c r="C807" s="19" t="s">
        <v>1849</v>
      </c>
      <c r="D807" s="19" t="s">
        <v>1850</v>
      </c>
      <c r="E807" s="19" t="s">
        <v>1851</v>
      </c>
      <c r="F807" s="19" t="s">
        <v>1876</v>
      </c>
      <c r="G807" s="19" t="s">
        <v>1883</v>
      </c>
      <c r="H807" s="19">
        <v>4</v>
      </c>
      <c r="I807" s="19">
        <v>3684.5</v>
      </c>
      <c r="J807" s="19">
        <v>14738</v>
      </c>
    </row>
    <row r="808" ht="15.25" spans="1:10">
      <c r="A808" s="18">
        <v>45237</v>
      </c>
      <c r="B808" s="19" t="s">
        <v>1861</v>
      </c>
      <c r="C808" s="19" t="s">
        <v>1610</v>
      </c>
      <c r="D808" s="19" t="s">
        <v>1879</v>
      </c>
      <c r="E808" s="19" t="s">
        <v>1851</v>
      </c>
      <c r="F808" s="19" t="s">
        <v>1868</v>
      </c>
      <c r="G808" s="19" t="s">
        <v>1917</v>
      </c>
      <c r="H808" s="19">
        <v>14</v>
      </c>
      <c r="I808" s="19">
        <v>4566.12</v>
      </c>
      <c r="J808" s="19">
        <v>63925.68</v>
      </c>
    </row>
    <row r="809" ht="15.25" spans="1:10">
      <c r="A809" s="18" t="s">
        <v>1939</v>
      </c>
      <c r="B809" s="19" t="s">
        <v>1874</v>
      </c>
      <c r="C809" s="19" t="s">
        <v>1626</v>
      </c>
      <c r="D809" s="19" t="s">
        <v>1857</v>
      </c>
      <c r="E809" s="19" t="s">
        <v>1858</v>
      </c>
      <c r="F809" s="19" t="s">
        <v>1852</v>
      </c>
      <c r="G809" s="19" t="s">
        <v>1950</v>
      </c>
      <c r="H809" s="19">
        <v>17</v>
      </c>
      <c r="I809" s="19">
        <v>2246.82</v>
      </c>
      <c r="J809" s="19">
        <v>38195.94</v>
      </c>
    </row>
    <row r="810" ht="15.25" spans="1:10">
      <c r="A810" s="18">
        <v>45266</v>
      </c>
      <c r="B810" s="19" t="s">
        <v>1861</v>
      </c>
      <c r="C810" s="19" t="s">
        <v>1589</v>
      </c>
      <c r="D810" s="19" t="s">
        <v>1884</v>
      </c>
      <c r="E810" s="19" t="s">
        <v>1895</v>
      </c>
      <c r="F810" s="19" t="s">
        <v>1859</v>
      </c>
      <c r="G810" s="19" t="s">
        <v>1860</v>
      </c>
      <c r="H810" s="19">
        <v>3</v>
      </c>
      <c r="I810" s="19">
        <v>215.21</v>
      </c>
      <c r="J810" s="19">
        <v>645.63</v>
      </c>
    </row>
    <row r="811" ht="15.25" spans="1:10">
      <c r="A811" s="18" t="s">
        <v>2106</v>
      </c>
      <c r="B811" s="19" t="s">
        <v>1902</v>
      </c>
      <c r="C811" s="19" t="s">
        <v>1602</v>
      </c>
      <c r="D811" s="19" t="s">
        <v>1862</v>
      </c>
      <c r="E811" s="19" t="s">
        <v>1858</v>
      </c>
      <c r="F811" s="19" t="s">
        <v>1876</v>
      </c>
      <c r="G811" s="19" t="s">
        <v>1877</v>
      </c>
      <c r="H811" s="19">
        <v>7</v>
      </c>
      <c r="I811" s="19">
        <v>1294.31</v>
      </c>
      <c r="J811" s="19">
        <v>9060.17</v>
      </c>
    </row>
    <row r="812" ht="15.25" spans="1:10">
      <c r="A812" s="18" t="s">
        <v>2038</v>
      </c>
      <c r="B812" s="19" t="s">
        <v>1871</v>
      </c>
      <c r="C812" s="19" t="s">
        <v>1941</v>
      </c>
      <c r="D812" s="19" t="s">
        <v>1879</v>
      </c>
      <c r="E812" s="19" t="s">
        <v>1851</v>
      </c>
      <c r="F812" s="19" t="s">
        <v>1868</v>
      </c>
      <c r="G812" s="19" t="s">
        <v>1917</v>
      </c>
      <c r="H812" s="19">
        <v>9</v>
      </c>
      <c r="I812" s="19">
        <v>1558.74</v>
      </c>
      <c r="J812" s="19">
        <v>14028.66</v>
      </c>
    </row>
    <row r="813" ht="15.25" spans="1:10">
      <c r="A813" s="18" t="s">
        <v>1970</v>
      </c>
      <c r="B813" s="19" t="s">
        <v>1889</v>
      </c>
      <c r="C813" s="19" t="s">
        <v>1856</v>
      </c>
      <c r="D813" s="19" t="s">
        <v>1857</v>
      </c>
      <c r="E813" s="19" t="s">
        <v>1858</v>
      </c>
      <c r="F813" s="19" t="s">
        <v>1859</v>
      </c>
      <c r="G813" s="19" t="s">
        <v>1947</v>
      </c>
      <c r="H813" s="19">
        <v>11</v>
      </c>
      <c r="I813" s="19">
        <v>4382.91</v>
      </c>
      <c r="J813" s="19">
        <v>48212.01</v>
      </c>
    </row>
    <row r="814" ht="15.25" spans="1:10">
      <c r="A814" s="18" t="s">
        <v>2078</v>
      </c>
      <c r="B814" s="19" t="s">
        <v>1871</v>
      </c>
      <c r="C814" s="19" t="s">
        <v>1589</v>
      </c>
      <c r="D814" s="19" t="s">
        <v>1884</v>
      </c>
      <c r="E814" s="19" t="s">
        <v>1895</v>
      </c>
      <c r="F814" s="19" t="s">
        <v>1876</v>
      </c>
      <c r="G814" s="19" t="s">
        <v>1926</v>
      </c>
      <c r="H814" s="19">
        <v>6</v>
      </c>
      <c r="I814" s="19">
        <v>4197.59</v>
      </c>
      <c r="J814" s="19">
        <v>25185.54</v>
      </c>
    </row>
    <row r="815" ht="15.25" spans="1:10">
      <c r="A815" s="18">
        <v>45018</v>
      </c>
      <c r="B815" s="19" t="s">
        <v>1848</v>
      </c>
      <c r="C815" s="19" t="s">
        <v>1626</v>
      </c>
      <c r="D815" s="19" t="s">
        <v>1857</v>
      </c>
      <c r="E815" s="19" t="s">
        <v>1858</v>
      </c>
      <c r="F815" s="19" t="s">
        <v>1859</v>
      </c>
      <c r="G815" s="19" t="s">
        <v>1947</v>
      </c>
      <c r="H815" s="19">
        <v>2</v>
      </c>
      <c r="I815" s="19">
        <v>4137.49</v>
      </c>
      <c r="J815" s="19">
        <v>8274.98</v>
      </c>
    </row>
    <row r="816" ht="15.25" spans="1:10">
      <c r="A816" s="18">
        <v>45271</v>
      </c>
      <c r="B816" s="19" t="s">
        <v>1878</v>
      </c>
      <c r="C816" s="19" t="s">
        <v>1903</v>
      </c>
      <c r="D816" s="19" t="s">
        <v>1884</v>
      </c>
      <c r="E816" s="19" t="s">
        <v>1895</v>
      </c>
      <c r="F816" s="19" t="s">
        <v>1876</v>
      </c>
      <c r="G816" s="19" t="s">
        <v>1926</v>
      </c>
      <c r="H816" s="19">
        <v>16</v>
      </c>
      <c r="I816" s="19">
        <v>1598.06</v>
      </c>
      <c r="J816" s="19">
        <v>25568.96</v>
      </c>
    </row>
    <row r="817" ht="15.25" spans="1:10">
      <c r="A817" s="18" t="s">
        <v>2109</v>
      </c>
      <c r="B817" s="19" t="s">
        <v>1855</v>
      </c>
      <c r="C817" s="19" t="s">
        <v>1589</v>
      </c>
      <c r="D817" s="19" t="s">
        <v>1884</v>
      </c>
      <c r="E817" s="19" t="s">
        <v>1895</v>
      </c>
      <c r="F817" s="19" t="s">
        <v>1852</v>
      </c>
      <c r="G817" s="19" t="s">
        <v>1950</v>
      </c>
      <c r="H817" s="19">
        <v>3</v>
      </c>
      <c r="I817" s="19">
        <v>3044.02</v>
      </c>
      <c r="J817" s="19">
        <v>9132.06</v>
      </c>
    </row>
    <row r="818" ht="26.75" spans="1:10">
      <c r="A818" s="18">
        <v>45170</v>
      </c>
      <c r="B818" s="19" t="s">
        <v>1848</v>
      </c>
      <c r="C818" s="19" t="s">
        <v>1598</v>
      </c>
      <c r="D818" s="19" t="s">
        <v>1850</v>
      </c>
      <c r="E818" s="19" t="s">
        <v>1851</v>
      </c>
      <c r="F818" s="19" t="s">
        <v>1865</v>
      </c>
      <c r="G818" s="19" t="s">
        <v>1920</v>
      </c>
      <c r="H818" s="19">
        <v>6</v>
      </c>
      <c r="I818" s="19">
        <v>4270.03</v>
      </c>
      <c r="J818" s="19">
        <v>25620.18</v>
      </c>
    </row>
    <row r="819" ht="26.75" spans="1:10">
      <c r="A819" s="18">
        <v>45208</v>
      </c>
      <c r="B819" s="19" t="s">
        <v>1855</v>
      </c>
      <c r="C819" s="19" t="s">
        <v>1598</v>
      </c>
      <c r="D819" s="19" t="s">
        <v>1850</v>
      </c>
      <c r="E819" s="19" t="s">
        <v>1851</v>
      </c>
      <c r="F819" s="19" t="s">
        <v>1852</v>
      </c>
      <c r="G819" s="19" t="s">
        <v>1950</v>
      </c>
      <c r="H819" s="19">
        <v>13</v>
      </c>
      <c r="I819" s="19">
        <v>298.09</v>
      </c>
      <c r="J819" s="19">
        <v>3875.17</v>
      </c>
    </row>
    <row r="820" ht="15.25" spans="1:10">
      <c r="A820" s="18" t="s">
        <v>1965</v>
      </c>
      <c r="B820" s="19" t="s">
        <v>1878</v>
      </c>
      <c r="C820" s="19" t="s">
        <v>1941</v>
      </c>
      <c r="D820" s="19" t="s">
        <v>1879</v>
      </c>
      <c r="E820" s="19" t="s">
        <v>1851</v>
      </c>
      <c r="F820" s="19" t="s">
        <v>1876</v>
      </c>
      <c r="G820" s="19" t="s">
        <v>1883</v>
      </c>
      <c r="H820" s="19">
        <v>3</v>
      </c>
      <c r="I820" s="19">
        <v>1453.68</v>
      </c>
      <c r="J820" s="19">
        <v>4361.04</v>
      </c>
    </row>
    <row r="821" ht="15.25" spans="1:10">
      <c r="A821" s="18" t="s">
        <v>1981</v>
      </c>
      <c r="B821" s="19" t="s">
        <v>1892</v>
      </c>
      <c r="C821" s="19" t="s">
        <v>1903</v>
      </c>
      <c r="D821" s="19" t="s">
        <v>1884</v>
      </c>
      <c r="E821" s="19" t="s">
        <v>1895</v>
      </c>
      <c r="F821" s="19" t="s">
        <v>1859</v>
      </c>
      <c r="G821" s="19" t="s">
        <v>1922</v>
      </c>
      <c r="H821" s="19">
        <v>4</v>
      </c>
      <c r="I821" s="19">
        <v>1009.78</v>
      </c>
      <c r="J821" s="19">
        <v>4039.12</v>
      </c>
    </row>
    <row r="822" ht="15.25" spans="1:10">
      <c r="A822" s="18">
        <v>45026</v>
      </c>
      <c r="B822" s="19" t="s">
        <v>1848</v>
      </c>
      <c r="C822" s="19" t="s">
        <v>1864</v>
      </c>
      <c r="D822" s="19" t="s">
        <v>1857</v>
      </c>
      <c r="E822" s="19" t="s">
        <v>1858</v>
      </c>
      <c r="F822" s="19" t="s">
        <v>1876</v>
      </c>
      <c r="G822" s="19" t="s">
        <v>1877</v>
      </c>
      <c r="H822" s="19">
        <v>12</v>
      </c>
      <c r="I822" s="19">
        <v>231.07</v>
      </c>
      <c r="J822" s="19">
        <v>2772.84</v>
      </c>
    </row>
    <row r="823" ht="26.75" spans="1:10">
      <c r="A823" s="18">
        <v>45079</v>
      </c>
      <c r="B823" s="19" t="s">
        <v>1848</v>
      </c>
      <c r="C823" s="19" t="s">
        <v>1849</v>
      </c>
      <c r="D823" s="19" t="s">
        <v>1850</v>
      </c>
      <c r="E823" s="19" t="s">
        <v>1851</v>
      </c>
      <c r="F823" s="19" t="s">
        <v>1876</v>
      </c>
      <c r="G823" s="19" t="s">
        <v>1883</v>
      </c>
      <c r="H823" s="19">
        <v>12</v>
      </c>
      <c r="I823" s="19">
        <v>1410.03</v>
      </c>
      <c r="J823" s="19">
        <v>16920.36</v>
      </c>
    </row>
    <row r="824" ht="26.75" spans="1:10">
      <c r="A824" s="18">
        <v>45171</v>
      </c>
      <c r="B824" s="19" t="s">
        <v>1878</v>
      </c>
      <c r="C824" s="19" t="s">
        <v>1598</v>
      </c>
      <c r="D824" s="19" t="s">
        <v>1850</v>
      </c>
      <c r="E824" s="19" t="s">
        <v>1851</v>
      </c>
      <c r="F824" s="19" t="s">
        <v>1859</v>
      </c>
      <c r="G824" s="19" t="s">
        <v>1872</v>
      </c>
      <c r="H824" s="19">
        <v>6</v>
      </c>
      <c r="I824" s="19">
        <v>1610.91</v>
      </c>
      <c r="J824" s="19">
        <v>9665.46</v>
      </c>
    </row>
    <row r="825" ht="15.25" spans="1:10">
      <c r="A825" s="18">
        <v>45109</v>
      </c>
      <c r="B825" s="19" t="s">
        <v>1889</v>
      </c>
      <c r="C825" s="19" t="s">
        <v>1906</v>
      </c>
      <c r="D825" s="19" t="s">
        <v>1862</v>
      </c>
      <c r="E825" s="19" t="s">
        <v>1858</v>
      </c>
      <c r="F825" s="19" t="s">
        <v>1859</v>
      </c>
      <c r="G825" s="19" t="s">
        <v>1872</v>
      </c>
      <c r="H825" s="19">
        <v>7</v>
      </c>
      <c r="I825" s="19">
        <v>3396.62</v>
      </c>
      <c r="J825" s="19">
        <v>23776.34</v>
      </c>
    </row>
    <row r="826" ht="15.25" spans="1:10">
      <c r="A826" s="18">
        <v>45145</v>
      </c>
      <c r="B826" s="19" t="s">
        <v>1902</v>
      </c>
      <c r="C826" s="19" t="s">
        <v>1906</v>
      </c>
      <c r="D826" s="19" t="s">
        <v>1862</v>
      </c>
      <c r="E826" s="19" t="s">
        <v>1858</v>
      </c>
      <c r="F826" s="19" t="s">
        <v>1859</v>
      </c>
      <c r="G826" s="19" t="s">
        <v>1922</v>
      </c>
      <c r="H826" s="19">
        <v>14</v>
      </c>
      <c r="I826" s="19">
        <v>4164.33</v>
      </c>
      <c r="J826" s="19">
        <v>58300.62</v>
      </c>
    </row>
    <row r="827" ht="26.75" spans="1:10">
      <c r="A827" s="18" t="s">
        <v>1915</v>
      </c>
      <c r="B827" s="19" t="s">
        <v>1902</v>
      </c>
      <c r="C827" s="19" t="s">
        <v>1849</v>
      </c>
      <c r="D827" s="19" t="s">
        <v>1850</v>
      </c>
      <c r="E827" s="19" t="s">
        <v>1851</v>
      </c>
      <c r="F827" s="19" t="s">
        <v>1852</v>
      </c>
      <c r="G827" s="19" t="s">
        <v>1910</v>
      </c>
      <c r="H827" s="19">
        <v>12</v>
      </c>
      <c r="I827" s="19">
        <v>4414.27</v>
      </c>
      <c r="J827" s="19">
        <v>52971.24</v>
      </c>
    </row>
    <row r="828" ht="15.25" spans="1:10">
      <c r="A828" s="18" t="s">
        <v>2083</v>
      </c>
      <c r="B828" s="19" t="s">
        <v>1889</v>
      </c>
      <c r="C828" s="19" t="s">
        <v>1626</v>
      </c>
      <c r="D828" s="19" t="s">
        <v>1857</v>
      </c>
      <c r="E828" s="19" t="s">
        <v>1858</v>
      </c>
      <c r="F828" s="19" t="s">
        <v>1865</v>
      </c>
      <c r="G828" s="19" t="s">
        <v>1920</v>
      </c>
      <c r="H828" s="19">
        <v>13</v>
      </c>
      <c r="I828" s="19">
        <v>3101.42</v>
      </c>
      <c r="J828" s="19">
        <v>40318.46</v>
      </c>
    </row>
    <row r="829" ht="15.25" spans="1:10">
      <c r="A829" s="18" t="s">
        <v>2038</v>
      </c>
      <c r="B829" s="19" t="s">
        <v>1892</v>
      </c>
      <c r="C829" s="19" t="s">
        <v>1864</v>
      </c>
      <c r="D829" s="19" t="s">
        <v>1857</v>
      </c>
      <c r="E829" s="19" t="s">
        <v>1858</v>
      </c>
      <c r="F829" s="19" t="s">
        <v>1859</v>
      </c>
      <c r="G829" s="19" t="s">
        <v>1947</v>
      </c>
      <c r="H829" s="19">
        <v>18</v>
      </c>
      <c r="I829" s="19">
        <v>3002.55</v>
      </c>
      <c r="J829" s="19">
        <v>54045.9</v>
      </c>
    </row>
    <row r="830" ht="15.25" spans="1:10">
      <c r="A830" s="18">
        <v>45048</v>
      </c>
      <c r="B830" s="19" t="s">
        <v>1848</v>
      </c>
      <c r="C830" s="19" t="s">
        <v>1894</v>
      </c>
      <c r="D830" s="19" t="s">
        <v>1884</v>
      </c>
      <c r="E830" s="19" t="s">
        <v>1895</v>
      </c>
      <c r="F830" s="19" t="s">
        <v>1852</v>
      </c>
      <c r="G830" s="19" t="s">
        <v>1853</v>
      </c>
      <c r="H830" s="19">
        <v>13</v>
      </c>
      <c r="I830" s="19">
        <v>2098.65</v>
      </c>
      <c r="J830" s="19">
        <v>27282.45</v>
      </c>
    </row>
    <row r="831" ht="15.25" spans="1:10">
      <c r="A831" s="18">
        <v>45087</v>
      </c>
      <c r="B831" s="19" t="s">
        <v>1889</v>
      </c>
      <c r="C831" s="19" t="s">
        <v>1898</v>
      </c>
      <c r="D831" s="19" t="s">
        <v>1879</v>
      </c>
      <c r="E831" s="19" t="s">
        <v>1851</v>
      </c>
      <c r="F831" s="19" t="s">
        <v>1876</v>
      </c>
      <c r="G831" s="19" t="s">
        <v>1926</v>
      </c>
      <c r="H831" s="19">
        <v>5</v>
      </c>
      <c r="I831" s="19">
        <v>4106.79</v>
      </c>
      <c r="J831" s="19">
        <v>20533.95</v>
      </c>
    </row>
    <row r="832" ht="15.25" spans="1:10">
      <c r="A832" s="18" t="s">
        <v>1972</v>
      </c>
      <c r="B832" s="19" t="s">
        <v>1867</v>
      </c>
      <c r="C832" s="19" t="s">
        <v>1903</v>
      </c>
      <c r="D832" s="19" t="s">
        <v>1884</v>
      </c>
      <c r="E832" s="19" t="s">
        <v>1895</v>
      </c>
      <c r="F832" s="19" t="s">
        <v>1865</v>
      </c>
      <c r="G832" s="19" t="s">
        <v>1866</v>
      </c>
      <c r="H832" s="19">
        <v>1</v>
      </c>
      <c r="I832" s="19">
        <v>3041.26</v>
      </c>
      <c r="J832" s="19">
        <v>3041.26</v>
      </c>
    </row>
    <row r="833" ht="26.75" spans="1:10">
      <c r="A833" s="18" t="s">
        <v>1982</v>
      </c>
      <c r="B833" s="19" t="s">
        <v>1867</v>
      </c>
      <c r="C833" s="19" t="s">
        <v>1593</v>
      </c>
      <c r="D833" s="19" t="s">
        <v>1850</v>
      </c>
      <c r="E833" s="19" t="s">
        <v>1851</v>
      </c>
      <c r="F833" s="19" t="s">
        <v>1859</v>
      </c>
      <c r="G833" s="19" t="s">
        <v>1872</v>
      </c>
      <c r="H833" s="19">
        <v>7</v>
      </c>
      <c r="I833" s="19">
        <v>4514.21</v>
      </c>
      <c r="J833" s="19">
        <v>31599.47</v>
      </c>
    </row>
    <row r="834" ht="15.25" spans="1:10">
      <c r="A834" s="18" t="s">
        <v>2094</v>
      </c>
      <c r="B834" s="19" t="s">
        <v>1902</v>
      </c>
      <c r="C834" s="19" t="s">
        <v>1626</v>
      </c>
      <c r="D834" s="19" t="s">
        <v>1857</v>
      </c>
      <c r="E834" s="19" t="s">
        <v>1858</v>
      </c>
      <c r="F834" s="19" t="s">
        <v>1865</v>
      </c>
      <c r="G834" s="19" t="s">
        <v>1866</v>
      </c>
      <c r="H834" s="19">
        <v>18</v>
      </c>
      <c r="I834" s="19">
        <v>2971.68</v>
      </c>
      <c r="J834" s="19">
        <v>53490.24</v>
      </c>
    </row>
    <row r="835" ht="15.25" spans="1:10">
      <c r="A835" s="18" t="s">
        <v>1923</v>
      </c>
      <c r="B835" s="19" t="s">
        <v>1878</v>
      </c>
      <c r="C835" s="19" t="s">
        <v>1875</v>
      </c>
      <c r="D835" s="19" t="s">
        <v>1862</v>
      </c>
      <c r="E835" s="19" t="s">
        <v>1858</v>
      </c>
      <c r="F835" s="19" t="s">
        <v>1868</v>
      </c>
      <c r="G835" s="19" t="s">
        <v>1869</v>
      </c>
      <c r="H835" s="19">
        <v>6</v>
      </c>
      <c r="I835" s="19">
        <v>2263.36</v>
      </c>
      <c r="J835" s="19">
        <v>13580.16</v>
      </c>
    </row>
    <row r="836" ht="15.25" spans="1:10">
      <c r="A836" s="18" t="s">
        <v>2111</v>
      </c>
      <c r="B836" s="19" t="s">
        <v>1848</v>
      </c>
      <c r="C836" s="19" t="s">
        <v>1856</v>
      </c>
      <c r="D836" s="19" t="s">
        <v>1857</v>
      </c>
      <c r="E836" s="19" t="s">
        <v>1858</v>
      </c>
      <c r="F836" s="19" t="s">
        <v>1852</v>
      </c>
      <c r="G836" s="19" t="s">
        <v>1934</v>
      </c>
      <c r="H836" s="19">
        <v>8</v>
      </c>
      <c r="I836" s="19">
        <v>3859.28</v>
      </c>
      <c r="J836" s="19">
        <v>30874.24</v>
      </c>
    </row>
    <row r="837" ht="26.75" spans="1:10">
      <c r="A837" s="18" t="s">
        <v>2054</v>
      </c>
      <c r="B837" s="19" t="s">
        <v>1889</v>
      </c>
      <c r="C837" s="19" t="s">
        <v>1849</v>
      </c>
      <c r="D837" s="19" t="s">
        <v>1850</v>
      </c>
      <c r="E837" s="19" t="s">
        <v>1851</v>
      </c>
      <c r="F837" s="19" t="s">
        <v>1852</v>
      </c>
      <c r="G837" s="19" t="s">
        <v>1950</v>
      </c>
      <c r="H837" s="19">
        <v>14</v>
      </c>
      <c r="I837" s="19">
        <v>3044.71</v>
      </c>
      <c r="J837" s="19">
        <v>42625.94</v>
      </c>
    </row>
    <row r="838" ht="15.25" spans="1:10">
      <c r="A838" s="18" t="s">
        <v>2057</v>
      </c>
      <c r="B838" s="19" t="s">
        <v>1867</v>
      </c>
      <c r="C838" s="19" t="s">
        <v>1906</v>
      </c>
      <c r="D838" s="19" t="s">
        <v>1862</v>
      </c>
      <c r="E838" s="19" t="s">
        <v>1858</v>
      </c>
      <c r="F838" s="19" t="s">
        <v>1859</v>
      </c>
      <c r="G838" s="19" t="s">
        <v>1922</v>
      </c>
      <c r="H838" s="19">
        <v>11</v>
      </c>
      <c r="I838" s="19">
        <v>4653.38</v>
      </c>
      <c r="J838" s="19">
        <v>51187.18</v>
      </c>
    </row>
    <row r="839" ht="15.25" spans="1:10">
      <c r="A839" s="18">
        <v>45109</v>
      </c>
      <c r="B839" s="19" t="s">
        <v>1878</v>
      </c>
      <c r="C839" s="19" t="s">
        <v>1875</v>
      </c>
      <c r="D839" s="19" t="s">
        <v>1862</v>
      </c>
      <c r="E839" s="19" t="s">
        <v>1858</v>
      </c>
      <c r="F839" s="19" t="s">
        <v>1852</v>
      </c>
      <c r="G839" s="19" t="s">
        <v>1950</v>
      </c>
      <c r="H839" s="19">
        <v>9</v>
      </c>
      <c r="I839" s="19">
        <v>3425.59</v>
      </c>
      <c r="J839" s="19">
        <v>30830.31</v>
      </c>
    </row>
    <row r="840" ht="26.75" spans="1:10">
      <c r="A840" s="18" t="s">
        <v>2065</v>
      </c>
      <c r="B840" s="19" t="s">
        <v>1848</v>
      </c>
      <c r="C840" s="19" t="s">
        <v>1593</v>
      </c>
      <c r="D840" s="19" t="s">
        <v>1850</v>
      </c>
      <c r="E840" s="19" t="s">
        <v>1851</v>
      </c>
      <c r="F840" s="19" t="s">
        <v>1865</v>
      </c>
      <c r="G840" s="19" t="s">
        <v>1866</v>
      </c>
      <c r="H840" s="19">
        <v>15</v>
      </c>
      <c r="I840" s="19">
        <v>4671.69</v>
      </c>
      <c r="J840" s="19">
        <v>70075.35</v>
      </c>
    </row>
    <row r="841" ht="26.75" spans="1:10">
      <c r="A841" s="18" t="s">
        <v>2040</v>
      </c>
      <c r="B841" s="19" t="s">
        <v>1855</v>
      </c>
      <c r="C841" s="19" t="s">
        <v>1598</v>
      </c>
      <c r="D841" s="19" t="s">
        <v>1850</v>
      </c>
      <c r="E841" s="19" t="s">
        <v>1851</v>
      </c>
      <c r="F841" s="19" t="s">
        <v>1859</v>
      </c>
      <c r="G841" s="19" t="s">
        <v>1947</v>
      </c>
      <c r="H841" s="19">
        <v>5</v>
      </c>
      <c r="I841" s="19">
        <v>4600.38</v>
      </c>
      <c r="J841" s="19">
        <v>23001.9</v>
      </c>
    </row>
    <row r="842" ht="15.25" spans="1:10">
      <c r="A842" s="18">
        <v>45236</v>
      </c>
      <c r="B842" s="19" t="s">
        <v>1892</v>
      </c>
      <c r="C842" s="19" t="s">
        <v>1626</v>
      </c>
      <c r="D842" s="19" t="s">
        <v>1857</v>
      </c>
      <c r="E842" s="19" t="s">
        <v>1858</v>
      </c>
      <c r="F842" s="19" t="s">
        <v>1868</v>
      </c>
      <c r="G842" s="19" t="s">
        <v>1917</v>
      </c>
      <c r="H842" s="19">
        <v>19</v>
      </c>
      <c r="I842" s="19">
        <v>2183.09</v>
      </c>
      <c r="J842" s="19">
        <v>41478.71</v>
      </c>
    </row>
    <row r="843" ht="15.25" spans="1:10">
      <c r="A843" s="18" t="s">
        <v>2045</v>
      </c>
      <c r="B843" s="19" t="s">
        <v>1878</v>
      </c>
      <c r="C843" s="19" t="s">
        <v>1864</v>
      </c>
      <c r="D843" s="19" t="s">
        <v>1857</v>
      </c>
      <c r="E843" s="19" t="s">
        <v>1858</v>
      </c>
      <c r="F843" s="19" t="s">
        <v>1876</v>
      </c>
      <c r="G843" s="19" t="s">
        <v>1883</v>
      </c>
      <c r="H843" s="19">
        <v>8</v>
      </c>
      <c r="I843" s="19">
        <v>1850.8</v>
      </c>
      <c r="J843" s="19">
        <v>14806.4</v>
      </c>
    </row>
    <row r="844" ht="15.25" spans="1:10">
      <c r="A844" s="18">
        <v>45272</v>
      </c>
      <c r="B844" s="19" t="s">
        <v>1855</v>
      </c>
      <c r="C844" s="19" t="s">
        <v>1903</v>
      </c>
      <c r="D844" s="19" t="s">
        <v>1884</v>
      </c>
      <c r="E844" s="19" t="s">
        <v>1895</v>
      </c>
      <c r="F844" s="19" t="s">
        <v>1876</v>
      </c>
      <c r="G844" s="19" t="s">
        <v>1926</v>
      </c>
      <c r="H844" s="19">
        <v>12</v>
      </c>
      <c r="I844" s="19">
        <v>3695.68</v>
      </c>
      <c r="J844" s="19">
        <v>44348.16</v>
      </c>
    </row>
    <row r="845" ht="15.25" spans="1:10">
      <c r="A845" s="18">
        <v>45267</v>
      </c>
      <c r="B845" s="19" t="s">
        <v>1848</v>
      </c>
      <c r="C845" s="19" t="s">
        <v>1610</v>
      </c>
      <c r="D845" s="19" t="s">
        <v>1879</v>
      </c>
      <c r="E845" s="19" t="s">
        <v>1851</v>
      </c>
      <c r="F845" s="19" t="s">
        <v>1852</v>
      </c>
      <c r="G845" s="19" t="s">
        <v>1950</v>
      </c>
      <c r="H845" s="19">
        <v>14</v>
      </c>
      <c r="I845" s="19">
        <v>3099.57</v>
      </c>
      <c r="J845" s="19">
        <v>43393.98</v>
      </c>
    </row>
    <row r="846" ht="26.75" spans="1:10">
      <c r="A846" s="18" t="s">
        <v>1880</v>
      </c>
      <c r="B846" s="19" t="s">
        <v>1874</v>
      </c>
      <c r="C846" s="19" t="s">
        <v>1849</v>
      </c>
      <c r="D846" s="19" t="s">
        <v>1850</v>
      </c>
      <c r="E846" s="19" t="s">
        <v>1851</v>
      </c>
      <c r="F846" s="19" t="s">
        <v>1865</v>
      </c>
      <c r="G846" s="19" t="s">
        <v>1886</v>
      </c>
      <c r="H846" s="19">
        <v>1</v>
      </c>
      <c r="I846" s="19">
        <v>3758.07</v>
      </c>
      <c r="J846" s="19">
        <v>3758.07</v>
      </c>
    </row>
    <row r="847" ht="15.25" spans="1:10">
      <c r="A847" s="18" t="s">
        <v>1954</v>
      </c>
      <c r="B847" s="19" t="s">
        <v>1871</v>
      </c>
      <c r="C847" s="19" t="s">
        <v>1894</v>
      </c>
      <c r="D847" s="19" t="s">
        <v>1884</v>
      </c>
      <c r="E847" s="19" t="s">
        <v>1895</v>
      </c>
      <c r="F847" s="19" t="s">
        <v>1852</v>
      </c>
      <c r="G847" s="19" t="s">
        <v>1910</v>
      </c>
      <c r="H847" s="19">
        <v>5</v>
      </c>
      <c r="I847" s="19">
        <v>2536.65</v>
      </c>
      <c r="J847" s="19">
        <v>12683.25</v>
      </c>
    </row>
    <row r="848" ht="26.75" spans="1:10">
      <c r="A848" s="18" t="s">
        <v>2048</v>
      </c>
      <c r="B848" s="19" t="s">
        <v>1874</v>
      </c>
      <c r="C848" s="19" t="s">
        <v>1593</v>
      </c>
      <c r="D848" s="19" t="s">
        <v>1850</v>
      </c>
      <c r="E848" s="19" t="s">
        <v>1851</v>
      </c>
      <c r="F848" s="19" t="s">
        <v>1868</v>
      </c>
      <c r="G848" s="19" t="s">
        <v>1907</v>
      </c>
      <c r="H848" s="19">
        <v>9</v>
      </c>
      <c r="I848" s="19">
        <v>564.08</v>
      </c>
      <c r="J848" s="19">
        <v>5076.72</v>
      </c>
    </row>
    <row r="849" ht="15.25" spans="1:10">
      <c r="A849" s="18" t="s">
        <v>2018</v>
      </c>
      <c r="B849" s="19" t="s">
        <v>1848</v>
      </c>
      <c r="C849" s="19" t="s">
        <v>1602</v>
      </c>
      <c r="D849" s="19" t="s">
        <v>1862</v>
      </c>
      <c r="E849" s="19" t="s">
        <v>1858</v>
      </c>
      <c r="F849" s="19" t="s">
        <v>1868</v>
      </c>
      <c r="G849" s="19" t="s">
        <v>1899</v>
      </c>
      <c r="H849" s="19">
        <v>4</v>
      </c>
      <c r="I849" s="19">
        <v>3762.47</v>
      </c>
      <c r="J849" s="19">
        <v>15049.88</v>
      </c>
    </row>
    <row r="850" ht="15.25" spans="1:10">
      <c r="A850" s="18" t="s">
        <v>1952</v>
      </c>
      <c r="B850" s="19" t="s">
        <v>1861</v>
      </c>
      <c r="C850" s="19" t="s">
        <v>1941</v>
      </c>
      <c r="D850" s="19" t="s">
        <v>1879</v>
      </c>
      <c r="E850" s="19" t="s">
        <v>1851</v>
      </c>
      <c r="F850" s="19" t="s">
        <v>1868</v>
      </c>
      <c r="G850" s="19" t="s">
        <v>1917</v>
      </c>
      <c r="H850" s="19">
        <v>5</v>
      </c>
      <c r="I850" s="19">
        <v>4180.57</v>
      </c>
      <c r="J850" s="19">
        <v>20902.85</v>
      </c>
    </row>
    <row r="851" ht="15.25" spans="1:10">
      <c r="A851" s="18" t="s">
        <v>1987</v>
      </c>
      <c r="B851" s="19" t="s">
        <v>1878</v>
      </c>
      <c r="C851" s="19" t="s">
        <v>1906</v>
      </c>
      <c r="D851" s="19" t="s">
        <v>1862</v>
      </c>
      <c r="E851" s="19" t="s">
        <v>1858</v>
      </c>
      <c r="F851" s="19" t="s">
        <v>1852</v>
      </c>
      <c r="G851" s="19" t="s">
        <v>1910</v>
      </c>
      <c r="H851" s="19">
        <v>5</v>
      </c>
      <c r="I851" s="19">
        <v>1947.01</v>
      </c>
      <c r="J851" s="19">
        <v>9735.05</v>
      </c>
    </row>
    <row r="852" ht="26.75" spans="1:10">
      <c r="A852" s="18" t="s">
        <v>1981</v>
      </c>
      <c r="B852" s="19" t="s">
        <v>1848</v>
      </c>
      <c r="C852" s="19" t="s">
        <v>1849</v>
      </c>
      <c r="D852" s="19" t="s">
        <v>1850</v>
      </c>
      <c r="E852" s="19" t="s">
        <v>1851</v>
      </c>
      <c r="F852" s="19" t="s">
        <v>1865</v>
      </c>
      <c r="G852" s="19" t="s">
        <v>1890</v>
      </c>
      <c r="H852" s="19">
        <v>13</v>
      </c>
      <c r="I852" s="19">
        <v>4686.21</v>
      </c>
      <c r="J852" s="19">
        <v>60920.73</v>
      </c>
    </row>
    <row r="853" ht="26.75" spans="1:10">
      <c r="A853" s="18" t="s">
        <v>1968</v>
      </c>
      <c r="B853" s="19" t="s">
        <v>1861</v>
      </c>
      <c r="C853" s="19" t="s">
        <v>1849</v>
      </c>
      <c r="D853" s="19" t="s">
        <v>1850</v>
      </c>
      <c r="E853" s="19" t="s">
        <v>1851</v>
      </c>
      <c r="F853" s="19" t="s">
        <v>1852</v>
      </c>
      <c r="G853" s="19" t="s">
        <v>1853</v>
      </c>
      <c r="H853" s="19">
        <v>7</v>
      </c>
      <c r="I853" s="19">
        <v>4418.17</v>
      </c>
      <c r="J853" s="19">
        <v>30927.19</v>
      </c>
    </row>
    <row r="854" ht="26.75" spans="1:10">
      <c r="A854" s="18">
        <v>45179</v>
      </c>
      <c r="B854" s="19" t="s">
        <v>1878</v>
      </c>
      <c r="C854" s="19" t="s">
        <v>1598</v>
      </c>
      <c r="D854" s="19" t="s">
        <v>1850</v>
      </c>
      <c r="E854" s="19" t="s">
        <v>1851</v>
      </c>
      <c r="F854" s="19" t="s">
        <v>1865</v>
      </c>
      <c r="G854" s="19" t="s">
        <v>1920</v>
      </c>
      <c r="H854" s="19">
        <v>19</v>
      </c>
      <c r="I854" s="19">
        <v>4186.64</v>
      </c>
      <c r="J854" s="19">
        <v>79546.16</v>
      </c>
    </row>
    <row r="855" ht="15.25" spans="1:10">
      <c r="A855" s="18">
        <v>45084</v>
      </c>
      <c r="B855" s="19" t="s">
        <v>1855</v>
      </c>
      <c r="C855" s="19" t="s">
        <v>1898</v>
      </c>
      <c r="D855" s="19" t="s">
        <v>1879</v>
      </c>
      <c r="E855" s="19" t="s">
        <v>1851</v>
      </c>
      <c r="F855" s="19" t="s">
        <v>1852</v>
      </c>
      <c r="G855" s="19" t="s">
        <v>1853</v>
      </c>
      <c r="H855" s="19">
        <v>6</v>
      </c>
      <c r="I855" s="19">
        <v>1003.96</v>
      </c>
      <c r="J855" s="19">
        <v>6023.76</v>
      </c>
    </row>
    <row r="856" ht="15.25" spans="1:10">
      <c r="A856" s="18" t="s">
        <v>2112</v>
      </c>
      <c r="B856" s="19" t="s">
        <v>1889</v>
      </c>
      <c r="C856" s="19" t="s">
        <v>1864</v>
      </c>
      <c r="D856" s="19" t="s">
        <v>1857</v>
      </c>
      <c r="E856" s="19" t="s">
        <v>1858</v>
      </c>
      <c r="F856" s="19" t="s">
        <v>1876</v>
      </c>
      <c r="G856" s="19" t="s">
        <v>1883</v>
      </c>
      <c r="H856" s="19">
        <v>13</v>
      </c>
      <c r="I856" s="19">
        <v>1028.74</v>
      </c>
      <c r="J856" s="19">
        <v>13373.62</v>
      </c>
    </row>
    <row r="857" ht="15.25" spans="1:10">
      <c r="A857" s="18" t="s">
        <v>2025</v>
      </c>
      <c r="B857" s="19" t="s">
        <v>1871</v>
      </c>
      <c r="C857" s="19" t="s">
        <v>1856</v>
      </c>
      <c r="D857" s="19" t="s">
        <v>1857</v>
      </c>
      <c r="E857" s="19" t="s">
        <v>1858</v>
      </c>
      <c r="F857" s="19" t="s">
        <v>1865</v>
      </c>
      <c r="G857" s="19" t="s">
        <v>1920</v>
      </c>
      <c r="H857" s="19">
        <v>20</v>
      </c>
      <c r="I857" s="19">
        <v>4751.14</v>
      </c>
      <c r="J857" s="19">
        <v>95022.8</v>
      </c>
    </row>
    <row r="858" ht="15.25" spans="1:10">
      <c r="A858" s="18" t="s">
        <v>2066</v>
      </c>
      <c r="B858" s="19" t="s">
        <v>1848</v>
      </c>
      <c r="C858" s="19" t="s">
        <v>1875</v>
      </c>
      <c r="D858" s="19" t="s">
        <v>1862</v>
      </c>
      <c r="E858" s="19" t="s">
        <v>1858</v>
      </c>
      <c r="F858" s="19" t="s">
        <v>1865</v>
      </c>
      <c r="G858" s="19" t="s">
        <v>1890</v>
      </c>
      <c r="H858" s="19">
        <v>8</v>
      </c>
      <c r="I858" s="19">
        <v>565.82</v>
      </c>
      <c r="J858" s="19">
        <v>4526.56</v>
      </c>
    </row>
    <row r="859" ht="26.75" spans="1:10">
      <c r="A859" s="18" t="s">
        <v>2052</v>
      </c>
      <c r="B859" s="19" t="s">
        <v>1861</v>
      </c>
      <c r="C859" s="19" t="s">
        <v>1598</v>
      </c>
      <c r="D859" s="19" t="s">
        <v>1850</v>
      </c>
      <c r="E859" s="19" t="s">
        <v>1851</v>
      </c>
      <c r="F859" s="19" t="s">
        <v>1876</v>
      </c>
      <c r="G859" s="19" t="s">
        <v>1926</v>
      </c>
      <c r="H859" s="19">
        <v>1</v>
      </c>
      <c r="I859" s="19">
        <v>1903.53</v>
      </c>
      <c r="J859" s="19">
        <v>1903.53</v>
      </c>
    </row>
    <row r="860" ht="15.25" spans="1:10">
      <c r="A860" s="18">
        <v>45149</v>
      </c>
      <c r="B860" s="19" t="s">
        <v>1871</v>
      </c>
      <c r="C860" s="19" t="s">
        <v>1941</v>
      </c>
      <c r="D860" s="19" t="s">
        <v>1879</v>
      </c>
      <c r="E860" s="19" t="s">
        <v>1851</v>
      </c>
      <c r="F860" s="19" t="s">
        <v>1859</v>
      </c>
      <c r="G860" s="19" t="s">
        <v>1860</v>
      </c>
      <c r="H860" s="19">
        <v>20</v>
      </c>
      <c r="I860" s="19">
        <v>3286.69</v>
      </c>
      <c r="J860" s="19">
        <v>65733.8</v>
      </c>
    </row>
    <row r="861" ht="15.25" spans="1:10">
      <c r="A861" s="18" t="s">
        <v>2111</v>
      </c>
      <c r="B861" s="19" t="s">
        <v>1848</v>
      </c>
      <c r="C861" s="19" t="s">
        <v>1589</v>
      </c>
      <c r="D861" s="19" t="s">
        <v>1884</v>
      </c>
      <c r="E861" s="19" t="s">
        <v>1895</v>
      </c>
      <c r="F861" s="19" t="s">
        <v>1859</v>
      </c>
      <c r="G861" s="19" t="s">
        <v>1922</v>
      </c>
      <c r="H861" s="19">
        <v>20</v>
      </c>
      <c r="I861" s="19">
        <v>1176.4</v>
      </c>
      <c r="J861" s="19">
        <v>23528</v>
      </c>
    </row>
    <row r="862" ht="15.25" spans="1:10">
      <c r="A862" s="18" t="s">
        <v>2006</v>
      </c>
      <c r="B862" s="19" t="s">
        <v>1848</v>
      </c>
      <c r="C862" s="19" t="s">
        <v>1898</v>
      </c>
      <c r="D862" s="19" t="s">
        <v>1879</v>
      </c>
      <c r="E862" s="19" t="s">
        <v>1851</v>
      </c>
      <c r="F862" s="19" t="s">
        <v>1859</v>
      </c>
      <c r="G862" s="19" t="s">
        <v>1860</v>
      </c>
      <c r="H862" s="19">
        <v>11</v>
      </c>
      <c r="I862" s="19">
        <v>2038.9</v>
      </c>
      <c r="J862" s="19">
        <v>22427.9</v>
      </c>
    </row>
    <row r="863" ht="15.25" spans="1:10">
      <c r="A863" s="18">
        <v>44929</v>
      </c>
      <c r="B863" s="19" t="s">
        <v>1861</v>
      </c>
      <c r="C863" s="19" t="s">
        <v>1856</v>
      </c>
      <c r="D863" s="19" t="s">
        <v>1857</v>
      </c>
      <c r="E863" s="19" t="s">
        <v>1858</v>
      </c>
      <c r="F863" s="19" t="s">
        <v>1859</v>
      </c>
      <c r="G863" s="19" t="s">
        <v>1947</v>
      </c>
      <c r="H863" s="19">
        <v>19</v>
      </c>
      <c r="I863" s="19">
        <v>3990.16</v>
      </c>
      <c r="J863" s="19">
        <v>75813.04</v>
      </c>
    </row>
    <row r="864" ht="15.25" spans="1:10">
      <c r="A864" s="18" t="s">
        <v>2033</v>
      </c>
      <c r="B864" s="19" t="s">
        <v>1902</v>
      </c>
      <c r="C864" s="19" t="s">
        <v>1894</v>
      </c>
      <c r="D864" s="19" t="s">
        <v>1884</v>
      </c>
      <c r="E864" s="19" t="s">
        <v>1895</v>
      </c>
      <c r="F864" s="19" t="s">
        <v>1865</v>
      </c>
      <c r="G864" s="19" t="s">
        <v>1886</v>
      </c>
      <c r="H864" s="19">
        <v>15</v>
      </c>
      <c r="I864" s="19">
        <v>3765.36</v>
      </c>
      <c r="J864" s="19">
        <v>56480.4</v>
      </c>
    </row>
    <row r="865" ht="15.25" spans="1:10">
      <c r="A865" s="18" t="s">
        <v>2113</v>
      </c>
      <c r="B865" s="19" t="s">
        <v>1867</v>
      </c>
      <c r="C865" s="19" t="s">
        <v>1626</v>
      </c>
      <c r="D865" s="19" t="s">
        <v>1857</v>
      </c>
      <c r="E865" s="19" t="s">
        <v>1858</v>
      </c>
      <c r="F865" s="19" t="s">
        <v>1865</v>
      </c>
      <c r="G865" s="19" t="s">
        <v>1890</v>
      </c>
      <c r="H865" s="19">
        <v>12</v>
      </c>
      <c r="I865" s="19">
        <v>1794.88</v>
      </c>
      <c r="J865" s="19">
        <v>21538.56</v>
      </c>
    </row>
    <row r="866" ht="15.25" spans="1:10">
      <c r="A866" s="18" t="s">
        <v>2114</v>
      </c>
      <c r="B866" s="19" t="s">
        <v>1874</v>
      </c>
      <c r="C866" s="19" t="s">
        <v>1602</v>
      </c>
      <c r="D866" s="19" t="s">
        <v>1862</v>
      </c>
      <c r="E866" s="19" t="s">
        <v>1858</v>
      </c>
      <c r="F866" s="19" t="s">
        <v>1876</v>
      </c>
      <c r="G866" s="19" t="s">
        <v>1926</v>
      </c>
      <c r="H866" s="19">
        <v>19</v>
      </c>
      <c r="I866" s="19">
        <v>2750.97</v>
      </c>
      <c r="J866" s="19">
        <v>52268.43</v>
      </c>
    </row>
    <row r="867" ht="26.75" spans="1:10">
      <c r="A867" s="18" t="s">
        <v>1923</v>
      </c>
      <c r="B867" s="19" t="s">
        <v>1902</v>
      </c>
      <c r="C867" s="19" t="s">
        <v>1849</v>
      </c>
      <c r="D867" s="19" t="s">
        <v>1850</v>
      </c>
      <c r="E867" s="19" t="s">
        <v>1851</v>
      </c>
      <c r="F867" s="19" t="s">
        <v>1859</v>
      </c>
      <c r="G867" s="19" t="s">
        <v>1860</v>
      </c>
      <c r="H867" s="19">
        <v>17</v>
      </c>
      <c r="I867" s="19">
        <v>3677.4</v>
      </c>
      <c r="J867" s="19">
        <v>62515.8</v>
      </c>
    </row>
    <row r="868" ht="26.75" spans="1:10">
      <c r="A868" s="18" t="s">
        <v>1909</v>
      </c>
      <c r="B868" s="19" t="s">
        <v>1902</v>
      </c>
      <c r="C868" s="19" t="s">
        <v>1598</v>
      </c>
      <c r="D868" s="19" t="s">
        <v>1850</v>
      </c>
      <c r="E868" s="19" t="s">
        <v>1851</v>
      </c>
      <c r="F868" s="19" t="s">
        <v>1859</v>
      </c>
      <c r="G868" s="19" t="s">
        <v>1860</v>
      </c>
      <c r="H868" s="19">
        <v>7</v>
      </c>
      <c r="I868" s="19">
        <v>2253.94</v>
      </c>
      <c r="J868" s="19">
        <v>15777.58</v>
      </c>
    </row>
    <row r="869" ht="15.25" spans="1:10">
      <c r="A869" s="18" t="s">
        <v>2021</v>
      </c>
      <c r="B869" s="19" t="s">
        <v>1861</v>
      </c>
      <c r="C869" s="19" t="s">
        <v>1602</v>
      </c>
      <c r="D869" s="19" t="s">
        <v>1862</v>
      </c>
      <c r="E869" s="19" t="s">
        <v>1858</v>
      </c>
      <c r="F869" s="19" t="s">
        <v>1868</v>
      </c>
      <c r="G869" s="19" t="s">
        <v>1907</v>
      </c>
      <c r="H869" s="19">
        <v>8</v>
      </c>
      <c r="I869" s="19">
        <v>1762.43</v>
      </c>
      <c r="J869" s="19">
        <v>14099.44</v>
      </c>
    </row>
    <row r="870" ht="15.25" spans="1:10">
      <c r="A870" s="18" t="s">
        <v>1904</v>
      </c>
      <c r="B870" s="19" t="s">
        <v>1861</v>
      </c>
      <c r="C870" s="19" t="s">
        <v>1856</v>
      </c>
      <c r="D870" s="19" t="s">
        <v>1857</v>
      </c>
      <c r="E870" s="19" t="s">
        <v>1858</v>
      </c>
      <c r="F870" s="19" t="s">
        <v>1852</v>
      </c>
      <c r="G870" s="19" t="s">
        <v>1910</v>
      </c>
      <c r="H870" s="19">
        <v>20</v>
      </c>
      <c r="I870" s="19">
        <v>278.55</v>
      </c>
      <c r="J870" s="19">
        <v>5571</v>
      </c>
    </row>
    <row r="871" ht="26.75" spans="1:10">
      <c r="A871" s="18" t="s">
        <v>1933</v>
      </c>
      <c r="B871" s="19" t="s">
        <v>1848</v>
      </c>
      <c r="C871" s="19" t="s">
        <v>1849</v>
      </c>
      <c r="D871" s="19" t="s">
        <v>1850</v>
      </c>
      <c r="E871" s="19" t="s">
        <v>1851</v>
      </c>
      <c r="F871" s="19" t="s">
        <v>1852</v>
      </c>
      <c r="G871" s="19" t="s">
        <v>1910</v>
      </c>
      <c r="H871" s="19">
        <v>7</v>
      </c>
      <c r="I871" s="19">
        <v>1940.86</v>
      </c>
      <c r="J871" s="19">
        <v>13586.02</v>
      </c>
    </row>
    <row r="872" ht="15.25" spans="1:10">
      <c r="A872" s="18">
        <v>44967</v>
      </c>
      <c r="B872" s="19" t="s">
        <v>1848</v>
      </c>
      <c r="C872" s="19" t="s">
        <v>1856</v>
      </c>
      <c r="D872" s="19" t="s">
        <v>1857</v>
      </c>
      <c r="E872" s="19" t="s">
        <v>1858</v>
      </c>
      <c r="F872" s="19" t="s">
        <v>1868</v>
      </c>
      <c r="G872" s="19" t="s">
        <v>1899</v>
      </c>
      <c r="H872" s="19">
        <v>1</v>
      </c>
      <c r="I872" s="19">
        <v>414.64</v>
      </c>
      <c r="J872" s="19">
        <v>414.64</v>
      </c>
    </row>
    <row r="873" ht="15.25" spans="1:10">
      <c r="A873" s="18">
        <v>45026</v>
      </c>
      <c r="B873" s="19" t="s">
        <v>1861</v>
      </c>
      <c r="C873" s="19" t="s">
        <v>1906</v>
      </c>
      <c r="D873" s="19" t="s">
        <v>1862</v>
      </c>
      <c r="E873" s="19" t="s">
        <v>1858</v>
      </c>
      <c r="F873" s="19" t="s">
        <v>1859</v>
      </c>
      <c r="G873" s="19" t="s">
        <v>1872</v>
      </c>
      <c r="H873" s="19">
        <v>7</v>
      </c>
      <c r="I873" s="19">
        <v>1073.54</v>
      </c>
      <c r="J873" s="19">
        <v>7514.78</v>
      </c>
    </row>
    <row r="874" ht="15.25" spans="1:10">
      <c r="A874" s="18">
        <v>45146</v>
      </c>
      <c r="B874" s="19" t="s">
        <v>1874</v>
      </c>
      <c r="C874" s="19" t="s">
        <v>1856</v>
      </c>
      <c r="D874" s="19" t="s">
        <v>1857</v>
      </c>
      <c r="E874" s="19" t="s">
        <v>1858</v>
      </c>
      <c r="F874" s="19" t="s">
        <v>1876</v>
      </c>
      <c r="G874" s="19" t="s">
        <v>1930</v>
      </c>
      <c r="H874" s="19">
        <v>2</v>
      </c>
      <c r="I874" s="19">
        <v>2078.33</v>
      </c>
      <c r="J874" s="19">
        <v>4156.66</v>
      </c>
    </row>
    <row r="875" ht="15.25" spans="1:10">
      <c r="A875" s="18" t="s">
        <v>1915</v>
      </c>
      <c r="B875" s="19" t="s">
        <v>1867</v>
      </c>
      <c r="C875" s="19" t="s">
        <v>1589</v>
      </c>
      <c r="D875" s="19" t="s">
        <v>1884</v>
      </c>
      <c r="E875" s="19" t="s">
        <v>1895</v>
      </c>
      <c r="F875" s="19" t="s">
        <v>1852</v>
      </c>
      <c r="G875" s="19" t="s">
        <v>1934</v>
      </c>
      <c r="H875" s="19">
        <v>15</v>
      </c>
      <c r="I875" s="19">
        <v>4188.84</v>
      </c>
      <c r="J875" s="19">
        <v>62832.6</v>
      </c>
    </row>
    <row r="876" ht="15.25" spans="1:10">
      <c r="A876" s="18">
        <v>45175</v>
      </c>
      <c r="B876" s="19" t="s">
        <v>1889</v>
      </c>
      <c r="C876" s="19" t="s">
        <v>1856</v>
      </c>
      <c r="D876" s="19" t="s">
        <v>1857</v>
      </c>
      <c r="E876" s="19" t="s">
        <v>1858</v>
      </c>
      <c r="F876" s="19" t="s">
        <v>1865</v>
      </c>
      <c r="G876" s="19" t="s">
        <v>1920</v>
      </c>
      <c r="H876" s="19">
        <v>16</v>
      </c>
      <c r="I876" s="19">
        <v>3046.66</v>
      </c>
      <c r="J876" s="19">
        <v>48746.56</v>
      </c>
    </row>
    <row r="877" ht="15.25" spans="1:10">
      <c r="A877" s="18">
        <v>45085</v>
      </c>
      <c r="B877" s="19" t="s">
        <v>1874</v>
      </c>
      <c r="C877" s="19" t="s">
        <v>1856</v>
      </c>
      <c r="D877" s="19" t="s">
        <v>1857</v>
      </c>
      <c r="E877" s="19" t="s">
        <v>1858</v>
      </c>
      <c r="F877" s="19" t="s">
        <v>1865</v>
      </c>
      <c r="G877" s="19" t="s">
        <v>1920</v>
      </c>
      <c r="H877" s="19">
        <v>13</v>
      </c>
      <c r="I877" s="19">
        <v>566.56</v>
      </c>
      <c r="J877" s="19">
        <v>7365.28</v>
      </c>
    </row>
    <row r="878" ht="15.25" spans="1:10">
      <c r="A878" s="18">
        <v>45207</v>
      </c>
      <c r="B878" s="19" t="s">
        <v>1874</v>
      </c>
      <c r="C878" s="19" t="s">
        <v>1903</v>
      </c>
      <c r="D878" s="19" t="s">
        <v>1884</v>
      </c>
      <c r="E878" s="19" t="s">
        <v>1895</v>
      </c>
      <c r="F878" s="19" t="s">
        <v>1876</v>
      </c>
      <c r="G878" s="19" t="s">
        <v>1930</v>
      </c>
      <c r="H878" s="19">
        <v>9</v>
      </c>
      <c r="I878" s="19">
        <v>4726.68</v>
      </c>
      <c r="J878" s="19">
        <v>42540.12</v>
      </c>
    </row>
    <row r="879" ht="15.25" spans="1:10">
      <c r="A879" s="18" t="s">
        <v>1983</v>
      </c>
      <c r="B879" s="19" t="s">
        <v>1902</v>
      </c>
      <c r="C879" s="19" t="s">
        <v>1906</v>
      </c>
      <c r="D879" s="19" t="s">
        <v>1862</v>
      </c>
      <c r="E879" s="19" t="s">
        <v>1858</v>
      </c>
      <c r="F879" s="19" t="s">
        <v>1865</v>
      </c>
      <c r="G879" s="19" t="s">
        <v>1920</v>
      </c>
      <c r="H879" s="19">
        <v>15</v>
      </c>
      <c r="I879" s="19">
        <v>2503.47</v>
      </c>
      <c r="J879" s="19">
        <v>37552.05</v>
      </c>
    </row>
    <row r="880" ht="15.25" spans="1:10">
      <c r="A880" s="18">
        <v>45237</v>
      </c>
      <c r="B880" s="19" t="s">
        <v>1861</v>
      </c>
      <c r="C880" s="19" t="s">
        <v>1906</v>
      </c>
      <c r="D880" s="19" t="s">
        <v>1862</v>
      </c>
      <c r="E880" s="19" t="s">
        <v>1858</v>
      </c>
      <c r="F880" s="19" t="s">
        <v>1868</v>
      </c>
      <c r="G880" s="19" t="s">
        <v>1899</v>
      </c>
      <c r="H880" s="19">
        <v>13</v>
      </c>
      <c r="I880" s="19">
        <v>2244.77</v>
      </c>
      <c r="J880" s="19">
        <v>29182.01</v>
      </c>
    </row>
    <row r="881" ht="26.75" spans="1:10">
      <c r="A881" s="18">
        <v>45242</v>
      </c>
      <c r="B881" s="19" t="s">
        <v>1878</v>
      </c>
      <c r="C881" s="19" t="s">
        <v>1598</v>
      </c>
      <c r="D881" s="19" t="s">
        <v>1850</v>
      </c>
      <c r="E881" s="19" t="s">
        <v>1851</v>
      </c>
      <c r="F881" s="19" t="s">
        <v>1859</v>
      </c>
      <c r="G881" s="19" t="s">
        <v>1860</v>
      </c>
      <c r="H881" s="19">
        <v>18</v>
      </c>
      <c r="I881" s="19">
        <v>3559.2</v>
      </c>
      <c r="J881" s="19">
        <v>64065.6</v>
      </c>
    </row>
    <row r="882" ht="15.25" spans="1:10">
      <c r="A882" s="18" t="s">
        <v>2045</v>
      </c>
      <c r="B882" s="19" t="s">
        <v>1867</v>
      </c>
      <c r="C882" s="19" t="s">
        <v>1875</v>
      </c>
      <c r="D882" s="19" t="s">
        <v>1862</v>
      </c>
      <c r="E882" s="19" t="s">
        <v>1858</v>
      </c>
      <c r="F882" s="19" t="s">
        <v>1865</v>
      </c>
      <c r="G882" s="19" t="s">
        <v>1920</v>
      </c>
      <c r="H882" s="19">
        <v>16</v>
      </c>
      <c r="I882" s="19">
        <v>4238.64</v>
      </c>
      <c r="J882" s="19">
        <v>67818.24</v>
      </c>
    </row>
    <row r="883" ht="26.75" spans="1:10">
      <c r="A883" s="18" t="s">
        <v>1971</v>
      </c>
      <c r="B883" s="19" t="s">
        <v>1871</v>
      </c>
      <c r="C883" s="19" t="s">
        <v>1593</v>
      </c>
      <c r="D883" s="19" t="s">
        <v>1850</v>
      </c>
      <c r="E883" s="19" t="s">
        <v>1851</v>
      </c>
      <c r="F883" s="19" t="s">
        <v>1865</v>
      </c>
      <c r="G883" s="19" t="s">
        <v>1920</v>
      </c>
      <c r="H883" s="19">
        <v>13</v>
      </c>
      <c r="I883" s="19">
        <v>151.65</v>
      </c>
      <c r="J883" s="19">
        <v>1971.45</v>
      </c>
    </row>
    <row r="884" ht="26.75" spans="1:10">
      <c r="A884" s="18">
        <v>45175</v>
      </c>
      <c r="B884" s="19" t="s">
        <v>1848</v>
      </c>
      <c r="C884" s="19" t="s">
        <v>1593</v>
      </c>
      <c r="D884" s="19" t="s">
        <v>1850</v>
      </c>
      <c r="E884" s="19" t="s">
        <v>1851</v>
      </c>
      <c r="F884" s="19" t="s">
        <v>1852</v>
      </c>
      <c r="G884" s="19" t="s">
        <v>1950</v>
      </c>
      <c r="H884" s="19">
        <v>11</v>
      </c>
      <c r="I884" s="19">
        <v>4242.9</v>
      </c>
      <c r="J884" s="19">
        <v>46671.9</v>
      </c>
    </row>
    <row r="885" ht="15.25" spans="1:10">
      <c r="A885" s="18" t="s">
        <v>1977</v>
      </c>
      <c r="B885" s="19" t="s">
        <v>1855</v>
      </c>
      <c r="C885" s="19" t="s">
        <v>1898</v>
      </c>
      <c r="D885" s="19" t="s">
        <v>1879</v>
      </c>
      <c r="E885" s="19" t="s">
        <v>1851</v>
      </c>
      <c r="F885" s="19" t="s">
        <v>1868</v>
      </c>
      <c r="G885" s="19" t="s">
        <v>1869</v>
      </c>
      <c r="H885" s="19">
        <v>9</v>
      </c>
      <c r="I885" s="19">
        <v>4639.93</v>
      </c>
      <c r="J885" s="19">
        <v>41759.37</v>
      </c>
    </row>
    <row r="886" ht="15.25" spans="1:10">
      <c r="A886" s="18" t="s">
        <v>2085</v>
      </c>
      <c r="B886" s="19" t="s">
        <v>1878</v>
      </c>
      <c r="C886" s="19" t="s">
        <v>1864</v>
      </c>
      <c r="D886" s="19" t="s">
        <v>1857</v>
      </c>
      <c r="E886" s="19" t="s">
        <v>1858</v>
      </c>
      <c r="F886" s="19" t="s">
        <v>1865</v>
      </c>
      <c r="G886" s="19" t="s">
        <v>1886</v>
      </c>
      <c r="H886" s="19">
        <v>4</v>
      </c>
      <c r="I886" s="19">
        <v>4336.92</v>
      </c>
      <c r="J886" s="19">
        <v>17347.68</v>
      </c>
    </row>
    <row r="887" ht="15.25" spans="1:10">
      <c r="A887" s="18" t="s">
        <v>1940</v>
      </c>
      <c r="B887" s="19" t="s">
        <v>1848</v>
      </c>
      <c r="C887" s="19" t="s">
        <v>1894</v>
      </c>
      <c r="D887" s="19" t="s">
        <v>1884</v>
      </c>
      <c r="E887" s="19" t="s">
        <v>1895</v>
      </c>
      <c r="F887" s="19" t="s">
        <v>1852</v>
      </c>
      <c r="G887" s="19" t="s">
        <v>1853</v>
      </c>
      <c r="H887" s="19">
        <v>17</v>
      </c>
      <c r="I887" s="19">
        <v>1005.44</v>
      </c>
      <c r="J887" s="19">
        <v>17092.48</v>
      </c>
    </row>
    <row r="888" ht="15.25" spans="1:10">
      <c r="A888" s="18">
        <v>45233</v>
      </c>
      <c r="B888" s="19" t="s">
        <v>1855</v>
      </c>
      <c r="C888" s="19" t="s">
        <v>1875</v>
      </c>
      <c r="D888" s="19" t="s">
        <v>1862</v>
      </c>
      <c r="E888" s="19" t="s">
        <v>1858</v>
      </c>
      <c r="F888" s="19" t="s">
        <v>1852</v>
      </c>
      <c r="G888" s="19" t="s">
        <v>1934</v>
      </c>
      <c r="H888" s="19">
        <v>18</v>
      </c>
      <c r="I888" s="19">
        <v>2231.56</v>
      </c>
      <c r="J888" s="19">
        <v>40168.08</v>
      </c>
    </row>
    <row r="889" ht="26.75" spans="1:10">
      <c r="A889" s="18">
        <v>45237</v>
      </c>
      <c r="B889" s="19" t="s">
        <v>1848</v>
      </c>
      <c r="C889" s="19" t="s">
        <v>1598</v>
      </c>
      <c r="D889" s="19" t="s">
        <v>1850</v>
      </c>
      <c r="E889" s="19" t="s">
        <v>1851</v>
      </c>
      <c r="F889" s="19" t="s">
        <v>1852</v>
      </c>
      <c r="G889" s="19" t="s">
        <v>1910</v>
      </c>
      <c r="H889" s="19">
        <v>14</v>
      </c>
      <c r="I889" s="19">
        <v>3677.67</v>
      </c>
      <c r="J889" s="19">
        <v>51487.38</v>
      </c>
    </row>
    <row r="890" ht="15.25" spans="1:10">
      <c r="A890" s="18" t="s">
        <v>1951</v>
      </c>
      <c r="B890" s="19" t="s">
        <v>1861</v>
      </c>
      <c r="C890" s="19" t="s">
        <v>1864</v>
      </c>
      <c r="D890" s="19" t="s">
        <v>1857</v>
      </c>
      <c r="E890" s="19" t="s">
        <v>1858</v>
      </c>
      <c r="F890" s="19" t="s">
        <v>1876</v>
      </c>
      <c r="G890" s="19" t="s">
        <v>1930</v>
      </c>
      <c r="H890" s="19">
        <v>6</v>
      </c>
      <c r="I890" s="19">
        <v>1047.72</v>
      </c>
      <c r="J890" s="19">
        <v>6286.32</v>
      </c>
    </row>
    <row r="891" ht="15.25" spans="1:10">
      <c r="A891" s="18" t="s">
        <v>1992</v>
      </c>
      <c r="B891" s="19" t="s">
        <v>1855</v>
      </c>
      <c r="C891" s="19" t="s">
        <v>1864</v>
      </c>
      <c r="D891" s="19" t="s">
        <v>1857</v>
      </c>
      <c r="E891" s="19" t="s">
        <v>1858</v>
      </c>
      <c r="F891" s="19" t="s">
        <v>1859</v>
      </c>
      <c r="G891" s="19" t="s">
        <v>1947</v>
      </c>
      <c r="H891" s="19">
        <v>20</v>
      </c>
      <c r="I891" s="19">
        <v>827.08</v>
      </c>
      <c r="J891" s="19">
        <v>16541.6</v>
      </c>
    </row>
    <row r="892" ht="15.25" spans="1:10">
      <c r="A892" s="18" t="s">
        <v>2095</v>
      </c>
      <c r="B892" s="19" t="s">
        <v>1855</v>
      </c>
      <c r="C892" s="19" t="s">
        <v>1906</v>
      </c>
      <c r="D892" s="19" t="s">
        <v>1862</v>
      </c>
      <c r="E892" s="19" t="s">
        <v>1858</v>
      </c>
      <c r="F892" s="19" t="s">
        <v>1859</v>
      </c>
      <c r="G892" s="19" t="s">
        <v>1872</v>
      </c>
      <c r="H892" s="19">
        <v>19</v>
      </c>
      <c r="I892" s="19">
        <v>1726.65</v>
      </c>
      <c r="J892" s="19">
        <v>32806.35</v>
      </c>
    </row>
    <row r="893" ht="15.25" spans="1:10">
      <c r="A893" s="18">
        <v>45143</v>
      </c>
      <c r="B893" s="19" t="s">
        <v>1871</v>
      </c>
      <c r="C893" s="19" t="s">
        <v>1602</v>
      </c>
      <c r="D893" s="19" t="s">
        <v>1862</v>
      </c>
      <c r="E893" s="19" t="s">
        <v>1858</v>
      </c>
      <c r="F893" s="19" t="s">
        <v>1859</v>
      </c>
      <c r="G893" s="19" t="s">
        <v>1922</v>
      </c>
      <c r="H893" s="19">
        <v>17</v>
      </c>
      <c r="I893" s="19">
        <v>2339.57</v>
      </c>
      <c r="J893" s="19">
        <v>39772.69</v>
      </c>
    </row>
    <row r="894" ht="15.25" spans="1:10">
      <c r="A894" s="18">
        <v>44962</v>
      </c>
      <c r="B894" s="19" t="s">
        <v>1871</v>
      </c>
      <c r="C894" s="19" t="s">
        <v>1864</v>
      </c>
      <c r="D894" s="19" t="s">
        <v>1857</v>
      </c>
      <c r="E894" s="19" t="s">
        <v>1858</v>
      </c>
      <c r="F894" s="19" t="s">
        <v>1865</v>
      </c>
      <c r="G894" s="19" t="s">
        <v>1886</v>
      </c>
      <c r="H894" s="19">
        <v>8</v>
      </c>
      <c r="I894" s="19">
        <v>4984.96</v>
      </c>
      <c r="J894" s="19">
        <v>39879.68</v>
      </c>
    </row>
    <row r="895" ht="15.25" spans="1:10">
      <c r="A895" s="18">
        <v>45021</v>
      </c>
      <c r="B895" s="19" t="s">
        <v>1902</v>
      </c>
      <c r="C895" s="19" t="s">
        <v>1903</v>
      </c>
      <c r="D895" s="19" t="s">
        <v>1884</v>
      </c>
      <c r="E895" s="19" t="s">
        <v>1895</v>
      </c>
      <c r="F895" s="19" t="s">
        <v>1876</v>
      </c>
      <c r="G895" s="19" t="s">
        <v>1926</v>
      </c>
      <c r="H895" s="19">
        <v>17</v>
      </c>
      <c r="I895" s="19">
        <v>3259.21</v>
      </c>
      <c r="J895" s="19">
        <v>55406.57</v>
      </c>
    </row>
    <row r="896" ht="15.25" spans="1:10">
      <c r="A896" s="18" t="s">
        <v>2025</v>
      </c>
      <c r="B896" s="19" t="s">
        <v>1855</v>
      </c>
      <c r="C896" s="19" t="s">
        <v>1856</v>
      </c>
      <c r="D896" s="19" t="s">
        <v>1857</v>
      </c>
      <c r="E896" s="19" t="s">
        <v>1858</v>
      </c>
      <c r="F896" s="19" t="s">
        <v>1852</v>
      </c>
      <c r="G896" s="19" t="s">
        <v>1853</v>
      </c>
      <c r="H896" s="19">
        <v>7</v>
      </c>
      <c r="I896" s="19">
        <v>4847.62</v>
      </c>
      <c r="J896" s="19">
        <v>33933.34</v>
      </c>
    </row>
    <row r="897" ht="15.25" spans="1:10">
      <c r="A897" s="18" t="s">
        <v>2115</v>
      </c>
      <c r="B897" s="19" t="s">
        <v>1861</v>
      </c>
      <c r="C897" s="19" t="s">
        <v>1626</v>
      </c>
      <c r="D897" s="19" t="s">
        <v>1857</v>
      </c>
      <c r="E897" s="19" t="s">
        <v>1858</v>
      </c>
      <c r="F897" s="19" t="s">
        <v>1868</v>
      </c>
      <c r="G897" s="19" t="s">
        <v>1899</v>
      </c>
      <c r="H897" s="19">
        <v>6</v>
      </c>
      <c r="I897" s="19">
        <v>2260.16</v>
      </c>
      <c r="J897" s="19">
        <v>13560.96</v>
      </c>
    </row>
    <row r="898" ht="15.25" spans="1:10">
      <c r="A898" s="18">
        <v>45269</v>
      </c>
      <c r="B898" s="19" t="s">
        <v>1874</v>
      </c>
      <c r="C898" s="19" t="s">
        <v>1589</v>
      </c>
      <c r="D898" s="19" t="s">
        <v>1884</v>
      </c>
      <c r="E898" s="19" t="s">
        <v>1895</v>
      </c>
      <c r="F898" s="19" t="s">
        <v>1852</v>
      </c>
      <c r="G898" s="19" t="s">
        <v>1910</v>
      </c>
      <c r="H898" s="19">
        <v>16</v>
      </c>
      <c r="I898" s="19">
        <v>1795.37</v>
      </c>
      <c r="J898" s="19">
        <v>28725.92</v>
      </c>
    </row>
    <row r="899" ht="15.25" spans="1:10">
      <c r="A899" s="18">
        <v>44990</v>
      </c>
      <c r="B899" s="19" t="s">
        <v>1874</v>
      </c>
      <c r="C899" s="19" t="s">
        <v>1941</v>
      </c>
      <c r="D899" s="19" t="s">
        <v>1879</v>
      </c>
      <c r="E899" s="19" t="s">
        <v>1851</v>
      </c>
      <c r="F899" s="19" t="s">
        <v>1876</v>
      </c>
      <c r="G899" s="19" t="s">
        <v>1930</v>
      </c>
      <c r="H899" s="19">
        <v>19</v>
      </c>
      <c r="I899" s="19">
        <v>2040.79</v>
      </c>
      <c r="J899" s="19">
        <v>38775.01</v>
      </c>
    </row>
    <row r="900" ht="15.25" spans="1:10">
      <c r="A900" s="18" t="s">
        <v>2116</v>
      </c>
      <c r="B900" s="19" t="s">
        <v>1892</v>
      </c>
      <c r="C900" s="19" t="s">
        <v>1906</v>
      </c>
      <c r="D900" s="19" t="s">
        <v>1862</v>
      </c>
      <c r="E900" s="19" t="s">
        <v>1858</v>
      </c>
      <c r="F900" s="19" t="s">
        <v>1852</v>
      </c>
      <c r="G900" s="19" t="s">
        <v>1950</v>
      </c>
      <c r="H900" s="19">
        <v>13</v>
      </c>
      <c r="I900" s="19">
        <v>1764.64</v>
      </c>
      <c r="J900" s="19">
        <v>22940.32</v>
      </c>
    </row>
    <row r="901" ht="15.25" spans="1:10">
      <c r="A901" s="18" t="s">
        <v>2108</v>
      </c>
      <c r="B901" s="19" t="s">
        <v>1848</v>
      </c>
      <c r="C901" s="19" t="s">
        <v>1856</v>
      </c>
      <c r="D901" s="19" t="s">
        <v>1857</v>
      </c>
      <c r="E901" s="19" t="s">
        <v>1858</v>
      </c>
      <c r="F901" s="19" t="s">
        <v>1868</v>
      </c>
      <c r="G901" s="19" t="s">
        <v>1899</v>
      </c>
      <c r="H901" s="19">
        <v>6</v>
      </c>
      <c r="I901" s="19">
        <v>746.23</v>
      </c>
      <c r="J901" s="19">
        <v>4477.38</v>
      </c>
    </row>
    <row r="902" ht="15.25" spans="1:10">
      <c r="A902" s="18">
        <v>45210</v>
      </c>
      <c r="B902" s="19" t="s">
        <v>1861</v>
      </c>
      <c r="C902" s="19" t="s">
        <v>1589</v>
      </c>
      <c r="D902" s="19" t="s">
        <v>1884</v>
      </c>
      <c r="E902" s="19" t="s">
        <v>1895</v>
      </c>
      <c r="F902" s="19" t="s">
        <v>1852</v>
      </c>
      <c r="G902" s="19" t="s">
        <v>1934</v>
      </c>
      <c r="H902" s="19">
        <v>14</v>
      </c>
      <c r="I902" s="19">
        <v>2385.99</v>
      </c>
      <c r="J902" s="19">
        <v>33403.86</v>
      </c>
    </row>
    <row r="903" ht="15.25" spans="1:10">
      <c r="A903" s="18">
        <v>45264</v>
      </c>
      <c r="B903" s="19" t="s">
        <v>1848</v>
      </c>
      <c r="C903" s="19" t="s">
        <v>1941</v>
      </c>
      <c r="D903" s="19" t="s">
        <v>1879</v>
      </c>
      <c r="E903" s="19" t="s">
        <v>1851</v>
      </c>
      <c r="F903" s="19" t="s">
        <v>1876</v>
      </c>
      <c r="G903" s="19" t="s">
        <v>1877</v>
      </c>
      <c r="H903" s="19">
        <v>1</v>
      </c>
      <c r="I903" s="19">
        <v>2362.15</v>
      </c>
      <c r="J903" s="19">
        <v>2362.15</v>
      </c>
    </row>
    <row r="904" ht="15.25" spans="1:10">
      <c r="A904" s="18" t="s">
        <v>1944</v>
      </c>
      <c r="B904" s="19" t="s">
        <v>1874</v>
      </c>
      <c r="C904" s="19" t="s">
        <v>1589</v>
      </c>
      <c r="D904" s="19" t="s">
        <v>1884</v>
      </c>
      <c r="E904" s="19" t="s">
        <v>1895</v>
      </c>
      <c r="F904" s="19" t="s">
        <v>1865</v>
      </c>
      <c r="G904" s="19" t="s">
        <v>1886</v>
      </c>
      <c r="H904" s="19">
        <v>16</v>
      </c>
      <c r="I904" s="19">
        <v>1236.8</v>
      </c>
      <c r="J904" s="19">
        <v>19788.8</v>
      </c>
    </row>
    <row r="905" ht="15.25" spans="1:10">
      <c r="A905" s="18">
        <v>45140</v>
      </c>
      <c r="B905" s="19" t="s">
        <v>1867</v>
      </c>
      <c r="C905" s="19" t="s">
        <v>1589</v>
      </c>
      <c r="D905" s="19" t="s">
        <v>1884</v>
      </c>
      <c r="E905" s="19" t="s">
        <v>1895</v>
      </c>
      <c r="F905" s="19" t="s">
        <v>1876</v>
      </c>
      <c r="G905" s="19" t="s">
        <v>1883</v>
      </c>
      <c r="H905" s="19">
        <v>17</v>
      </c>
      <c r="I905" s="19">
        <v>1248.03</v>
      </c>
      <c r="J905" s="19">
        <v>21216.51</v>
      </c>
    </row>
    <row r="906" ht="15.25" spans="1:10">
      <c r="A906" s="18">
        <v>44991</v>
      </c>
      <c r="B906" s="19" t="s">
        <v>1892</v>
      </c>
      <c r="C906" s="19" t="s">
        <v>1903</v>
      </c>
      <c r="D906" s="19" t="s">
        <v>1884</v>
      </c>
      <c r="E906" s="19" t="s">
        <v>1895</v>
      </c>
      <c r="F906" s="19" t="s">
        <v>1859</v>
      </c>
      <c r="G906" s="19" t="s">
        <v>1872</v>
      </c>
      <c r="H906" s="19">
        <v>16</v>
      </c>
      <c r="I906" s="19">
        <v>665.83</v>
      </c>
      <c r="J906" s="19">
        <v>10653.28</v>
      </c>
    </row>
    <row r="907" ht="26.75" spans="1:10">
      <c r="A907" s="18">
        <v>45082</v>
      </c>
      <c r="B907" s="19" t="s">
        <v>1848</v>
      </c>
      <c r="C907" s="19" t="s">
        <v>1598</v>
      </c>
      <c r="D907" s="19" t="s">
        <v>1850</v>
      </c>
      <c r="E907" s="19" t="s">
        <v>1851</v>
      </c>
      <c r="F907" s="19" t="s">
        <v>1876</v>
      </c>
      <c r="G907" s="19" t="s">
        <v>1926</v>
      </c>
      <c r="H907" s="19">
        <v>16</v>
      </c>
      <c r="I907" s="19">
        <v>615.7</v>
      </c>
      <c r="J907" s="19">
        <v>9851.2</v>
      </c>
    </row>
    <row r="908" ht="15.25" spans="1:10">
      <c r="A908" s="18" t="s">
        <v>1948</v>
      </c>
      <c r="B908" s="19" t="s">
        <v>1878</v>
      </c>
      <c r="C908" s="19" t="s">
        <v>1906</v>
      </c>
      <c r="D908" s="19" t="s">
        <v>1862</v>
      </c>
      <c r="E908" s="19" t="s">
        <v>1858</v>
      </c>
      <c r="F908" s="19" t="s">
        <v>1859</v>
      </c>
      <c r="G908" s="19" t="s">
        <v>1947</v>
      </c>
      <c r="H908" s="19">
        <v>13</v>
      </c>
      <c r="I908" s="19">
        <v>3616.99</v>
      </c>
      <c r="J908" s="19">
        <v>47020.87</v>
      </c>
    </row>
    <row r="909" ht="15.25" spans="1:10">
      <c r="A909" s="18">
        <v>45144</v>
      </c>
      <c r="B909" s="19" t="s">
        <v>1902</v>
      </c>
      <c r="C909" s="19" t="s">
        <v>1864</v>
      </c>
      <c r="D909" s="19" t="s">
        <v>1857</v>
      </c>
      <c r="E909" s="19" t="s">
        <v>1858</v>
      </c>
      <c r="F909" s="19" t="s">
        <v>1865</v>
      </c>
      <c r="G909" s="19" t="s">
        <v>1886</v>
      </c>
      <c r="H909" s="19">
        <v>9</v>
      </c>
      <c r="I909" s="19">
        <v>1940.11</v>
      </c>
      <c r="J909" s="19">
        <v>17460.99</v>
      </c>
    </row>
    <row r="910" ht="15.25" spans="1:10">
      <c r="A910" s="18" t="s">
        <v>1940</v>
      </c>
      <c r="B910" s="19" t="s">
        <v>1889</v>
      </c>
      <c r="C910" s="19" t="s">
        <v>1864</v>
      </c>
      <c r="D910" s="19" t="s">
        <v>1857</v>
      </c>
      <c r="E910" s="19" t="s">
        <v>1858</v>
      </c>
      <c r="F910" s="19" t="s">
        <v>1876</v>
      </c>
      <c r="G910" s="19" t="s">
        <v>1883</v>
      </c>
      <c r="H910" s="19">
        <v>16</v>
      </c>
      <c r="I910" s="19">
        <v>1064.93</v>
      </c>
      <c r="J910" s="19">
        <v>17038.88</v>
      </c>
    </row>
    <row r="911" ht="26.75" spans="1:10">
      <c r="A911" s="18">
        <v>45232</v>
      </c>
      <c r="B911" s="19" t="s">
        <v>1889</v>
      </c>
      <c r="C911" s="19" t="s">
        <v>1593</v>
      </c>
      <c r="D911" s="19" t="s">
        <v>1850</v>
      </c>
      <c r="E911" s="19" t="s">
        <v>1851</v>
      </c>
      <c r="F911" s="19" t="s">
        <v>1865</v>
      </c>
      <c r="G911" s="19" t="s">
        <v>1920</v>
      </c>
      <c r="H911" s="19">
        <v>2</v>
      </c>
      <c r="I911" s="19">
        <v>4845.74</v>
      </c>
      <c r="J911" s="19">
        <v>9691.48</v>
      </c>
    </row>
    <row r="912" ht="15.25" spans="1:10">
      <c r="A912" s="18" t="s">
        <v>2025</v>
      </c>
      <c r="B912" s="19" t="s">
        <v>1867</v>
      </c>
      <c r="C912" s="19" t="s">
        <v>1875</v>
      </c>
      <c r="D912" s="19" t="s">
        <v>1862</v>
      </c>
      <c r="E912" s="19" t="s">
        <v>1858</v>
      </c>
      <c r="F912" s="19" t="s">
        <v>1868</v>
      </c>
      <c r="G912" s="19" t="s">
        <v>1917</v>
      </c>
      <c r="H912" s="19">
        <v>3</v>
      </c>
      <c r="I912" s="19">
        <v>4766.28</v>
      </c>
      <c r="J912" s="19">
        <v>14298.84</v>
      </c>
    </row>
    <row r="913" ht="15.25" spans="1:10">
      <c r="A913" s="18">
        <v>45233</v>
      </c>
      <c r="B913" s="19" t="s">
        <v>1855</v>
      </c>
      <c r="C913" s="19" t="s">
        <v>1589</v>
      </c>
      <c r="D913" s="19" t="s">
        <v>1884</v>
      </c>
      <c r="E913" s="19" t="s">
        <v>1895</v>
      </c>
      <c r="F913" s="19" t="s">
        <v>1865</v>
      </c>
      <c r="G913" s="19" t="s">
        <v>1920</v>
      </c>
      <c r="H913" s="19">
        <v>15</v>
      </c>
      <c r="I913" s="19">
        <v>3946.23</v>
      </c>
      <c r="J913" s="19">
        <v>59193.45</v>
      </c>
    </row>
    <row r="914" ht="15.25" spans="1:10">
      <c r="A914" s="18">
        <v>45145</v>
      </c>
      <c r="B914" s="19" t="s">
        <v>1878</v>
      </c>
      <c r="C914" s="19" t="s">
        <v>1610</v>
      </c>
      <c r="D914" s="19" t="s">
        <v>1879</v>
      </c>
      <c r="E914" s="19" t="s">
        <v>1851</v>
      </c>
      <c r="F914" s="19" t="s">
        <v>1865</v>
      </c>
      <c r="G914" s="19" t="s">
        <v>1886</v>
      </c>
      <c r="H914" s="19">
        <v>12</v>
      </c>
      <c r="I914" s="19">
        <v>1804.27</v>
      </c>
      <c r="J914" s="19">
        <v>21651.24</v>
      </c>
    </row>
    <row r="915" ht="26.75" spans="1:10">
      <c r="A915" s="18" t="s">
        <v>2117</v>
      </c>
      <c r="B915" s="19" t="s">
        <v>1871</v>
      </c>
      <c r="C915" s="19" t="s">
        <v>1849</v>
      </c>
      <c r="D915" s="19" t="s">
        <v>1850</v>
      </c>
      <c r="E915" s="19" t="s">
        <v>1851</v>
      </c>
      <c r="F915" s="19" t="s">
        <v>1876</v>
      </c>
      <c r="G915" s="19" t="s">
        <v>1877</v>
      </c>
      <c r="H915" s="19">
        <v>3</v>
      </c>
      <c r="I915" s="19">
        <v>2055.45</v>
      </c>
      <c r="J915" s="19">
        <v>6166.35</v>
      </c>
    </row>
    <row r="916" ht="15.25" spans="1:10">
      <c r="A916" s="18">
        <v>45056</v>
      </c>
      <c r="B916" s="19" t="s">
        <v>1871</v>
      </c>
      <c r="C916" s="19" t="s">
        <v>1589</v>
      </c>
      <c r="D916" s="19" t="s">
        <v>1884</v>
      </c>
      <c r="E916" s="19" t="s">
        <v>1895</v>
      </c>
      <c r="F916" s="19" t="s">
        <v>1852</v>
      </c>
      <c r="G916" s="19" t="s">
        <v>1910</v>
      </c>
      <c r="H916" s="19">
        <v>5</v>
      </c>
      <c r="I916" s="19">
        <v>1568.68</v>
      </c>
      <c r="J916" s="19">
        <v>7843.4</v>
      </c>
    </row>
    <row r="917" ht="15.25" spans="1:10">
      <c r="A917" s="18" t="s">
        <v>1925</v>
      </c>
      <c r="B917" s="19" t="s">
        <v>1874</v>
      </c>
      <c r="C917" s="19" t="s">
        <v>1875</v>
      </c>
      <c r="D917" s="19" t="s">
        <v>1862</v>
      </c>
      <c r="E917" s="19" t="s">
        <v>1858</v>
      </c>
      <c r="F917" s="19" t="s">
        <v>1852</v>
      </c>
      <c r="G917" s="19" t="s">
        <v>1934</v>
      </c>
      <c r="H917" s="19">
        <v>16</v>
      </c>
      <c r="I917" s="19">
        <v>2288.68</v>
      </c>
      <c r="J917" s="19">
        <v>36618.88</v>
      </c>
    </row>
    <row r="918" ht="15.25" spans="1:10">
      <c r="A918" s="18">
        <v>45113</v>
      </c>
      <c r="B918" s="19" t="s">
        <v>1892</v>
      </c>
      <c r="C918" s="19" t="s">
        <v>1864</v>
      </c>
      <c r="D918" s="19" t="s">
        <v>1857</v>
      </c>
      <c r="E918" s="19" t="s">
        <v>1858</v>
      </c>
      <c r="F918" s="19" t="s">
        <v>1852</v>
      </c>
      <c r="G918" s="19" t="s">
        <v>1950</v>
      </c>
      <c r="H918" s="19">
        <v>12</v>
      </c>
      <c r="I918" s="19">
        <v>2133.05</v>
      </c>
      <c r="J918" s="19">
        <v>25596.6</v>
      </c>
    </row>
    <row r="919" ht="26.75" spans="1:10">
      <c r="A919" s="18">
        <v>45050</v>
      </c>
      <c r="B919" s="19" t="s">
        <v>1892</v>
      </c>
      <c r="C919" s="19" t="s">
        <v>1598</v>
      </c>
      <c r="D919" s="19" t="s">
        <v>1850</v>
      </c>
      <c r="E919" s="19" t="s">
        <v>1851</v>
      </c>
      <c r="F919" s="19" t="s">
        <v>1868</v>
      </c>
      <c r="G919" s="19" t="s">
        <v>1907</v>
      </c>
      <c r="H919" s="19">
        <v>4</v>
      </c>
      <c r="I919" s="19">
        <v>1208.42</v>
      </c>
      <c r="J919" s="19">
        <v>4833.68</v>
      </c>
    </row>
    <row r="920" ht="15.25" spans="1:10">
      <c r="A920" s="18">
        <v>45175</v>
      </c>
      <c r="B920" s="19" t="s">
        <v>1892</v>
      </c>
      <c r="C920" s="19" t="s">
        <v>1894</v>
      </c>
      <c r="D920" s="19" t="s">
        <v>1884</v>
      </c>
      <c r="E920" s="19" t="s">
        <v>1895</v>
      </c>
      <c r="F920" s="19" t="s">
        <v>1859</v>
      </c>
      <c r="G920" s="19" t="s">
        <v>1860</v>
      </c>
      <c r="H920" s="19">
        <v>14</v>
      </c>
      <c r="I920" s="19">
        <v>630.45</v>
      </c>
      <c r="J920" s="19">
        <v>8826.3</v>
      </c>
    </row>
    <row r="921" ht="26.75" spans="1:10">
      <c r="A921" s="18" t="s">
        <v>2026</v>
      </c>
      <c r="B921" s="19" t="s">
        <v>1871</v>
      </c>
      <c r="C921" s="19" t="s">
        <v>1849</v>
      </c>
      <c r="D921" s="19" t="s">
        <v>1850</v>
      </c>
      <c r="E921" s="19" t="s">
        <v>1851</v>
      </c>
      <c r="F921" s="19" t="s">
        <v>1865</v>
      </c>
      <c r="G921" s="19" t="s">
        <v>1866</v>
      </c>
      <c r="H921" s="19">
        <v>14</v>
      </c>
      <c r="I921" s="19">
        <v>2713.47</v>
      </c>
      <c r="J921" s="19">
        <v>37988.58</v>
      </c>
    </row>
    <row r="922" ht="15.25" spans="1:10">
      <c r="A922" s="18">
        <v>45173</v>
      </c>
      <c r="B922" s="19" t="s">
        <v>1848</v>
      </c>
      <c r="C922" s="19" t="s">
        <v>1894</v>
      </c>
      <c r="D922" s="19" t="s">
        <v>1884</v>
      </c>
      <c r="E922" s="19" t="s">
        <v>1895</v>
      </c>
      <c r="F922" s="19" t="s">
        <v>1852</v>
      </c>
      <c r="G922" s="19" t="s">
        <v>1950</v>
      </c>
      <c r="H922" s="19">
        <v>7</v>
      </c>
      <c r="I922" s="19">
        <v>3273.61</v>
      </c>
      <c r="J922" s="19">
        <v>22915.27</v>
      </c>
    </row>
    <row r="923" ht="26.75" spans="1:10">
      <c r="A923" s="18" t="s">
        <v>2062</v>
      </c>
      <c r="B923" s="19" t="s">
        <v>1871</v>
      </c>
      <c r="C923" s="19" t="s">
        <v>1598</v>
      </c>
      <c r="D923" s="19" t="s">
        <v>1850</v>
      </c>
      <c r="E923" s="19" t="s">
        <v>1851</v>
      </c>
      <c r="F923" s="19" t="s">
        <v>1865</v>
      </c>
      <c r="G923" s="19" t="s">
        <v>1890</v>
      </c>
      <c r="H923" s="19">
        <v>9</v>
      </c>
      <c r="I923" s="19">
        <v>566.92</v>
      </c>
      <c r="J923" s="19">
        <v>5102.28</v>
      </c>
    </row>
    <row r="924" ht="15.25" spans="1:10">
      <c r="A924" s="18" t="s">
        <v>2089</v>
      </c>
      <c r="B924" s="19" t="s">
        <v>1889</v>
      </c>
      <c r="C924" s="19" t="s">
        <v>1875</v>
      </c>
      <c r="D924" s="19" t="s">
        <v>1862</v>
      </c>
      <c r="E924" s="19" t="s">
        <v>1858</v>
      </c>
      <c r="F924" s="19" t="s">
        <v>1876</v>
      </c>
      <c r="G924" s="19" t="s">
        <v>1883</v>
      </c>
      <c r="H924" s="19">
        <v>2</v>
      </c>
      <c r="I924" s="19">
        <v>3830.39</v>
      </c>
      <c r="J924" s="19">
        <v>7660.78</v>
      </c>
    </row>
    <row r="925" ht="26.75" spans="1:10">
      <c r="A925" s="18" t="s">
        <v>2109</v>
      </c>
      <c r="B925" s="19" t="s">
        <v>1867</v>
      </c>
      <c r="C925" s="19" t="s">
        <v>1598</v>
      </c>
      <c r="D925" s="19" t="s">
        <v>1850</v>
      </c>
      <c r="E925" s="19" t="s">
        <v>1851</v>
      </c>
      <c r="F925" s="19" t="s">
        <v>1876</v>
      </c>
      <c r="G925" s="19" t="s">
        <v>1926</v>
      </c>
      <c r="H925" s="19">
        <v>7</v>
      </c>
      <c r="I925" s="19">
        <v>4456.5</v>
      </c>
      <c r="J925" s="19">
        <v>31195.5</v>
      </c>
    </row>
    <row r="926" ht="15.25" spans="1:10">
      <c r="A926" s="18" t="s">
        <v>2118</v>
      </c>
      <c r="B926" s="19" t="s">
        <v>1848</v>
      </c>
      <c r="C926" s="19" t="s">
        <v>1626</v>
      </c>
      <c r="D926" s="19" t="s">
        <v>1857</v>
      </c>
      <c r="E926" s="19" t="s">
        <v>1858</v>
      </c>
      <c r="F926" s="19" t="s">
        <v>1859</v>
      </c>
      <c r="G926" s="19" t="s">
        <v>1922</v>
      </c>
      <c r="H926" s="19">
        <v>15</v>
      </c>
      <c r="I926" s="19">
        <v>202.66</v>
      </c>
      <c r="J926" s="19">
        <v>3039.9</v>
      </c>
    </row>
    <row r="927" ht="26.75" spans="1:10">
      <c r="A927" s="18" t="s">
        <v>1940</v>
      </c>
      <c r="B927" s="19" t="s">
        <v>1889</v>
      </c>
      <c r="C927" s="19" t="s">
        <v>1849</v>
      </c>
      <c r="D927" s="19" t="s">
        <v>1850</v>
      </c>
      <c r="E927" s="19" t="s">
        <v>1851</v>
      </c>
      <c r="F927" s="19" t="s">
        <v>1865</v>
      </c>
      <c r="G927" s="19" t="s">
        <v>1886</v>
      </c>
      <c r="H927" s="19">
        <v>10</v>
      </c>
      <c r="I927" s="19">
        <v>1018.19</v>
      </c>
      <c r="J927" s="19">
        <v>10181.9</v>
      </c>
    </row>
    <row r="928" ht="15.25" spans="1:10">
      <c r="A928" s="18">
        <v>45050</v>
      </c>
      <c r="B928" s="19" t="s">
        <v>1848</v>
      </c>
      <c r="C928" s="19" t="s">
        <v>1610</v>
      </c>
      <c r="D928" s="19" t="s">
        <v>1879</v>
      </c>
      <c r="E928" s="19" t="s">
        <v>1851</v>
      </c>
      <c r="F928" s="19" t="s">
        <v>1865</v>
      </c>
      <c r="G928" s="19" t="s">
        <v>1886</v>
      </c>
      <c r="H928" s="19">
        <v>4</v>
      </c>
      <c r="I928" s="19">
        <v>3300.36</v>
      </c>
      <c r="J928" s="19">
        <v>13201.44</v>
      </c>
    </row>
    <row r="929" ht="15.25" spans="1:10">
      <c r="A929" s="18" t="s">
        <v>2119</v>
      </c>
      <c r="B929" s="19" t="s">
        <v>1855</v>
      </c>
      <c r="C929" s="19" t="s">
        <v>1589</v>
      </c>
      <c r="D929" s="19" t="s">
        <v>1884</v>
      </c>
      <c r="E929" s="19" t="s">
        <v>1895</v>
      </c>
      <c r="F929" s="19" t="s">
        <v>1865</v>
      </c>
      <c r="G929" s="19" t="s">
        <v>1886</v>
      </c>
      <c r="H929" s="19">
        <v>12</v>
      </c>
      <c r="I929" s="19">
        <v>957.01</v>
      </c>
      <c r="J929" s="19">
        <v>11484.12</v>
      </c>
    </row>
    <row r="930" ht="15.25" spans="1:10">
      <c r="A930" s="18" t="s">
        <v>1971</v>
      </c>
      <c r="B930" s="19" t="s">
        <v>1855</v>
      </c>
      <c r="C930" s="19" t="s">
        <v>1626</v>
      </c>
      <c r="D930" s="19" t="s">
        <v>1857</v>
      </c>
      <c r="E930" s="19" t="s">
        <v>1858</v>
      </c>
      <c r="F930" s="19" t="s">
        <v>1868</v>
      </c>
      <c r="G930" s="19" t="s">
        <v>1899</v>
      </c>
      <c r="H930" s="19">
        <v>19</v>
      </c>
      <c r="I930" s="19">
        <v>1933.19</v>
      </c>
      <c r="J930" s="19">
        <v>36730.61</v>
      </c>
    </row>
    <row r="931" ht="15.25" spans="1:10">
      <c r="A931" s="18" t="s">
        <v>2083</v>
      </c>
      <c r="B931" s="19" t="s">
        <v>1861</v>
      </c>
      <c r="C931" s="19" t="s">
        <v>1894</v>
      </c>
      <c r="D931" s="19" t="s">
        <v>1884</v>
      </c>
      <c r="E931" s="19" t="s">
        <v>1895</v>
      </c>
      <c r="F931" s="19" t="s">
        <v>1852</v>
      </c>
      <c r="G931" s="19" t="s">
        <v>1950</v>
      </c>
      <c r="H931" s="19">
        <v>15</v>
      </c>
      <c r="I931" s="19">
        <v>834.13</v>
      </c>
      <c r="J931" s="19">
        <v>12511.95</v>
      </c>
    </row>
    <row r="932" ht="15.25" spans="1:10">
      <c r="A932" s="18" t="s">
        <v>1949</v>
      </c>
      <c r="B932" s="19" t="s">
        <v>1874</v>
      </c>
      <c r="C932" s="19" t="s">
        <v>1875</v>
      </c>
      <c r="D932" s="19" t="s">
        <v>1862</v>
      </c>
      <c r="E932" s="19" t="s">
        <v>1858</v>
      </c>
      <c r="F932" s="19" t="s">
        <v>1859</v>
      </c>
      <c r="G932" s="19" t="s">
        <v>1922</v>
      </c>
      <c r="H932" s="19">
        <v>18</v>
      </c>
      <c r="I932" s="19">
        <v>2535.82</v>
      </c>
      <c r="J932" s="19">
        <v>45644.76</v>
      </c>
    </row>
    <row r="933" ht="15.25" spans="1:10">
      <c r="A933" s="18">
        <v>45202</v>
      </c>
      <c r="B933" s="19" t="s">
        <v>1855</v>
      </c>
      <c r="C933" s="19" t="s">
        <v>1626</v>
      </c>
      <c r="D933" s="19" t="s">
        <v>1857</v>
      </c>
      <c r="E933" s="19" t="s">
        <v>1858</v>
      </c>
      <c r="F933" s="19" t="s">
        <v>1868</v>
      </c>
      <c r="G933" s="19" t="s">
        <v>1917</v>
      </c>
      <c r="H933" s="19">
        <v>18</v>
      </c>
      <c r="I933" s="19">
        <v>2299.93</v>
      </c>
      <c r="J933" s="19">
        <v>41398.74</v>
      </c>
    </row>
    <row r="934" ht="15.25" spans="1:10">
      <c r="A934" s="18" t="s">
        <v>1863</v>
      </c>
      <c r="B934" s="19" t="s">
        <v>1874</v>
      </c>
      <c r="C934" s="19" t="s">
        <v>1610</v>
      </c>
      <c r="D934" s="19" t="s">
        <v>1879</v>
      </c>
      <c r="E934" s="19" t="s">
        <v>1851</v>
      </c>
      <c r="F934" s="19" t="s">
        <v>1852</v>
      </c>
      <c r="G934" s="19" t="s">
        <v>1910</v>
      </c>
      <c r="H934" s="19">
        <v>5</v>
      </c>
      <c r="I934" s="19">
        <v>606.49</v>
      </c>
      <c r="J934" s="19">
        <v>3032.45</v>
      </c>
    </row>
    <row r="935" ht="15.25" spans="1:10">
      <c r="A935" s="18" t="s">
        <v>2008</v>
      </c>
      <c r="B935" s="19" t="s">
        <v>1871</v>
      </c>
      <c r="C935" s="19" t="s">
        <v>1906</v>
      </c>
      <c r="D935" s="19" t="s">
        <v>1862</v>
      </c>
      <c r="E935" s="19" t="s">
        <v>1858</v>
      </c>
      <c r="F935" s="19" t="s">
        <v>1859</v>
      </c>
      <c r="G935" s="19" t="s">
        <v>1872</v>
      </c>
      <c r="H935" s="19">
        <v>6</v>
      </c>
      <c r="I935" s="19">
        <v>1919.03</v>
      </c>
      <c r="J935" s="19">
        <v>11514.18</v>
      </c>
    </row>
    <row r="936" ht="15.25" spans="1:10">
      <c r="A936" s="18">
        <v>44963</v>
      </c>
      <c r="B936" s="19" t="s">
        <v>1848</v>
      </c>
      <c r="C936" s="19" t="s">
        <v>1906</v>
      </c>
      <c r="D936" s="19" t="s">
        <v>1862</v>
      </c>
      <c r="E936" s="19" t="s">
        <v>1858</v>
      </c>
      <c r="F936" s="19" t="s">
        <v>1859</v>
      </c>
      <c r="G936" s="19" t="s">
        <v>1922</v>
      </c>
      <c r="H936" s="19">
        <v>9</v>
      </c>
      <c r="I936" s="19">
        <v>662.41</v>
      </c>
      <c r="J936" s="19">
        <v>5961.69</v>
      </c>
    </row>
    <row r="937" ht="15.25" spans="1:10">
      <c r="A937" s="18">
        <v>45170</v>
      </c>
      <c r="B937" s="19" t="s">
        <v>1902</v>
      </c>
      <c r="C937" s="19" t="s">
        <v>1864</v>
      </c>
      <c r="D937" s="19" t="s">
        <v>1857</v>
      </c>
      <c r="E937" s="19" t="s">
        <v>1858</v>
      </c>
      <c r="F937" s="19" t="s">
        <v>1859</v>
      </c>
      <c r="G937" s="19" t="s">
        <v>1947</v>
      </c>
      <c r="H937" s="19">
        <v>18</v>
      </c>
      <c r="I937" s="19">
        <v>970.52</v>
      </c>
      <c r="J937" s="19">
        <v>17469.36</v>
      </c>
    </row>
    <row r="938" ht="15.25" spans="1:10">
      <c r="A938" s="18">
        <v>45056</v>
      </c>
      <c r="B938" s="19" t="s">
        <v>1892</v>
      </c>
      <c r="C938" s="19" t="s">
        <v>1589</v>
      </c>
      <c r="D938" s="19" t="s">
        <v>1884</v>
      </c>
      <c r="E938" s="19" t="s">
        <v>1895</v>
      </c>
      <c r="F938" s="19" t="s">
        <v>1876</v>
      </c>
      <c r="G938" s="19" t="s">
        <v>1926</v>
      </c>
      <c r="H938" s="19">
        <v>2</v>
      </c>
      <c r="I938" s="19">
        <v>4112.53</v>
      </c>
      <c r="J938" s="19">
        <v>8225.06</v>
      </c>
    </row>
    <row r="939" ht="15.25" spans="1:10">
      <c r="A939" s="18">
        <v>45021</v>
      </c>
      <c r="B939" s="19" t="s">
        <v>1874</v>
      </c>
      <c r="C939" s="19" t="s">
        <v>1875</v>
      </c>
      <c r="D939" s="19" t="s">
        <v>1862</v>
      </c>
      <c r="E939" s="19" t="s">
        <v>1858</v>
      </c>
      <c r="F939" s="19" t="s">
        <v>1876</v>
      </c>
      <c r="G939" s="19" t="s">
        <v>1926</v>
      </c>
      <c r="H939" s="19">
        <v>4</v>
      </c>
      <c r="I939" s="19">
        <v>4968.93</v>
      </c>
      <c r="J939" s="19">
        <v>19875.72</v>
      </c>
    </row>
    <row r="940" ht="15.25" spans="1:10">
      <c r="A940" s="18" t="s">
        <v>2055</v>
      </c>
      <c r="B940" s="19" t="s">
        <v>1878</v>
      </c>
      <c r="C940" s="19" t="s">
        <v>1602</v>
      </c>
      <c r="D940" s="19" t="s">
        <v>1862</v>
      </c>
      <c r="E940" s="19" t="s">
        <v>1858</v>
      </c>
      <c r="F940" s="19" t="s">
        <v>1865</v>
      </c>
      <c r="G940" s="19" t="s">
        <v>1890</v>
      </c>
      <c r="H940" s="19">
        <v>2</v>
      </c>
      <c r="I940" s="19">
        <v>339.56</v>
      </c>
      <c r="J940" s="19">
        <v>679.12</v>
      </c>
    </row>
    <row r="941" ht="15.25" spans="1:10">
      <c r="A941" s="18" t="s">
        <v>2084</v>
      </c>
      <c r="B941" s="19" t="s">
        <v>1855</v>
      </c>
      <c r="C941" s="19" t="s">
        <v>1875</v>
      </c>
      <c r="D941" s="19" t="s">
        <v>1862</v>
      </c>
      <c r="E941" s="19" t="s">
        <v>1858</v>
      </c>
      <c r="F941" s="19" t="s">
        <v>1859</v>
      </c>
      <c r="G941" s="19" t="s">
        <v>1860</v>
      </c>
      <c r="H941" s="19">
        <v>3</v>
      </c>
      <c r="I941" s="19">
        <v>3853.05</v>
      </c>
      <c r="J941" s="19">
        <v>11559.15</v>
      </c>
    </row>
    <row r="942" ht="15.25" spans="1:10">
      <c r="A942" s="18" t="s">
        <v>1967</v>
      </c>
      <c r="B942" s="19" t="s">
        <v>1861</v>
      </c>
      <c r="C942" s="19" t="s">
        <v>1894</v>
      </c>
      <c r="D942" s="19" t="s">
        <v>1884</v>
      </c>
      <c r="E942" s="19" t="s">
        <v>1895</v>
      </c>
      <c r="F942" s="19" t="s">
        <v>1865</v>
      </c>
      <c r="G942" s="19" t="s">
        <v>1866</v>
      </c>
      <c r="H942" s="19">
        <v>11</v>
      </c>
      <c r="I942" s="19">
        <v>2212.9</v>
      </c>
      <c r="J942" s="19">
        <v>24341.9</v>
      </c>
    </row>
    <row r="943" ht="15.25" spans="1:10">
      <c r="A943" s="18">
        <v>45113</v>
      </c>
      <c r="B943" s="19" t="s">
        <v>1889</v>
      </c>
      <c r="C943" s="19" t="s">
        <v>1626</v>
      </c>
      <c r="D943" s="19" t="s">
        <v>1857</v>
      </c>
      <c r="E943" s="19" t="s">
        <v>1858</v>
      </c>
      <c r="F943" s="19" t="s">
        <v>1859</v>
      </c>
      <c r="G943" s="19" t="s">
        <v>1947</v>
      </c>
      <c r="H943" s="19">
        <v>18</v>
      </c>
      <c r="I943" s="19">
        <v>509.79</v>
      </c>
      <c r="J943" s="19">
        <v>9176.22</v>
      </c>
    </row>
    <row r="944" ht="15.25" spans="1:10">
      <c r="A944" s="18">
        <v>45052</v>
      </c>
      <c r="B944" s="19" t="s">
        <v>1902</v>
      </c>
      <c r="C944" s="19" t="s">
        <v>1602</v>
      </c>
      <c r="D944" s="19" t="s">
        <v>1862</v>
      </c>
      <c r="E944" s="19" t="s">
        <v>1858</v>
      </c>
      <c r="F944" s="19" t="s">
        <v>1852</v>
      </c>
      <c r="G944" s="19" t="s">
        <v>1910</v>
      </c>
      <c r="H944" s="19">
        <v>16</v>
      </c>
      <c r="I944" s="19">
        <v>2724.77</v>
      </c>
      <c r="J944" s="19">
        <v>43596.32</v>
      </c>
    </row>
    <row r="945" ht="26.75" spans="1:10">
      <c r="A945" s="18" t="s">
        <v>2114</v>
      </c>
      <c r="B945" s="19" t="s">
        <v>1892</v>
      </c>
      <c r="C945" s="19" t="s">
        <v>1849</v>
      </c>
      <c r="D945" s="19" t="s">
        <v>1850</v>
      </c>
      <c r="E945" s="19" t="s">
        <v>1851</v>
      </c>
      <c r="F945" s="19" t="s">
        <v>1865</v>
      </c>
      <c r="G945" s="19" t="s">
        <v>1886</v>
      </c>
      <c r="H945" s="19">
        <v>18</v>
      </c>
      <c r="I945" s="19">
        <v>4718.22</v>
      </c>
      <c r="J945" s="19">
        <v>84927.96</v>
      </c>
    </row>
    <row r="946" ht="15.25" spans="1:10">
      <c r="A946" s="18" t="s">
        <v>1988</v>
      </c>
      <c r="B946" s="19" t="s">
        <v>1892</v>
      </c>
      <c r="C946" s="19" t="s">
        <v>1864</v>
      </c>
      <c r="D946" s="19" t="s">
        <v>1857</v>
      </c>
      <c r="E946" s="19" t="s">
        <v>1858</v>
      </c>
      <c r="F946" s="19" t="s">
        <v>1876</v>
      </c>
      <c r="G946" s="19" t="s">
        <v>1930</v>
      </c>
      <c r="H946" s="19">
        <v>9</v>
      </c>
      <c r="I946" s="19">
        <v>4811.76</v>
      </c>
      <c r="J946" s="19">
        <v>43305.84</v>
      </c>
    </row>
    <row r="947" ht="15.25" spans="1:10">
      <c r="A947" s="18">
        <v>45108</v>
      </c>
      <c r="B947" s="19" t="s">
        <v>1848</v>
      </c>
      <c r="C947" s="19" t="s">
        <v>1626</v>
      </c>
      <c r="D947" s="19" t="s">
        <v>1857</v>
      </c>
      <c r="E947" s="19" t="s">
        <v>1858</v>
      </c>
      <c r="F947" s="19" t="s">
        <v>1852</v>
      </c>
      <c r="G947" s="19" t="s">
        <v>1950</v>
      </c>
      <c r="H947" s="19">
        <v>8</v>
      </c>
      <c r="I947" s="19">
        <v>4021.86</v>
      </c>
      <c r="J947" s="19">
        <v>32174.88</v>
      </c>
    </row>
    <row r="948" ht="15.25" spans="1:10">
      <c r="A948" s="18" t="s">
        <v>2034</v>
      </c>
      <c r="B948" s="19" t="s">
        <v>1902</v>
      </c>
      <c r="C948" s="19" t="s">
        <v>1875</v>
      </c>
      <c r="D948" s="19" t="s">
        <v>1862</v>
      </c>
      <c r="E948" s="19" t="s">
        <v>1858</v>
      </c>
      <c r="F948" s="19" t="s">
        <v>1852</v>
      </c>
      <c r="G948" s="19" t="s">
        <v>1910</v>
      </c>
      <c r="H948" s="19">
        <v>16</v>
      </c>
      <c r="I948" s="19">
        <v>4008.72</v>
      </c>
      <c r="J948" s="19">
        <v>64139.52</v>
      </c>
    </row>
    <row r="949" ht="15.25" spans="1:10">
      <c r="A949" s="18" t="s">
        <v>2009</v>
      </c>
      <c r="B949" s="19" t="s">
        <v>1848</v>
      </c>
      <c r="C949" s="19" t="s">
        <v>1898</v>
      </c>
      <c r="D949" s="19" t="s">
        <v>1879</v>
      </c>
      <c r="E949" s="19" t="s">
        <v>1851</v>
      </c>
      <c r="F949" s="19" t="s">
        <v>1852</v>
      </c>
      <c r="G949" s="19" t="s">
        <v>1950</v>
      </c>
      <c r="H949" s="19">
        <v>14</v>
      </c>
      <c r="I949" s="19">
        <v>4793.38</v>
      </c>
      <c r="J949" s="19">
        <v>67107.32</v>
      </c>
    </row>
    <row r="950" ht="15.25" spans="1:10">
      <c r="A950" s="18" t="s">
        <v>2105</v>
      </c>
      <c r="B950" s="19" t="s">
        <v>1874</v>
      </c>
      <c r="C950" s="19" t="s">
        <v>1903</v>
      </c>
      <c r="D950" s="19" t="s">
        <v>1884</v>
      </c>
      <c r="E950" s="19" t="s">
        <v>1895</v>
      </c>
      <c r="F950" s="19" t="s">
        <v>1852</v>
      </c>
      <c r="G950" s="19" t="s">
        <v>1934</v>
      </c>
      <c r="H950" s="19">
        <v>14</v>
      </c>
      <c r="I950" s="19">
        <v>4816.39</v>
      </c>
      <c r="J950" s="19">
        <v>67429.46</v>
      </c>
    </row>
    <row r="951" ht="15.25" spans="1:10">
      <c r="A951" s="18" t="s">
        <v>1958</v>
      </c>
      <c r="B951" s="19" t="s">
        <v>1871</v>
      </c>
      <c r="C951" s="19" t="s">
        <v>1941</v>
      </c>
      <c r="D951" s="19" t="s">
        <v>1879</v>
      </c>
      <c r="E951" s="19" t="s">
        <v>1851</v>
      </c>
      <c r="F951" s="19" t="s">
        <v>1852</v>
      </c>
      <c r="G951" s="19" t="s">
        <v>1853</v>
      </c>
      <c r="H951" s="19">
        <v>6</v>
      </c>
      <c r="I951" s="19">
        <v>4072.51</v>
      </c>
      <c r="J951" s="19">
        <v>24435.06</v>
      </c>
    </row>
    <row r="952" ht="26.75" spans="1:10">
      <c r="A952" s="18">
        <v>45263</v>
      </c>
      <c r="B952" s="19" t="s">
        <v>1878</v>
      </c>
      <c r="C952" s="19" t="s">
        <v>1593</v>
      </c>
      <c r="D952" s="19" t="s">
        <v>1850</v>
      </c>
      <c r="E952" s="19" t="s">
        <v>1851</v>
      </c>
      <c r="F952" s="19" t="s">
        <v>1868</v>
      </c>
      <c r="G952" s="19" t="s">
        <v>1917</v>
      </c>
      <c r="H952" s="19">
        <v>2</v>
      </c>
      <c r="I952" s="19">
        <v>1269.81</v>
      </c>
      <c r="J952" s="19">
        <v>2539.62</v>
      </c>
    </row>
    <row r="953" ht="15.25" spans="1:10">
      <c r="A953" s="18" t="s">
        <v>2026</v>
      </c>
      <c r="B953" s="19" t="s">
        <v>1889</v>
      </c>
      <c r="C953" s="19" t="s">
        <v>1941</v>
      </c>
      <c r="D953" s="19" t="s">
        <v>1879</v>
      </c>
      <c r="E953" s="19" t="s">
        <v>1851</v>
      </c>
      <c r="F953" s="19" t="s">
        <v>1868</v>
      </c>
      <c r="G953" s="19" t="s">
        <v>1907</v>
      </c>
      <c r="H953" s="19">
        <v>13</v>
      </c>
      <c r="I953" s="19">
        <v>3071.93</v>
      </c>
      <c r="J953" s="19">
        <v>39935.09</v>
      </c>
    </row>
    <row r="954" ht="15.25" spans="1:10">
      <c r="A954" s="18" t="s">
        <v>1978</v>
      </c>
      <c r="B954" s="19" t="s">
        <v>1867</v>
      </c>
      <c r="C954" s="19" t="s">
        <v>1610</v>
      </c>
      <c r="D954" s="19" t="s">
        <v>1879</v>
      </c>
      <c r="E954" s="19" t="s">
        <v>1851</v>
      </c>
      <c r="F954" s="19" t="s">
        <v>1865</v>
      </c>
      <c r="G954" s="19" t="s">
        <v>1866</v>
      </c>
      <c r="H954" s="19">
        <v>5</v>
      </c>
      <c r="I954" s="19">
        <v>4686.67</v>
      </c>
      <c r="J954" s="19">
        <v>23433.35</v>
      </c>
    </row>
    <row r="955" ht="26.75" spans="1:10">
      <c r="A955" s="18" t="s">
        <v>1942</v>
      </c>
      <c r="B955" s="19" t="s">
        <v>1902</v>
      </c>
      <c r="C955" s="19" t="s">
        <v>1849</v>
      </c>
      <c r="D955" s="19" t="s">
        <v>1850</v>
      </c>
      <c r="E955" s="19" t="s">
        <v>1851</v>
      </c>
      <c r="F955" s="19" t="s">
        <v>1852</v>
      </c>
      <c r="G955" s="19" t="s">
        <v>1934</v>
      </c>
      <c r="H955" s="19">
        <v>5</v>
      </c>
      <c r="I955" s="19">
        <v>4504.17</v>
      </c>
      <c r="J955" s="19">
        <v>22520.85</v>
      </c>
    </row>
    <row r="956" ht="15.25" spans="1:10">
      <c r="A956" s="18" t="s">
        <v>1956</v>
      </c>
      <c r="B956" s="19" t="s">
        <v>1848</v>
      </c>
      <c r="C956" s="19" t="s">
        <v>1602</v>
      </c>
      <c r="D956" s="19" t="s">
        <v>1862</v>
      </c>
      <c r="E956" s="19" t="s">
        <v>1858</v>
      </c>
      <c r="F956" s="19" t="s">
        <v>1852</v>
      </c>
      <c r="G956" s="19" t="s">
        <v>1853</v>
      </c>
      <c r="H956" s="19">
        <v>3</v>
      </c>
      <c r="I956" s="19">
        <v>559.7</v>
      </c>
      <c r="J956" s="19">
        <v>1679.1</v>
      </c>
    </row>
    <row r="957" ht="15.25" spans="1:10">
      <c r="A957" s="18" t="s">
        <v>2023</v>
      </c>
      <c r="B957" s="19" t="s">
        <v>1861</v>
      </c>
      <c r="C957" s="19" t="s">
        <v>1875</v>
      </c>
      <c r="D957" s="19" t="s">
        <v>1862</v>
      </c>
      <c r="E957" s="19" t="s">
        <v>1858</v>
      </c>
      <c r="F957" s="19" t="s">
        <v>1868</v>
      </c>
      <c r="G957" s="19" t="s">
        <v>1899</v>
      </c>
      <c r="H957" s="19">
        <v>17</v>
      </c>
      <c r="I957" s="19">
        <v>1975.71</v>
      </c>
      <c r="J957" s="19">
        <v>33587.07</v>
      </c>
    </row>
    <row r="958" ht="15.25" spans="1:10">
      <c r="A958" s="18">
        <v>45180</v>
      </c>
      <c r="B958" s="19" t="s">
        <v>1867</v>
      </c>
      <c r="C958" s="19" t="s">
        <v>1903</v>
      </c>
      <c r="D958" s="19" t="s">
        <v>1884</v>
      </c>
      <c r="E958" s="19" t="s">
        <v>1895</v>
      </c>
      <c r="F958" s="19" t="s">
        <v>1852</v>
      </c>
      <c r="G958" s="19" t="s">
        <v>1853</v>
      </c>
      <c r="H958" s="19">
        <v>8</v>
      </c>
      <c r="I958" s="19">
        <v>4175.56</v>
      </c>
      <c r="J958" s="19">
        <v>33404.48</v>
      </c>
    </row>
    <row r="959" ht="15.25" spans="1:10">
      <c r="A959" s="18" t="s">
        <v>1974</v>
      </c>
      <c r="B959" s="19" t="s">
        <v>1848</v>
      </c>
      <c r="C959" s="19" t="s">
        <v>1875</v>
      </c>
      <c r="D959" s="19" t="s">
        <v>1862</v>
      </c>
      <c r="E959" s="19" t="s">
        <v>1858</v>
      </c>
      <c r="F959" s="19" t="s">
        <v>1876</v>
      </c>
      <c r="G959" s="19" t="s">
        <v>1926</v>
      </c>
      <c r="H959" s="19">
        <v>14</v>
      </c>
      <c r="I959" s="19">
        <v>2535.08</v>
      </c>
      <c r="J959" s="19">
        <v>35491.12</v>
      </c>
    </row>
    <row r="960" ht="15.25" spans="1:10">
      <c r="A960" s="18">
        <v>45023</v>
      </c>
      <c r="B960" s="19" t="s">
        <v>1871</v>
      </c>
      <c r="C960" s="19" t="s">
        <v>1626</v>
      </c>
      <c r="D960" s="19" t="s">
        <v>1857</v>
      </c>
      <c r="E960" s="19" t="s">
        <v>1858</v>
      </c>
      <c r="F960" s="19" t="s">
        <v>1876</v>
      </c>
      <c r="G960" s="19" t="s">
        <v>1877</v>
      </c>
      <c r="H960" s="19">
        <v>14</v>
      </c>
      <c r="I960" s="19">
        <v>2161.65</v>
      </c>
      <c r="J960" s="19">
        <v>30263.1</v>
      </c>
    </row>
    <row r="961" ht="15.25" spans="1:10">
      <c r="A961" s="18">
        <v>45087</v>
      </c>
      <c r="B961" s="19" t="s">
        <v>1871</v>
      </c>
      <c r="C961" s="19" t="s">
        <v>1903</v>
      </c>
      <c r="D961" s="19" t="s">
        <v>1884</v>
      </c>
      <c r="E961" s="19" t="s">
        <v>1895</v>
      </c>
      <c r="F961" s="19" t="s">
        <v>1876</v>
      </c>
      <c r="G961" s="19" t="s">
        <v>1930</v>
      </c>
      <c r="H961" s="19">
        <v>11</v>
      </c>
      <c r="I961" s="19">
        <v>3424.45</v>
      </c>
      <c r="J961" s="19">
        <v>37668.95</v>
      </c>
    </row>
    <row r="962" ht="15.25" spans="1:10">
      <c r="A962" s="18" t="s">
        <v>2120</v>
      </c>
      <c r="B962" s="19" t="s">
        <v>1878</v>
      </c>
      <c r="C962" s="19" t="s">
        <v>1941</v>
      </c>
      <c r="D962" s="19" t="s">
        <v>1879</v>
      </c>
      <c r="E962" s="19" t="s">
        <v>1851</v>
      </c>
      <c r="F962" s="19" t="s">
        <v>1868</v>
      </c>
      <c r="G962" s="19" t="s">
        <v>1869</v>
      </c>
      <c r="H962" s="19">
        <v>10</v>
      </c>
      <c r="I962" s="19">
        <v>1167.21</v>
      </c>
      <c r="J962" s="19">
        <v>11672.1</v>
      </c>
    </row>
    <row r="963" ht="15.25" spans="1:10">
      <c r="A963" s="18" t="s">
        <v>1975</v>
      </c>
      <c r="B963" s="19" t="s">
        <v>1889</v>
      </c>
      <c r="C963" s="19" t="s">
        <v>1941</v>
      </c>
      <c r="D963" s="19" t="s">
        <v>1879</v>
      </c>
      <c r="E963" s="19" t="s">
        <v>1851</v>
      </c>
      <c r="F963" s="19" t="s">
        <v>1859</v>
      </c>
      <c r="G963" s="19" t="s">
        <v>1860</v>
      </c>
      <c r="H963" s="19">
        <v>7</v>
      </c>
      <c r="I963" s="19">
        <v>500.63</v>
      </c>
      <c r="J963" s="19">
        <v>3504.41</v>
      </c>
    </row>
    <row r="964" ht="15.25" spans="1:10">
      <c r="A964" s="18">
        <v>45027</v>
      </c>
      <c r="B964" s="19" t="s">
        <v>1874</v>
      </c>
      <c r="C964" s="19" t="s">
        <v>1894</v>
      </c>
      <c r="D964" s="19" t="s">
        <v>1884</v>
      </c>
      <c r="E964" s="19" t="s">
        <v>1895</v>
      </c>
      <c r="F964" s="19" t="s">
        <v>1852</v>
      </c>
      <c r="G964" s="19" t="s">
        <v>1950</v>
      </c>
      <c r="H964" s="19">
        <v>10</v>
      </c>
      <c r="I964" s="19">
        <v>1050.84</v>
      </c>
      <c r="J964" s="19">
        <v>10508.4</v>
      </c>
    </row>
    <row r="965" ht="15.25" spans="1:10">
      <c r="A965" s="18" t="s">
        <v>2025</v>
      </c>
      <c r="B965" s="19" t="s">
        <v>1902</v>
      </c>
      <c r="C965" s="19" t="s">
        <v>1906</v>
      </c>
      <c r="D965" s="19" t="s">
        <v>1862</v>
      </c>
      <c r="E965" s="19" t="s">
        <v>1858</v>
      </c>
      <c r="F965" s="19" t="s">
        <v>1852</v>
      </c>
      <c r="G965" s="19" t="s">
        <v>1934</v>
      </c>
      <c r="H965" s="19">
        <v>14</v>
      </c>
      <c r="I965" s="19">
        <v>3726.3</v>
      </c>
      <c r="J965" s="19">
        <v>52168.2</v>
      </c>
    </row>
    <row r="966" ht="15.25" spans="1:10">
      <c r="A966" s="18" t="s">
        <v>1863</v>
      </c>
      <c r="B966" s="19" t="s">
        <v>1867</v>
      </c>
      <c r="C966" s="19" t="s">
        <v>1626</v>
      </c>
      <c r="D966" s="19" t="s">
        <v>1857</v>
      </c>
      <c r="E966" s="19" t="s">
        <v>1858</v>
      </c>
      <c r="F966" s="19" t="s">
        <v>1865</v>
      </c>
      <c r="G966" s="19" t="s">
        <v>1886</v>
      </c>
      <c r="H966" s="19">
        <v>10</v>
      </c>
      <c r="I966" s="19">
        <v>651.83</v>
      </c>
      <c r="J966" s="19">
        <v>6518.3</v>
      </c>
    </row>
    <row r="967" ht="26.75" spans="1:10">
      <c r="A967" s="18" t="s">
        <v>2057</v>
      </c>
      <c r="B967" s="19" t="s">
        <v>1878</v>
      </c>
      <c r="C967" s="19" t="s">
        <v>1598</v>
      </c>
      <c r="D967" s="19" t="s">
        <v>1850</v>
      </c>
      <c r="E967" s="19" t="s">
        <v>1851</v>
      </c>
      <c r="F967" s="19" t="s">
        <v>1852</v>
      </c>
      <c r="G967" s="19" t="s">
        <v>1950</v>
      </c>
      <c r="H967" s="19">
        <v>4</v>
      </c>
      <c r="I967" s="19">
        <v>1077.23</v>
      </c>
      <c r="J967" s="19">
        <v>4308.92</v>
      </c>
    </row>
    <row r="968" ht="15.25" spans="1:10">
      <c r="A968" s="18" t="s">
        <v>1965</v>
      </c>
      <c r="B968" s="19" t="s">
        <v>1902</v>
      </c>
      <c r="C968" s="19" t="s">
        <v>1894</v>
      </c>
      <c r="D968" s="19" t="s">
        <v>1884</v>
      </c>
      <c r="E968" s="19" t="s">
        <v>1895</v>
      </c>
      <c r="F968" s="19" t="s">
        <v>1876</v>
      </c>
      <c r="G968" s="19" t="s">
        <v>1883</v>
      </c>
      <c r="H968" s="19">
        <v>15</v>
      </c>
      <c r="I968" s="19">
        <v>4554.78</v>
      </c>
      <c r="J968" s="19">
        <v>68321.7</v>
      </c>
    </row>
    <row r="969" ht="15.25" spans="1:10">
      <c r="A969" s="18" t="s">
        <v>1943</v>
      </c>
      <c r="B969" s="19" t="s">
        <v>1871</v>
      </c>
      <c r="C969" s="19" t="s">
        <v>1898</v>
      </c>
      <c r="D969" s="19" t="s">
        <v>1879</v>
      </c>
      <c r="E969" s="19" t="s">
        <v>1851</v>
      </c>
      <c r="F969" s="19" t="s">
        <v>1859</v>
      </c>
      <c r="G969" s="19" t="s">
        <v>1922</v>
      </c>
      <c r="H969" s="19">
        <v>19</v>
      </c>
      <c r="I969" s="19">
        <v>1003.13</v>
      </c>
      <c r="J969" s="19">
        <v>19059.47</v>
      </c>
    </row>
    <row r="970" ht="15.25" spans="1:10">
      <c r="A970" s="18" t="s">
        <v>2121</v>
      </c>
      <c r="B970" s="19" t="s">
        <v>1848</v>
      </c>
      <c r="C970" s="19" t="s">
        <v>1906</v>
      </c>
      <c r="D970" s="19" t="s">
        <v>1862</v>
      </c>
      <c r="E970" s="19" t="s">
        <v>1858</v>
      </c>
      <c r="F970" s="19" t="s">
        <v>1868</v>
      </c>
      <c r="G970" s="19" t="s">
        <v>1899</v>
      </c>
      <c r="H970" s="19">
        <v>7</v>
      </c>
      <c r="I970" s="19">
        <v>3168.77</v>
      </c>
      <c r="J970" s="19">
        <v>22181.39</v>
      </c>
    </row>
    <row r="971" ht="15.25" spans="1:10">
      <c r="A971" s="18" t="s">
        <v>2017</v>
      </c>
      <c r="B971" s="19" t="s">
        <v>1871</v>
      </c>
      <c r="C971" s="19" t="s">
        <v>1894</v>
      </c>
      <c r="D971" s="19" t="s">
        <v>1884</v>
      </c>
      <c r="E971" s="19" t="s">
        <v>1895</v>
      </c>
      <c r="F971" s="19" t="s">
        <v>1859</v>
      </c>
      <c r="G971" s="19" t="s">
        <v>1872</v>
      </c>
      <c r="H971" s="19">
        <v>19</v>
      </c>
      <c r="I971" s="19">
        <v>4528.95</v>
      </c>
      <c r="J971" s="19">
        <v>86050.05</v>
      </c>
    </row>
    <row r="972" ht="15.25" spans="1:10">
      <c r="A972" s="18" t="s">
        <v>2052</v>
      </c>
      <c r="B972" s="19" t="s">
        <v>1861</v>
      </c>
      <c r="C972" s="19" t="s">
        <v>1906</v>
      </c>
      <c r="D972" s="19" t="s">
        <v>1862</v>
      </c>
      <c r="E972" s="19" t="s">
        <v>1858</v>
      </c>
      <c r="F972" s="19" t="s">
        <v>1876</v>
      </c>
      <c r="G972" s="19" t="s">
        <v>1883</v>
      </c>
      <c r="H972" s="19">
        <v>5</v>
      </c>
      <c r="I972" s="19">
        <v>2480.84</v>
      </c>
      <c r="J972" s="19">
        <v>12404.2</v>
      </c>
    </row>
    <row r="973" ht="15.25" spans="1:10">
      <c r="A973" s="18">
        <v>45051</v>
      </c>
      <c r="B973" s="19" t="s">
        <v>1889</v>
      </c>
      <c r="C973" s="19" t="s">
        <v>1589</v>
      </c>
      <c r="D973" s="19" t="s">
        <v>1884</v>
      </c>
      <c r="E973" s="19" t="s">
        <v>1895</v>
      </c>
      <c r="F973" s="19" t="s">
        <v>1865</v>
      </c>
      <c r="G973" s="19" t="s">
        <v>1920</v>
      </c>
      <c r="H973" s="19">
        <v>11</v>
      </c>
      <c r="I973" s="19">
        <v>4740.79</v>
      </c>
      <c r="J973" s="19">
        <v>52148.69</v>
      </c>
    </row>
    <row r="974" ht="15.25" spans="1:10">
      <c r="A974" s="18" t="s">
        <v>1955</v>
      </c>
      <c r="B974" s="19" t="s">
        <v>1874</v>
      </c>
      <c r="C974" s="19" t="s">
        <v>1589</v>
      </c>
      <c r="D974" s="19" t="s">
        <v>1884</v>
      </c>
      <c r="E974" s="19" t="s">
        <v>1895</v>
      </c>
      <c r="F974" s="19" t="s">
        <v>1868</v>
      </c>
      <c r="G974" s="19" t="s">
        <v>1869</v>
      </c>
      <c r="H974" s="19">
        <v>16</v>
      </c>
      <c r="I974" s="19">
        <v>2687.77</v>
      </c>
      <c r="J974" s="19">
        <v>43004.32</v>
      </c>
    </row>
    <row r="975" ht="15.25" spans="1:10">
      <c r="A975" s="18">
        <v>45024</v>
      </c>
      <c r="B975" s="19" t="s">
        <v>1871</v>
      </c>
      <c r="C975" s="19" t="s">
        <v>1864</v>
      </c>
      <c r="D975" s="19" t="s">
        <v>1857</v>
      </c>
      <c r="E975" s="19" t="s">
        <v>1858</v>
      </c>
      <c r="F975" s="19" t="s">
        <v>1868</v>
      </c>
      <c r="G975" s="19" t="s">
        <v>1899</v>
      </c>
      <c r="H975" s="19">
        <v>15</v>
      </c>
      <c r="I975" s="19">
        <v>2472.8</v>
      </c>
      <c r="J975" s="19">
        <v>37092</v>
      </c>
    </row>
    <row r="976" ht="15.25" spans="1:10">
      <c r="A976" s="18" t="s">
        <v>1882</v>
      </c>
      <c r="B976" s="19" t="s">
        <v>1902</v>
      </c>
      <c r="C976" s="19" t="s">
        <v>1589</v>
      </c>
      <c r="D976" s="19" t="s">
        <v>1884</v>
      </c>
      <c r="E976" s="19" t="s">
        <v>1895</v>
      </c>
      <c r="F976" s="19" t="s">
        <v>1852</v>
      </c>
      <c r="G976" s="19" t="s">
        <v>1853</v>
      </c>
      <c r="H976" s="19">
        <v>3</v>
      </c>
      <c r="I976" s="19">
        <v>3814.12</v>
      </c>
      <c r="J976" s="19">
        <v>11442.36</v>
      </c>
    </row>
    <row r="977" ht="15.25" spans="1:10">
      <c r="A977" s="18" t="s">
        <v>2070</v>
      </c>
      <c r="B977" s="19" t="s">
        <v>1902</v>
      </c>
      <c r="C977" s="19" t="s">
        <v>1610</v>
      </c>
      <c r="D977" s="19" t="s">
        <v>1879</v>
      </c>
      <c r="E977" s="19" t="s">
        <v>1851</v>
      </c>
      <c r="F977" s="19" t="s">
        <v>1852</v>
      </c>
      <c r="G977" s="19" t="s">
        <v>1910</v>
      </c>
      <c r="H977" s="19">
        <v>1</v>
      </c>
      <c r="I977" s="19">
        <v>2333.78</v>
      </c>
      <c r="J977" s="19">
        <v>2333.78</v>
      </c>
    </row>
    <row r="978" ht="26.75" spans="1:10">
      <c r="A978" s="18" t="s">
        <v>2034</v>
      </c>
      <c r="B978" s="19" t="s">
        <v>1867</v>
      </c>
      <c r="C978" s="19" t="s">
        <v>1849</v>
      </c>
      <c r="D978" s="19" t="s">
        <v>1850</v>
      </c>
      <c r="E978" s="19" t="s">
        <v>1851</v>
      </c>
      <c r="F978" s="19" t="s">
        <v>1868</v>
      </c>
      <c r="G978" s="19" t="s">
        <v>1869</v>
      </c>
      <c r="H978" s="19">
        <v>10</v>
      </c>
      <c r="I978" s="19">
        <v>2628.56</v>
      </c>
      <c r="J978" s="19">
        <v>26285.6</v>
      </c>
    </row>
    <row r="979" ht="15.25" spans="1:10">
      <c r="A979" s="18" t="s">
        <v>2098</v>
      </c>
      <c r="B979" s="19" t="s">
        <v>1861</v>
      </c>
      <c r="C979" s="19" t="s">
        <v>1864</v>
      </c>
      <c r="D979" s="19" t="s">
        <v>1857</v>
      </c>
      <c r="E979" s="19" t="s">
        <v>1858</v>
      </c>
      <c r="F979" s="19" t="s">
        <v>1876</v>
      </c>
      <c r="G979" s="19" t="s">
        <v>1877</v>
      </c>
      <c r="H979" s="19">
        <v>16</v>
      </c>
      <c r="I979" s="19">
        <v>284.02</v>
      </c>
      <c r="J979" s="19">
        <v>4544.32</v>
      </c>
    </row>
    <row r="980" ht="15.25" spans="1:10">
      <c r="A980" s="18" t="s">
        <v>1913</v>
      </c>
      <c r="B980" s="19" t="s">
        <v>1878</v>
      </c>
      <c r="C980" s="19" t="s">
        <v>1602</v>
      </c>
      <c r="D980" s="19" t="s">
        <v>1862</v>
      </c>
      <c r="E980" s="19" t="s">
        <v>1858</v>
      </c>
      <c r="F980" s="19" t="s">
        <v>1868</v>
      </c>
      <c r="G980" s="19" t="s">
        <v>1899</v>
      </c>
      <c r="H980" s="19">
        <v>8</v>
      </c>
      <c r="I980" s="19">
        <v>1011.67</v>
      </c>
      <c r="J980" s="19">
        <v>8093.36</v>
      </c>
    </row>
    <row r="981" ht="15.25" spans="1:10">
      <c r="A981" s="18">
        <v>45141</v>
      </c>
      <c r="B981" s="19" t="s">
        <v>1889</v>
      </c>
      <c r="C981" s="19" t="s">
        <v>1903</v>
      </c>
      <c r="D981" s="19" t="s">
        <v>1884</v>
      </c>
      <c r="E981" s="19" t="s">
        <v>1895</v>
      </c>
      <c r="F981" s="19" t="s">
        <v>1868</v>
      </c>
      <c r="G981" s="19" t="s">
        <v>1907</v>
      </c>
      <c r="H981" s="19">
        <v>6</v>
      </c>
      <c r="I981" s="19">
        <v>3918.07</v>
      </c>
      <c r="J981" s="19">
        <v>23508.42</v>
      </c>
    </row>
    <row r="982" ht="15.25" spans="1:10">
      <c r="A982" s="18" t="s">
        <v>2117</v>
      </c>
      <c r="B982" s="19" t="s">
        <v>1878</v>
      </c>
      <c r="C982" s="19" t="s">
        <v>1875</v>
      </c>
      <c r="D982" s="19" t="s">
        <v>1862</v>
      </c>
      <c r="E982" s="19" t="s">
        <v>1858</v>
      </c>
      <c r="F982" s="19" t="s">
        <v>1865</v>
      </c>
      <c r="G982" s="19" t="s">
        <v>1890</v>
      </c>
      <c r="H982" s="19">
        <v>2</v>
      </c>
      <c r="I982" s="19">
        <v>3313.63</v>
      </c>
      <c r="J982" s="19">
        <v>6627.26</v>
      </c>
    </row>
    <row r="983" ht="15.25" spans="1:10">
      <c r="A983" s="18" t="s">
        <v>2081</v>
      </c>
      <c r="B983" s="19" t="s">
        <v>1892</v>
      </c>
      <c r="C983" s="19" t="s">
        <v>1856</v>
      </c>
      <c r="D983" s="19" t="s">
        <v>1857</v>
      </c>
      <c r="E983" s="19" t="s">
        <v>1858</v>
      </c>
      <c r="F983" s="19" t="s">
        <v>1865</v>
      </c>
      <c r="G983" s="19" t="s">
        <v>1886</v>
      </c>
      <c r="H983" s="19">
        <v>18</v>
      </c>
      <c r="I983" s="19">
        <v>809.24</v>
      </c>
      <c r="J983" s="19">
        <v>14566.32</v>
      </c>
    </row>
    <row r="984" ht="15.25" spans="1:10">
      <c r="A984" s="18" t="s">
        <v>2069</v>
      </c>
      <c r="B984" s="19" t="s">
        <v>1861</v>
      </c>
      <c r="C984" s="19" t="s">
        <v>1894</v>
      </c>
      <c r="D984" s="19" t="s">
        <v>1884</v>
      </c>
      <c r="E984" s="19" t="s">
        <v>1895</v>
      </c>
      <c r="F984" s="19" t="s">
        <v>1868</v>
      </c>
      <c r="G984" s="19" t="s">
        <v>1917</v>
      </c>
      <c r="H984" s="19">
        <v>2</v>
      </c>
      <c r="I984" s="19">
        <v>2338.61</v>
      </c>
      <c r="J984" s="19">
        <v>4677.22</v>
      </c>
    </row>
    <row r="985" ht="15.25" spans="1:10">
      <c r="A985" s="18" t="s">
        <v>2122</v>
      </c>
      <c r="B985" s="19" t="s">
        <v>1902</v>
      </c>
      <c r="C985" s="19" t="s">
        <v>1906</v>
      </c>
      <c r="D985" s="19" t="s">
        <v>1862</v>
      </c>
      <c r="E985" s="19" t="s">
        <v>1858</v>
      </c>
      <c r="F985" s="19" t="s">
        <v>1868</v>
      </c>
      <c r="G985" s="19" t="s">
        <v>1917</v>
      </c>
      <c r="H985" s="19">
        <v>18</v>
      </c>
      <c r="I985" s="19">
        <v>2773.93</v>
      </c>
      <c r="J985" s="19">
        <v>49930.74</v>
      </c>
    </row>
    <row r="986" ht="26.75" spans="1:10">
      <c r="A986" s="18">
        <v>45172</v>
      </c>
      <c r="B986" s="19" t="s">
        <v>1867</v>
      </c>
      <c r="C986" s="19" t="s">
        <v>1598</v>
      </c>
      <c r="D986" s="19" t="s">
        <v>1850</v>
      </c>
      <c r="E986" s="19" t="s">
        <v>1851</v>
      </c>
      <c r="F986" s="19" t="s">
        <v>1868</v>
      </c>
      <c r="G986" s="19" t="s">
        <v>1907</v>
      </c>
      <c r="H986" s="19">
        <v>15</v>
      </c>
      <c r="I986" s="19">
        <v>2540.06</v>
      </c>
      <c r="J986" s="19">
        <v>38100.9</v>
      </c>
    </row>
    <row r="987" ht="15.25" spans="1:10">
      <c r="A987" s="18" t="s">
        <v>1943</v>
      </c>
      <c r="B987" s="19" t="s">
        <v>1848</v>
      </c>
      <c r="C987" s="19" t="s">
        <v>1903</v>
      </c>
      <c r="D987" s="19" t="s">
        <v>1884</v>
      </c>
      <c r="E987" s="19" t="s">
        <v>1895</v>
      </c>
      <c r="F987" s="19" t="s">
        <v>1865</v>
      </c>
      <c r="G987" s="19" t="s">
        <v>1866</v>
      </c>
      <c r="H987" s="19">
        <v>4</v>
      </c>
      <c r="I987" s="19">
        <v>1178.71</v>
      </c>
      <c r="J987" s="19">
        <v>4714.84</v>
      </c>
    </row>
    <row r="988" ht="15.25" spans="1:10">
      <c r="A988" s="18" t="s">
        <v>2091</v>
      </c>
      <c r="B988" s="19" t="s">
        <v>1889</v>
      </c>
      <c r="C988" s="19" t="s">
        <v>1856</v>
      </c>
      <c r="D988" s="19" t="s">
        <v>1857</v>
      </c>
      <c r="E988" s="19" t="s">
        <v>1858</v>
      </c>
      <c r="F988" s="19" t="s">
        <v>1868</v>
      </c>
      <c r="G988" s="19" t="s">
        <v>1869</v>
      </c>
      <c r="H988" s="19">
        <v>4</v>
      </c>
      <c r="I988" s="19">
        <v>4724.33</v>
      </c>
      <c r="J988" s="19">
        <v>18897.32</v>
      </c>
    </row>
    <row r="989" ht="15.25" spans="1:10">
      <c r="A989" s="18" t="s">
        <v>2108</v>
      </c>
      <c r="B989" s="19" t="s">
        <v>1889</v>
      </c>
      <c r="C989" s="19" t="s">
        <v>1589</v>
      </c>
      <c r="D989" s="19" t="s">
        <v>1884</v>
      </c>
      <c r="E989" s="19" t="s">
        <v>1895</v>
      </c>
      <c r="F989" s="19" t="s">
        <v>1876</v>
      </c>
      <c r="G989" s="19" t="s">
        <v>1926</v>
      </c>
      <c r="H989" s="19">
        <v>7</v>
      </c>
      <c r="I989" s="19">
        <v>3481</v>
      </c>
      <c r="J989" s="19">
        <v>24367</v>
      </c>
    </row>
    <row r="990" ht="15.25" spans="1:10">
      <c r="A990" s="18" t="s">
        <v>2056</v>
      </c>
      <c r="B990" s="19" t="s">
        <v>1902</v>
      </c>
      <c r="C990" s="19" t="s">
        <v>1610</v>
      </c>
      <c r="D990" s="19" t="s">
        <v>1879</v>
      </c>
      <c r="E990" s="19" t="s">
        <v>1851</v>
      </c>
      <c r="F990" s="19" t="s">
        <v>1852</v>
      </c>
      <c r="G990" s="19" t="s">
        <v>1853</v>
      </c>
      <c r="H990" s="19">
        <v>16</v>
      </c>
      <c r="I990" s="19">
        <v>4608.55</v>
      </c>
      <c r="J990" s="19">
        <v>73736.8</v>
      </c>
    </row>
    <row r="991" ht="26.75" spans="1:10">
      <c r="A991" s="18" t="s">
        <v>1991</v>
      </c>
      <c r="B991" s="19" t="s">
        <v>1892</v>
      </c>
      <c r="C991" s="19" t="s">
        <v>1598</v>
      </c>
      <c r="D991" s="19" t="s">
        <v>1850</v>
      </c>
      <c r="E991" s="19" t="s">
        <v>1851</v>
      </c>
      <c r="F991" s="19" t="s">
        <v>1876</v>
      </c>
      <c r="G991" s="19" t="s">
        <v>1930</v>
      </c>
      <c r="H991" s="19">
        <v>10</v>
      </c>
      <c r="I991" s="19">
        <v>2336.88</v>
      </c>
      <c r="J991" s="19">
        <v>23368.8</v>
      </c>
    </row>
    <row r="992" ht="15.25" spans="1:10">
      <c r="A992" s="18" t="s">
        <v>1939</v>
      </c>
      <c r="B992" s="19" t="s">
        <v>1848</v>
      </c>
      <c r="C992" s="19" t="s">
        <v>1626</v>
      </c>
      <c r="D992" s="19" t="s">
        <v>1857</v>
      </c>
      <c r="E992" s="19" t="s">
        <v>1858</v>
      </c>
      <c r="F992" s="19" t="s">
        <v>1859</v>
      </c>
      <c r="G992" s="19" t="s">
        <v>1947</v>
      </c>
      <c r="H992" s="19">
        <v>1</v>
      </c>
      <c r="I992" s="19">
        <v>2993.55</v>
      </c>
      <c r="J992" s="19">
        <v>2993.55</v>
      </c>
    </row>
    <row r="993" ht="15.25" spans="1:10">
      <c r="A993" s="18" t="s">
        <v>2041</v>
      </c>
      <c r="B993" s="19" t="s">
        <v>1878</v>
      </c>
      <c r="C993" s="19" t="s">
        <v>1864</v>
      </c>
      <c r="D993" s="19" t="s">
        <v>1857</v>
      </c>
      <c r="E993" s="19" t="s">
        <v>1858</v>
      </c>
      <c r="F993" s="19" t="s">
        <v>1865</v>
      </c>
      <c r="G993" s="19" t="s">
        <v>1890</v>
      </c>
      <c r="H993" s="19">
        <v>19</v>
      </c>
      <c r="I993" s="19">
        <v>4080.77</v>
      </c>
      <c r="J993" s="19">
        <v>77534.63</v>
      </c>
    </row>
    <row r="994" ht="15.25" spans="1:10">
      <c r="A994" s="18" t="s">
        <v>2104</v>
      </c>
      <c r="B994" s="19" t="s">
        <v>1855</v>
      </c>
      <c r="C994" s="19" t="s">
        <v>1906</v>
      </c>
      <c r="D994" s="19" t="s">
        <v>1862</v>
      </c>
      <c r="E994" s="19" t="s">
        <v>1858</v>
      </c>
      <c r="F994" s="19" t="s">
        <v>1865</v>
      </c>
      <c r="G994" s="19" t="s">
        <v>1920</v>
      </c>
      <c r="H994" s="19">
        <v>4</v>
      </c>
      <c r="I994" s="19">
        <v>3659.61</v>
      </c>
      <c r="J994" s="19">
        <v>14638.44</v>
      </c>
    </row>
    <row r="995" ht="15.25" spans="1:10">
      <c r="A995" s="18">
        <v>45109</v>
      </c>
      <c r="B995" s="19" t="s">
        <v>1871</v>
      </c>
      <c r="C995" s="19" t="s">
        <v>1589</v>
      </c>
      <c r="D995" s="19" t="s">
        <v>1884</v>
      </c>
      <c r="E995" s="19" t="s">
        <v>1895</v>
      </c>
      <c r="F995" s="19" t="s">
        <v>1865</v>
      </c>
      <c r="G995" s="19" t="s">
        <v>1920</v>
      </c>
      <c r="H995" s="19">
        <v>12</v>
      </c>
      <c r="I995" s="19">
        <v>1819.46</v>
      </c>
      <c r="J995" s="19">
        <v>21833.52</v>
      </c>
    </row>
    <row r="996" ht="15.25" spans="1:10">
      <c r="A996" s="18" t="s">
        <v>2080</v>
      </c>
      <c r="B996" s="19" t="s">
        <v>1867</v>
      </c>
      <c r="C996" s="19" t="s">
        <v>1626</v>
      </c>
      <c r="D996" s="19" t="s">
        <v>1857</v>
      </c>
      <c r="E996" s="19" t="s">
        <v>1858</v>
      </c>
      <c r="F996" s="19" t="s">
        <v>1876</v>
      </c>
      <c r="G996" s="19" t="s">
        <v>1926</v>
      </c>
      <c r="H996" s="19">
        <v>13</v>
      </c>
      <c r="I996" s="19">
        <v>3520.87</v>
      </c>
      <c r="J996" s="19">
        <v>45771.31</v>
      </c>
    </row>
    <row r="997" ht="15.25" spans="1:10">
      <c r="A997" s="18" t="s">
        <v>2046</v>
      </c>
      <c r="B997" s="19" t="s">
        <v>1878</v>
      </c>
      <c r="C997" s="19" t="s">
        <v>1856</v>
      </c>
      <c r="D997" s="19" t="s">
        <v>1857</v>
      </c>
      <c r="E997" s="19" t="s">
        <v>1858</v>
      </c>
      <c r="F997" s="19" t="s">
        <v>1868</v>
      </c>
      <c r="G997" s="19" t="s">
        <v>1917</v>
      </c>
      <c r="H997" s="19">
        <v>14</v>
      </c>
      <c r="I997" s="19">
        <v>4532.88</v>
      </c>
      <c r="J997" s="19">
        <v>63460.32</v>
      </c>
    </row>
    <row r="998" ht="26.75" spans="1:10">
      <c r="A998" s="18" t="s">
        <v>1888</v>
      </c>
      <c r="B998" s="19" t="s">
        <v>1871</v>
      </c>
      <c r="C998" s="19" t="s">
        <v>1849</v>
      </c>
      <c r="D998" s="19" t="s">
        <v>1850</v>
      </c>
      <c r="E998" s="19" t="s">
        <v>1851</v>
      </c>
      <c r="F998" s="19" t="s">
        <v>1852</v>
      </c>
      <c r="G998" s="19" t="s">
        <v>1910</v>
      </c>
      <c r="H998" s="19">
        <v>6</v>
      </c>
      <c r="I998" s="19">
        <v>1709.52</v>
      </c>
      <c r="J998" s="19">
        <v>10257.12</v>
      </c>
    </row>
    <row r="999" ht="15.25" spans="1:10">
      <c r="A999" s="18" t="s">
        <v>1960</v>
      </c>
      <c r="B999" s="19" t="s">
        <v>1902</v>
      </c>
      <c r="C999" s="19" t="s">
        <v>1602</v>
      </c>
      <c r="D999" s="19" t="s">
        <v>1862</v>
      </c>
      <c r="E999" s="19" t="s">
        <v>1858</v>
      </c>
      <c r="F999" s="19" t="s">
        <v>1865</v>
      </c>
      <c r="G999" s="19" t="s">
        <v>1866</v>
      </c>
      <c r="H999" s="19">
        <v>10</v>
      </c>
      <c r="I999" s="19">
        <v>3803.22</v>
      </c>
      <c r="J999" s="19">
        <v>38032.2</v>
      </c>
    </row>
    <row r="1000" ht="15.25" spans="1:10">
      <c r="A1000" s="18">
        <v>44958</v>
      </c>
      <c r="B1000" s="19" t="s">
        <v>1892</v>
      </c>
      <c r="C1000" s="19" t="s">
        <v>1602</v>
      </c>
      <c r="D1000" s="19" t="s">
        <v>1862</v>
      </c>
      <c r="E1000" s="19" t="s">
        <v>1858</v>
      </c>
      <c r="F1000" s="19" t="s">
        <v>1859</v>
      </c>
      <c r="G1000" s="19" t="s">
        <v>1947</v>
      </c>
      <c r="H1000" s="19">
        <v>15</v>
      </c>
      <c r="I1000" s="19">
        <v>1853</v>
      </c>
      <c r="J1000" s="19">
        <v>27795</v>
      </c>
    </row>
    <row r="1001" ht="26.75" spans="1:10">
      <c r="A1001" s="18">
        <v>45018</v>
      </c>
      <c r="B1001" s="19" t="s">
        <v>1902</v>
      </c>
      <c r="C1001" s="19" t="s">
        <v>1593</v>
      </c>
      <c r="D1001" s="19" t="s">
        <v>1850</v>
      </c>
      <c r="E1001" s="19" t="s">
        <v>1851</v>
      </c>
      <c r="F1001" s="19" t="s">
        <v>1865</v>
      </c>
      <c r="G1001" s="19" t="s">
        <v>1886</v>
      </c>
      <c r="H1001" s="19">
        <v>2</v>
      </c>
      <c r="I1001" s="19">
        <v>2623.43</v>
      </c>
      <c r="J1001" s="19">
        <v>5246.86</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01"/>
  <sheetViews>
    <sheetView zoomScale="69" zoomScaleNormal="69" workbookViewId="0">
      <selection activeCell="M13" sqref="M13"/>
    </sheetView>
  </sheetViews>
  <sheetFormatPr defaultColWidth="8.75454545454545" defaultRowHeight="14.5"/>
  <cols>
    <col min="1" max="1" width="10.1272727272727" customWidth="1"/>
    <col min="2" max="2" width="8.12727272727273" customWidth="1"/>
    <col min="3" max="3" width="11.1272727272727" customWidth="1"/>
    <col min="4" max="4" width="9.5" customWidth="1"/>
    <col min="5" max="5" width="6" customWidth="1"/>
    <col min="6" max="6" width="8.87272727272727" customWidth="1"/>
    <col min="7" max="7" width="11.5" customWidth="1"/>
    <col min="8" max="8" width="7.5" customWidth="1"/>
    <col min="9" max="9" width="7.87272727272727" customWidth="1"/>
    <col min="10" max="10" width="8.87272727272727" customWidth="1"/>
    <col min="12" max="12" width="16.8727272727273"/>
    <col min="13" max="13" width="14.1272727272727"/>
    <col min="14" max="14" width="15.6272727272727"/>
    <col min="15" max="17" width="12.7545454545455"/>
    <col min="18" max="18" width="11.5"/>
    <col min="19" max="32" width="10.7545454545455"/>
    <col min="33" max="33" width="11.5"/>
    <col min="34" max="34" width="10"/>
    <col min="35" max="35" width="9.25454545454545"/>
    <col min="36" max="37" width="9.5"/>
    <col min="38" max="38" width="10"/>
    <col min="39" max="39" width="10.6272727272727"/>
    <col min="40" max="40" width="8.37272727272727"/>
    <col min="41" max="41" width="10"/>
    <col min="42" max="42" width="14"/>
    <col min="43" max="43" width="17.2545454545455"/>
    <col min="44" max="44" width="9.25454545454545"/>
    <col min="45" max="45" width="9.87272727272727"/>
    <col min="46" max="46" width="9.5"/>
    <col min="47" max="47" width="11"/>
    <col min="48" max="48" width="9.25454545454545"/>
    <col min="49" max="49" width="10.8727272727273"/>
    <col min="50" max="50" width="10.5"/>
    <col min="51" max="52" width="11.5"/>
  </cols>
  <sheetData>
    <row r="1" ht="27.5" spans="1:13">
      <c r="A1" s="15" t="s">
        <v>1838</v>
      </c>
      <c r="B1" s="16" t="s">
        <v>1839</v>
      </c>
      <c r="C1" s="16" t="s">
        <v>1584</v>
      </c>
      <c r="D1" s="16" t="s">
        <v>1840</v>
      </c>
      <c r="E1" s="16" t="s">
        <v>1841</v>
      </c>
      <c r="F1" s="16" t="s">
        <v>1842</v>
      </c>
      <c r="G1" s="16" t="s">
        <v>1843</v>
      </c>
      <c r="H1" s="16" t="s">
        <v>1844</v>
      </c>
      <c r="I1" s="16" t="s">
        <v>1845</v>
      </c>
      <c r="J1" s="16" t="s">
        <v>1846</v>
      </c>
      <c r="L1" s="17" t="s">
        <v>1842</v>
      </c>
      <c r="M1" s="17" t="s">
        <v>1876</v>
      </c>
    </row>
    <row r="2" ht="27.5" spans="1:13">
      <c r="A2" s="18" t="s">
        <v>1847</v>
      </c>
      <c r="B2" s="19" t="s">
        <v>1848</v>
      </c>
      <c r="C2" s="19" t="s">
        <v>1849</v>
      </c>
      <c r="D2" s="19" t="s">
        <v>1850</v>
      </c>
      <c r="E2" s="19" t="s">
        <v>1851</v>
      </c>
      <c r="F2" s="19" t="s">
        <v>1852</v>
      </c>
      <c r="G2" s="19" t="s">
        <v>1853</v>
      </c>
      <c r="H2" s="19">
        <v>6</v>
      </c>
      <c r="I2" s="19">
        <v>4016.25</v>
      </c>
      <c r="J2" s="19">
        <v>24097.5</v>
      </c>
      <c r="L2" s="17" t="s">
        <v>1841</v>
      </c>
      <c r="M2" s="17" t="s">
        <v>2132</v>
      </c>
    </row>
    <row r="3" ht="16" spans="1:13">
      <c r="A3" s="18">
        <v>44937</v>
      </c>
      <c r="B3" s="19" t="s">
        <v>1855</v>
      </c>
      <c r="C3" s="19" t="s">
        <v>1856</v>
      </c>
      <c r="D3" s="19" t="s">
        <v>1857</v>
      </c>
      <c r="E3" s="19" t="s">
        <v>1858</v>
      </c>
      <c r="F3" s="19" t="s">
        <v>1859</v>
      </c>
      <c r="G3" s="19" t="s">
        <v>1860</v>
      </c>
      <c r="H3" s="19">
        <v>9</v>
      </c>
      <c r="I3" s="19">
        <v>3801.85</v>
      </c>
      <c r="J3" s="19">
        <v>34216.65</v>
      </c>
      <c r="L3" s="17" t="s">
        <v>1843</v>
      </c>
      <c r="M3" s="17" t="s">
        <v>2132</v>
      </c>
    </row>
    <row r="4" ht="15.25" spans="1:13">
      <c r="A4" s="18">
        <v>45081</v>
      </c>
      <c r="B4" s="19" t="s">
        <v>1861</v>
      </c>
      <c r="C4" s="19" t="s">
        <v>1602</v>
      </c>
      <c r="D4" s="19" t="s">
        <v>1862</v>
      </c>
      <c r="E4" s="19" t="s">
        <v>1858</v>
      </c>
      <c r="F4" s="19" t="s">
        <v>1859</v>
      </c>
      <c r="G4" s="19" t="s">
        <v>1860</v>
      </c>
      <c r="H4" s="19">
        <v>11</v>
      </c>
      <c r="I4" s="19">
        <v>3594.07</v>
      </c>
      <c r="J4" s="19">
        <v>39534.77</v>
      </c>
    </row>
    <row r="5" ht="16" spans="1:13">
      <c r="A5" s="18" t="s">
        <v>1863</v>
      </c>
      <c r="B5" s="19" t="s">
        <v>1855</v>
      </c>
      <c r="C5" s="19" t="s">
        <v>1864</v>
      </c>
      <c r="D5" s="19" t="s">
        <v>1857</v>
      </c>
      <c r="E5" s="19" t="s">
        <v>1858</v>
      </c>
      <c r="F5" s="19" t="s">
        <v>1865</v>
      </c>
      <c r="G5" s="19" t="s">
        <v>1866</v>
      </c>
      <c r="H5" s="19">
        <v>9</v>
      </c>
      <c r="I5" s="19">
        <v>4487</v>
      </c>
      <c r="J5" s="19">
        <v>40383</v>
      </c>
      <c r="L5" s="17" t="s">
        <v>1840</v>
      </c>
      <c r="M5" s="17" t="s">
        <v>2123</v>
      </c>
    </row>
    <row r="6" ht="27.5" spans="1:13">
      <c r="A6" s="18">
        <v>45115</v>
      </c>
      <c r="B6" s="19" t="s">
        <v>1867</v>
      </c>
      <c r="C6" s="19" t="s">
        <v>1593</v>
      </c>
      <c r="D6" s="19" t="s">
        <v>1850</v>
      </c>
      <c r="E6" s="19" t="s">
        <v>1851</v>
      </c>
      <c r="F6" s="19" t="s">
        <v>1868</v>
      </c>
      <c r="G6" s="19" t="s">
        <v>1869</v>
      </c>
      <c r="H6" s="19">
        <v>17</v>
      </c>
      <c r="I6" s="19">
        <v>1240.77</v>
      </c>
      <c r="J6" s="19">
        <v>21093.09</v>
      </c>
      <c r="L6" s="17" t="s">
        <v>1884</v>
      </c>
      <c r="M6" s="17">
        <v>41</v>
      </c>
    </row>
    <row r="7" ht="16" spans="1:13">
      <c r="A7" s="18" t="s">
        <v>1870</v>
      </c>
      <c r="B7" s="19" t="s">
        <v>1871</v>
      </c>
      <c r="C7" s="19" t="s">
        <v>1626</v>
      </c>
      <c r="D7" s="19" t="s">
        <v>1857</v>
      </c>
      <c r="E7" s="19" t="s">
        <v>1858</v>
      </c>
      <c r="F7" s="19" t="s">
        <v>1859</v>
      </c>
      <c r="G7" s="19" t="s">
        <v>1872</v>
      </c>
      <c r="H7" s="19">
        <v>7</v>
      </c>
      <c r="I7" s="19">
        <v>4772.29</v>
      </c>
      <c r="J7" s="19">
        <v>33406.03</v>
      </c>
      <c r="L7" s="17" t="s">
        <v>1879</v>
      </c>
      <c r="M7" s="17">
        <v>36</v>
      </c>
    </row>
    <row r="8" ht="16" spans="1:13">
      <c r="A8" s="18">
        <v>44931</v>
      </c>
      <c r="B8" s="19" t="s">
        <v>1874</v>
      </c>
      <c r="C8" s="19" t="s">
        <v>1875</v>
      </c>
      <c r="D8" s="19" t="s">
        <v>1862</v>
      </c>
      <c r="E8" s="19" t="s">
        <v>1858</v>
      </c>
      <c r="F8" s="19" t="s">
        <v>1876</v>
      </c>
      <c r="G8" s="19" t="s">
        <v>1877</v>
      </c>
      <c r="H8" s="19">
        <v>5</v>
      </c>
      <c r="I8" s="19">
        <v>2196.99</v>
      </c>
      <c r="J8" s="19">
        <v>10984.95</v>
      </c>
      <c r="L8" s="17" t="s">
        <v>1862</v>
      </c>
      <c r="M8" s="17">
        <v>40</v>
      </c>
    </row>
    <row r="9" ht="16" spans="1:13">
      <c r="A9" s="18" t="s">
        <v>1870</v>
      </c>
      <c r="B9" s="19" t="s">
        <v>1878</v>
      </c>
      <c r="C9" s="19" t="s">
        <v>1610</v>
      </c>
      <c r="D9" s="19" t="s">
        <v>1879</v>
      </c>
      <c r="E9" s="19" t="s">
        <v>1851</v>
      </c>
      <c r="F9" s="19" t="s">
        <v>1865</v>
      </c>
      <c r="G9" s="19" t="s">
        <v>1866</v>
      </c>
      <c r="H9" s="19">
        <v>5</v>
      </c>
      <c r="I9" s="19">
        <v>967.6</v>
      </c>
      <c r="J9" s="19">
        <v>4838</v>
      </c>
      <c r="L9" s="17" t="s">
        <v>1850</v>
      </c>
      <c r="M9" s="17">
        <v>39</v>
      </c>
    </row>
    <row r="10" ht="16" spans="1:13">
      <c r="A10" s="18" t="s">
        <v>1880</v>
      </c>
      <c r="B10" s="19" t="s">
        <v>1855</v>
      </c>
      <c r="C10" s="19" t="s">
        <v>1864</v>
      </c>
      <c r="D10" s="19" t="s">
        <v>1857</v>
      </c>
      <c r="E10" s="19" t="s">
        <v>1858</v>
      </c>
      <c r="F10" s="19" t="s">
        <v>1859</v>
      </c>
      <c r="G10" s="19" t="s">
        <v>1860</v>
      </c>
      <c r="H10" s="19">
        <v>18</v>
      </c>
      <c r="I10" s="19">
        <v>3128.59</v>
      </c>
      <c r="J10" s="19">
        <v>56314.62</v>
      </c>
      <c r="L10" s="17" t="s">
        <v>1857</v>
      </c>
      <c r="M10" s="17">
        <v>46</v>
      </c>
    </row>
    <row r="11" ht="16" spans="1:13">
      <c r="A11" s="18" t="s">
        <v>1881</v>
      </c>
      <c r="B11" s="19" t="s">
        <v>1861</v>
      </c>
      <c r="C11" s="19" t="s">
        <v>1626</v>
      </c>
      <c r="D11" s="19" t="s">
        <v>1857</v>
      </c>
      <c r="E11" s="19" t="s">
        <v>1858</v>
      </c>
      <c r="F11" s="19" t="s">
        <v>1852</v>
      </c>
      <c r="G11" s="19" t="s">
        <v>1853</v>
      </c>
      <c r="H11" s="19">
        <v>10</v>
      </c>
      <c r="I11" s="19">
        <v>2754.3</v>
      </c>
      <c r="J11" s="19">
        <v>27543</v>
      </c>
      <c r="L11" s="17" t="s">
        <v>2124</v>
      </c>
      <c r="M11" s="17">
        <v>202</v>
      </c>
    </row>
    <row r="12" ht="15.25" spans="1:13">
      <c r="A12" s="18" t="s">
        <v>1882</v>
      </c>
      <c r="B12" s="19" t="s">
        <v>1855</v>
      </c>
      <c r="C12" s="19" t="s">
        <v>1610</v>
      </c>
      <c r="D12" s="19" t="s">
        <v>1879</v>
      </c>
      <c r="E12" s="19" t="s">
        <v>1851</v>
      </c>
      <c r="F12" s="19" t="s">
        <v>1876</v>
      </c>
      <c r="G12" s="19" t="s">
        <v>1883</v>
      </c>
      <c r="H12" s="19">
        <v>19</v>
      </c>
      <c r="I12" s="19">
        <v>4896.31</v>
      </c>
      <c r="J12" s="19">
        <v>93029.89</v>
      </c>
    </row>
    <row r="13" ht="15.25" spans="1:13">
      <c r="A13" s="18" t="s">
        <v>1885</v>
      </c>
      <c r="B13" s="19" t="s">
        <v>1874</v>
      </c>
      <c r="C13" s="19" t="s">
        <v>1875</v>
      </c>
      <c r="D13" s="19" t="s">
        <v>1862</v>
      </c>
      <c r="E13" s="19" t="s">
        <v>1858</v>
      </c>
      <c r="F13" s="19" t="s">
        <v>1865</v>
      </c>
      <c r="G13" s="19" t="s">
        <v>1886</v>
      </c>
      <c r="H13" s="19">
        <v>19</v>
      </c>
      <c r="I13" s="19">
        <v>4562.02</v>
      </c>
      <c r="J13" s="19">
        <v>86678.38</v>
      </c>
    </row>
    <row r="14" ht="26.75" spans="1:13">
      <c r="A14" s="18">
        <v>45261</v>
      </c>
      <c r="B14" s="19" t="s">
        <v>1871</v>
      </c>
      <c r="C14" s="19" t="s">
        <v>1593</v>
      </c>
      <c r="D14" s="19" t="s">
        <v>1850</v>
      </c>
      <c r="E14" s="19" t="s">
        <v>1851</v>
      </c>
      <c r="F14" s="19" t="s">
        <v>1859</v>
      </c>
      <c r="G14" s="19" t="s">
        <v>1872</v>
      </c>
      <c r="H14" s="19">
        <v>6</v>
      </c>
      <c r="I14" s="19">
        <v>4231.77</v>
      </c>
      <c r="J14" s="19">
        <v>25390.62</v>
      </c>
    </row>
    <row r="15" ht="15.25" spans="1:13">
      <c r="A15" s="18" t="s">
        <v>1888</v>
      </c>
      <c r="B15" s="19" t="s">
        <v>1889</v>
      </c>
      <c r="C15" s="19" t="s">
        <v>1610</v>
      </c>
      <c r="D15" s="19" t="s">
        <v>1879</v>
      </c>
      <c r="E15" s="19" t="s">
        <v>1851</v>
      </c>
      <c r="F15" s="19" t="s">
        <v>1865</v>
      </c>
      <c r="G15" s="19" t="s">
        <v>1890</v>
      </c>
      <c r="H15" s="19">
        <v>20</v>
      </c>
      <c r="I15" s="19">
        <v>1027.53</v>
      </c>
      <c r="J15" s="19">
        <v>20550.6</v>
      </c>
    </row>
    <row r="16" ht="26.75" spans="1:13">
      <c r="A16" s="18" t="s">
        <v>1891</v>
      </c>
      <c r="B16" s="19" t="s">
        <v>1892</v>
      </c>
      <c r="C16" s="19" t="s">
        <v>1849</v>
      </c>
      <c r="D16" s="19" t="s">
        <v>1850</v>
      </c>
      <c r="E16" s="19" t="s">
        <v>1851</v>
      </c>
      <c r="F16" s="19" t="s">
        <v>1865</v>
      </c>
      <c r="G16" s="19" t="s">
        <v>1886</v>
      </c>
      <c r="H16" s="19">
        <v>7</v>
      </c>
      <c r="I16" s="19">
        <v>1257.34</v>
      </c>
      <c r="J16" s="19">
        <v>8801.38</v>
      </c>
    </row>
    <row r="17" ht="15.25" spans="1:10">
      <c r="A17" s="18" t="s">
        <v>1893</v>
      </c>
      <c r="B17" s="19" t="s">
        <v>1874</v>
      </c>
      <c r="C17" s="19" t="s">
        <v>1894</v>
      </c>
      <c r="D17" s="19" t="s">
        <v>1884</v>
      </c>
      <c r="E17" s="19" t="s">
        <v>1895</v>
      </c>
      <c r="F17" s="19" t="s">
        <v>1865</v>
      </c>
      <c r="G17" s="19" t="s">
        <v>1890</v>
      </c>
      <c r="H17" s="19">
        <v>9</v>
      </c>
      <c r="I17" s="19">
        <v>2634.14</v>
      </c>
      <c r="J17" s="19">
        <v>23707.26</v>
      </c>
    </row>
    <row r="18" ht="26.75" spans="1:10">
      <c r="A18" s="18">
        <v>44963</v>
      </c>
      <c r="B18" s="19" t="s">
        <v>1867</v>
      </c>
      <c r="C18" s="19" t="s">
        <v>1598</v>
      </c>
      <c r="D18" s="19" t="s">
        <v>1850</v>
      </c>
      <c r="E18" s="19" t="s">
        <v>1851</v>
      </c>
      <c r="F18" s="19" t="s">
        <v>1852</v>
      </c>
      <c r="G18" s="19" t="s">
        <v>1853</v>
      </c>
      <c r="H18" s="19">
        <v>11</v>
      </c>
      <c r="I18" s="19">
        <v>4509.49</v>
      </c>
      <c r="J18" s="19">
        <v>49604.39</v>
      </c>
    </row>
    <row r="19" ht="15.25" spans="1:10">
      <c r="A19" s="18" t="s">
        <v>1897</v>
      </c>
      <c r="B19" s="19" t="s">
        <v>1871</v>
      </c>
      <c r="C19" s="19" t="s">
        <v>1898</v>
      </c>
      <c r="D19" s="19" t="s">
        <v>1879</v>
      </c>
      <c r="E19" s="19" t="s">
        <v>1851</v>
      </c>
      <c r="F19" s="19" t="s">
        <v>1868</v>
      </c>
      <c r="G19" s="19" t="s">
        <v>1899</v>
      </c>
      <c r="H19" s="19">
        <v>3</v>
      </c>
      <c r="I19" s="19">
        <v>2738.83</v>
      </c>
      <c r="J19" s="19">
        <v>8216.49</v>
      </c>
    </row>
    <row r="20" ht="26.75" spans="1:10">
      <c r="A20" s="18" t="s">
        <v>1900</v>
      </c>
      <c r="B20" s="19" t="s">
        <v>1871</v>
      </c>
      <c r="C20" s="19" t="s">
        <v>1849</v>
      </c>
      <c r="D20" s="19" t="s">
        <v>1850</v>
      </c>
      <c r="E20" s="19" t="s">
        <v>1851</v>
      </c>
      <c r="F20" s="19" t="s">
        <v>1865</v>
      </c>
      <c r="G20" s="19" t="s">
        <v>1866</v>
      </c>
      <c r="H20" s="19">
        <v>10</v>
      </c>
      <c r="I20" s="19">
        <v>4247.74</v>
      </c>
      <c r="J20" s="19">
        <v>42477.4</v>
      </c>
    </row>
    <row r="21" ht="15.25" spans="1:10">
      <c r="A21" s="18" t="s">
        <v>1882</v>
      </c>
      <c r="B21" s="19" t="s">
        <v>1861</v>
      </c>
      <c r="C21" s="19" t="s">
        <v>1875</v>
      </c>
      <c r="D21" s="19" t="s">
        <v>1862</v>
      </c>
      <c r="E21" s="19" t="s">
        <v>1858</v>
      </c>
      <c r="F21" s="19" t="s">
        <v>1859</v>
      </c>
      <c r="G21" s="19" t="s">
        <v>1872</v>
      </c>
      <c r="H21" s="19">
        <v>3</v>
      </c>
      <c r="I21" s="19">
        <v>1133.19</v>
      </c>
      <c r="J21" s="19">
        <v>3399.57</v>
      </c>
    </row>
    <row r="22" ht="15.25" spans="1:10">
      <c r="A22" s="18" t="s">
        <v>1901</v>
      </c>
      <c r="B22" s="19" t="s">
        <v>1902</v>
      </c>
      <c r="C22" s="19" t="s">
        <v>1903</v>
      </c>
      <c r="D22" s="19" t="s">
        <v>1884</v>
      </c>
      <c r="E22" s="19" t="s">
        <v>1895</v>
      </c>
      <c r="F22" s="19" t="s">
        <v>1876</v>
      </c>
      <c r="G22" s="19" t="s">
        <v>1883</v>
      </c>
      <c r="H22" s="19">
        <v>6</v>
      </c>
      <c r="I22" s="19">
        <v>623.22</v>
      </c>
      <c r="J22" s="19">
        <v>3739.32</v>
      </c>
    </row>
    <row r="23" ht="15.25" spans="1:10">
      <c r="A23" s="18" t="s">
        <v>1904</v>
      </c>
      <c r="B23" s="19" t="s">
        <v>1867</v>
      </c>
      <c r="C23" s="19" t="s">
        <v>1856</v>
      </c>
      <c r="D23" s="19" t="s">
        <v>1857</v>
      </c>
      <c r="E23" s="19" t="s">
        <v>1858</v>
      </c>
      <c r="F23" s="19" t="s">
        <v>1859</v>
      </c>
      <c r="G23" s="19" t="s">
        <v>1860</v>
      </c>
      <c r="H23" s="19">
        <v>18</v>
      </c>
      <c r="I23" s="19">
        <v>698.42</v>
      </c>
      <c r="J23" s="19">
        <v>12571.56</v>
      </c>
    </row>
    <row r="24" ht="15.25" spans="1:10">
      <c r="A24" s="18">
        <v>45089</v>
      </c>
      <c r="B24" s="19" t="s">
        <v>1878</v>
      </c>
      <c r="C24" s="19" t="s">
        <v>1906</v>
      </c>
      <c r="D24" s="19" t="s">
        <v>1862</v>
      </c>
      <c r="E24" s="19" t="s">
        <v>1858</v>
      </c>
      <c r="F24" s="19" t="s">
        <v>1868</v>
      </c>
      <c r="G24" s="19" t="s">
        <v>1907</v>
      </c>
      <c r="H24" s="19">
        <v>19</v>
      </c>
      <c r="I24" s="19">
        <v>2494.11</v>
      </c>
      <c r="J24" s="19">
        <v>47388.09</v>
      </c>
    </row>
    <row r="25" ht="15.25" spans="1:10">
      <c r="A25" s="18" t="s">
        <v>1908</v>
      </c>
      <c r="B25" s="19" t="s">
        <v>1874</v>
      </c>
      <c r="C25" s="19" t="s">
        <v>1626</v>
      </c>
      <c r="D25" s="19" t="s">
        <v>1857</v>
      </c>
      <c r="E25" s="19" t="s">
        <v>1858</v>
      </c>
      <c r="F25" s="19" t="s">
        <v>1868</v>
      </c>
      <c r="G25" s="19" t="s">
        <v>1907</v>
      </c>
      <c r="H25" s="19">
        <v>15</v>
      </c>
      <c r="I25" s="19">
        <v>3368.77</v>
      </c>
      <c r="J25" s="19">
        <v>50531.55</v>
      </c>
    </row>
    <row r="26" ht="15.25" spans="1:10">
      <c r="A26" s="18" t="s">
        <v>1909</v>
      </c>
      <c r="B26" s="19" t="s">
        <v>1861</v>
      </c>
      <c r="C26" s="19" t="s">
        <v>1875</v>
      </c>
      <c r="D26" s="19" t="s">
        <v>1862</v>
      </c>
      <c r="E26" s="19" t="s">
        <v>1858</v>
      </c>
      <c r="F26" s="19" t="s">
        <v>1852</v>
      </c>
      <c r="G26" s="19" t="s">
        <v>1910</v>
      </c>
      <c r="H26" s="19">
        <v>2</v>
      </c>
      <c r="I26" s="19">
        <v>962.28</v>
      </c>
      <c r="J26" s="19">
        <v>1924.56</v>
      </c>
    </row>
    <row r="27" ht="26.75" spans="1:10">
      <c r="A27" s="18">
        <v>44930</v>
      </c>
      <c r="B27" s="19" t="s">
        <v>1902</v>
      </c>
      <c r="C27" s="19" t="s">
        <v>1598</v>
      </c>
      <c r="D27" s="19" t="s">
        <v>1850</v>
      </c>
      <c r="E27" s="19" t="s">
        <v>1851</v>
      </c>
      <c r="F27" s="19" t="s">
        <v>1865</v>
      </c>
      <c r="G27" s="19" t="s">
        <v>1890</v>
      </c>
      <c r="H27" s="19">
        <v>19</v>
      </c>
      <c r="I27" s="19">
        <v>1065.27</v>
      </c>
      <c r="J27" s="19">
        <v>20240.13</v>
      </c>
    </row>
    <row r="28" ht="15.25" spans="1:10">
      <c r="A28" s="18" t="s">
        <v>1911</v>
      </c>
      <c r="B28" s="19" t="s">
        <v>1902</v>
      </c>
      <c r="C28" s="19" t="s">
        <v>1610</v>
      </c>
      <c r="D28" s="19" t="s">
        <v>1879</v>
      </c>
      <c r="E28" s="19" t="s">
        <v>1851</v>
      </c>
      <c r="F28" s="19" t="s">
        <v>1868</v>
      </c>
      <c r="G28" s="19" t="s">
        <v>1899</v>
      </c>
      <c r="H28" s="19">
        <v>10</v>
      </c>
      <c r="I28" s="19">
        <v>4507.62</v>
      </c>
      <c r="J28" s="19">
        <v>45076.2</v>
      </c>
    </row>
    <row r="29" ht="15.25" spans="1:10">
      <c r="A29" s="18" t="s">
        <v>1912</v>
      </c>
      <c r="B29" s="19" t="s">
        <v>1867</v>
      </c>
      <c r="C29" s="19" t="s">
        <v>1903</v>
      </c>
      <c r="D29" s="19" t="s">
        <v>1884</v>
      </c>
      <c r="E29" s="19" t="s">
        <v>1895</v>
      </c>
      <c r="F29" s="19" t="s">
        <v>1865</v>
      </c>
      <c r="G29" s="19" t="s">
        <v>1886</v>
      </c>
      <c r="H29" s="19">
        <v>4</v>
      </c>
      <c r="I29" s="19">
        <v>4373.75</v>
      </c>
      <c r="J29" s="19">
        <v>17495</v>
      </c>
    </row>
    <row r="30" ht="15.25" spans="1:10">
      <c r="A30" s="18" t="s">
        <v>1913</v>
      </c>
      <c r="B30" s="19" t="s">
        <v>1889</v>
      </c>
      <c r="C30" s="19" t="s">
        <v>1856</v>
      </c>
      <c r="D30" s="19" t="s">
        <v>1857</v>
      </c>
      <c r="E30" s="19" t="s">
        <v>1858</v>
      </c>
      <c r="F30" s="19" t="s">
        <v>1865</v>
      </c>
      <c r="G30" s="19" t="s">
        <v>1886</v>
      </c>
      <c r="H30" s="19">
        <v>4</v>
      </c>
      <c r="I30" s="19">
        <v>791.28</v>
      </c>
      <c r="J30" s="19">
        <v>3165.12</v>
      </c>
    </row>
    <row r="31" ht="15.25" spans="1:10">
      <c r="A31" s="18">
        <v>45082</v>
      </c>
      <c r="B31" s="19" t="s">
        <v>1878</v>
      </c>
      <c r="C31" s="19" t="s">
        <v>1875</v>
      </c>
      <c r="D31" s="19" t="s">
        <v>1862</v>
      </c>
      <c r="E31" s="19" t="s">
        <v>1858</v>
      </c>
      <c r="F31" s="19" t="s">
        <v>1868</v>
      </c>
      <c r="G31" s="19" t="s">
        <v>1869</v>
      </c>
      <c r="H31" s="19">
        <v>14</v>
      </c>
      <c r="I31" s="19">
        <v>4868.33</v>
      </c>
      <c r="J31" s="19">
        <v>68156.62</v>
      </c>
    </row>
    <row r="32" ht="15.25" spans="1:10">
      <c r="A32" s="18" t="s">
        <v>1893</v>
      </c>
      <c r="B32" s="19" t="s">
        <v>1874</v>
      </c>
      <c r="C32" s="19" t="s">
        <v>1894</v>
      </c>
      <c r="D32" s="19" t="s">
        <v>1884</v>
      </c>
      <c r="E32" s="19" t="s">
        <v>1895</v>
      </c>
      <c r="F32" s="19" t="s">
        <v>1865</v>
      </c>
      <c r="G32" s="19" t="s">
        <v>1890</v>
      </c>
      <c r="H32" s="19">
        <v>12</v>
      </c>
      <c r="I32" s="19">
        <v>1958.77</v>
      </c>
      <c r="J32" s="19">
        <v>23505.24</v>
      </c>
    </row>
    <row r="33" ht="26.75" spans="1:10">
      <c r="A33" s="18" t="s">
        <v>1915</v>
      </c>
      <c r="B33" s="19" t="s">
        <v>1861</v>
      </c>
      <c r="C33" s="19" t="s">
        <v>1598</v>
      </c>
      <c r="D33" s="19" t="s">
        <v>1850</v>
      </c>
      <c r="E33" s="19" t="s">
        <v>1851</v>
      </c>
      <c r="F33" s="19" t="s">
        <v>1859</v>
      </c>
      <c r="G33" s="19" t="s">
        <v>1872</v>
      </c>
      <c r="H33" s="19">
        <v>10</v>
      </c>
      <c r="I33" s="19">
        <v>3690.75</v>
      </c>
      <c r="J33" s="19">
        <v>36907.5</v>
      </c>
    </row>
    <row r="34" ht="15.25" spans="1:10">
      <c r="A34" s="18" t="s">
        <v>1916</v>
      </c>
      <c r="B34" s="19" t="s">
        <v>1861</v>
      </c>
      <c r="C34" s="19" t="s">
        <v>1610</v>
      </c>
      <c r="D34" s="19" t="s">
        <v>1879</v>
      </c>
      <c r="E34" s="19" t="s">
        <v>1851</v>
      </c>
      <c r="F34" s="19" t="s">
        <v>1859</v>
      </c>
      <c r="G34" s="19" t="s">
        <v>1872</v>
      </c>
      <c r="H34" s="19">
        <v>17</v>
      </c>
      <c r="I34" s="19">
        <v>1037.05</v>
      </c>
      <c r="J34" s="19">
        <v>17629.85</v>
      </c>
    </row>
    <row r="35" ht="15.25" spans="1:10">
      <c r="A35" s="18">
        <v>45231</v>
      </c>
      <c r="B35" s="19" t="s">
        <v>1892</v>
      </c>
      <c r="C35" s="19" t="s">
        <v>1906</v>
      </c>
      <c r="D35" s="19" t="s">
        <v>1862</v>
      </c>
      <c r="E35" s="19" t="s">
        <v>1858</v>
      </c>
      <c r="F35" s="19" t="s">
        <v>1868</v>
      </c>
      <c r="G35" s="19" t="s">
        <v>1917</v>
      </c>
      <c r="H35" s="19">
        <v>17</v>
      </c>
      <c r="I35" s="19">
        <v>2215.55</v>
      </c>
      <c r="J35" s="19">
        <v>37664.35</v>
      </c>
    </row>
    <row r="36" ht="15.25" spans="1:10">
      <c r="A36" s="18" t="s">
        <v>1919</v>
      </c>
      <c r="B36" s="19" t="s">
        <v>1892</v>
      </c>
      <c r="C36" s="19" t="s">
        <v>1864</v>
      </c>
      <c r="D36" s="19" t="s">
        <v>1857</v>
      </c>
      <c r="E36" s="19" t="s">
        <v>1858</v>
      </c>
      <c r="F36" s="19" t="s">
        <v>1865</v>
      </c>
      <c r="G36" s="19" t="s">
        <v>1920</v>
      </c>
      <c r="H36" s="19">
        <v>19</v>
      </c>
      <c r="I36" s="19">
        <v>1343.6</v>
      </c>
      <c r="J36" s="19">
        <v>25528.4</v>
      </c>
    </row>
    <row r="37" ht="26.75" spans="1:10">
      <c r="A37" s="18">
        <v>45204</v>
      </c>
      <c r="B37" s="19" t="s">
        <v>1892</v>
      </c>
      <c r="C37" s="19" t="s">
        <v>1849</v>
      </c>
      <c r="D37" s="19" t="s">
        <v>1850</v>
      </c>
      <c r="E37" s="19" t="s">
        <v>1851</v>
      </c>
      <c r="F37" s="19" t="s">
        <v>1868</v>
      </c>
      <c r="G37" s="19" t="s">
        <v>1869</v>
      </c>
      <c r="H37" s="19">
        <v>8</v>
      </c>
      <c r="I37" s="19">
        <v>4455.43</v>
      </c>
      <c r="J37" s="19">
        <v>35643.44</v>
      </c>
    </row>
    <row r="38" ht="15.25" spans="1:10">
      <c r="A38" s="18" t="s">
        <v>1921</v>
      </c>
      <c r="B38" s="19" t="s">
        <v>1878</v>
      </c>
      <c r="C38" s="19" t="s">
        <v>1626</v>
      </c>
      <c r="D38" s="19" t="s">
        <v>1857</v>
      </c>
      <c r="E38" s="19" t="s">
        <v>1858</v>
      </c>
      <c r="F38" s="19" t="s">
        <v>1859</v>
      </c>
      <c r="G38" s="19" t="s">
        <v>1922</v>
      </c>
      <c r="H38" s="19">
        <v>9</v>
      </c>
      <c r="I38" s="19">
        <v>3892.79</v>
      </c>
      <c r="J38" s="19">
        <v>35035.11</v>
      </c>
    </row>
    <row r="39" ht="15.25" spans="1:10">
      <c r="A39" s="18">
        <v>45089</v>
      </c>
      <c r="B39" s="19" t="s">
        <v>1878</v>
      </c>
      <c r="C39" s="19" t="s">
        <v>1903</v>
      </c>
      <c r="D39" s="19" t="s">
        <v>1884</v>
      </c>
      <c r="E39" s="19" t="s">
        <v>1895</v>
      </c>
      <c r="F39" s="19" t="s">
        <v>1876</v>
      </c>
      <c r="G39" s="19" t="s">
        <v>1883</v>
      </c>
      <c r="H39" s="19">
        <v>9</v>
      </c>
      <c r="I39" s="19">
        <v>4618.59</v>
      </c>
      <c r="J39" s="19">
        <v>41567.31</v>
      </c>
    </row>
    <row r="40" ht="15.25" spans="1:10">
      <c r="A40" s="18" t="s">
        <v>1923</v>
      </c>
      <c r="B40" s="19" t="s">
        <v>1889</v>
      </c>
      <c r="C40" s="19" t="s">
        <v>1906</v>
      </c>
      <c r="D40" s="19" t="s">
        <v>1862</v>
      </c>
      <c r="E40" s="19" t="s">
        <v>1858</v>
      </c>
      <c r="F40" s="19" t="s">
        <v>1865</v>
      </c>
      <c r="G40" s="19" t="s">
        <v>1920</v>
      </c>
      <c r="H40" s="19">
        <v>11</v>
      </c>
      <c r="I40" s="19">
        <v>3385.93</v>
      </c>
      <c r="J40" s="19">
        <v>37245.23</v>
      </c>
    </row>
    <row r="41" ht="15.25" spans="1:10">
      <c r="A41" s="18" t="s">
        <v>1925</v>
      </c>
      <c r="B41" s="19" t="s">
        <v>1878</v>
      </c>
      <c r="C41" s="19" t="s">
        <v>1610</v>
      </c>
      <c r="D41" s="19" t="s">
        <v>1879</v>
      </c>
      <c r="E41" s="19" t="s">
        <v>1851</v>
      </c>
      <c r="F41" s="19" t="s">
        <v>1859</v>
      </c>
      <c r="G41" s="19" t="s">
        <v>1872</v>
      </c>
      <c r="H41" s="19">
        <v>14</v>
      </c>
      <c r="I41" s="19">
        <v>2452.98</v>
      </c>
      <c r="J41" s="19">
        <v>34341.72</v>
      </c>
    </row>
    <row r="42" ht="15.25" spans="1:10">
      <c r="A42" s="18">
        <v>45024</v>
      </c>
      <c r="B42" s="19" t="s">
        <v>1848</v>
      </c>
      <c r="C42" s="19" t="s">
        <v>1602</v>
      </c>
      <c r="D42" s="19" t="s">
        <v>1862</v>
      </c>
      <c r="E42" s="19" t="s">
        <v>1858</v>
      </c>
      <c r="F42" s="19" t="s">
        <v>1876</v>
      </c>
      <c r="G42" s="19" t="s">
        <v>1877</v>
      </c>
      <c r="H42" s="19">
        <v>16</v>
      </c>
      <c r="I42" s="19">
        <v>695.96</v>
      </c>
      <c r="J42" s="19">
        <v>11135.36</v>
      </c>
    </row>
    <row r="43" ht="15.25" spans="1:10">
      <c r="A43" s="18">
        <v>44929</v>
      </c>
      <c r="B43" s="19" t="s">
        <v>1867</v>
      </c>
      <c r="C43" s="19" t="s">
        <v>1610</v>
      </c>
      <c r="D43" s="19" t="s">
        <v>1879</v>
      </c>
      <c r="E43" s="19" t="s">
        <v>1851</v>
      </c>
      <c r="F43" s="19" t="s">
        <v>1876</v>
      </c>
      <c r="G43" s="19" t="s">
        <v>1926</v>
      </c>
      <c r="H43" s="19">
        <v>1</v>
      </c>
      <c r="I43" s="19">
        <v>1979.54</v>
      </c>
      <c r="J43" s="19">
        <v>1979.54</v>
      </c>
    </row>
    <row r="44" ht="15.25" spans="1:10">
      <c r="A44" s="18" t="s">
        <v>1927</v>
      </c>
      <c r="B44" s="19" t="s">
        <v>1874</v>
      </c>
      <c r="C44" s="19" t="s">
        <v>1903</v>
      </c>
      <c r="D44" s="19" t="s">
        <v>1884</v>
      </c>
      <c r="E44" s="19" t="s">
        <v>1895</v>
      </c>
      <c r="F44" s="19" t="s">
        <v>1859</v>
      </c>
      <c r="G44" s="19" t="s">
        <v>1860</v>
      </c>
      <c r="H44" s="19">
        <v>9</v>
      </c>
      <c r="I44" s="19">
        <v>3727.82</v>
      </c>
      <c r="J44" s="19">
        <v>33550.38</v>
      </c>
    </row>
    <row r="45" ht="15.25" spans="1:10">
      <c r="A45" s="18" t="s">
        <v>1928</v>
      </c>
      <c r="B45" s="19" t="s">
        <v>1848</v>
      </c>
      <c r="C45" s="19" t="s">
        <v>1898</v>
      </c>
      <c r="D45" s="19" t="s">
        <v>1879</v>
      </c>
      <c r="E45" s="19" t="s">
        <v>1851</v>
      </c>
      <c r="F45" s="19" t="s">
        <v>1868</v>
      </c>
      <c r="G45" s="19" t="s">
        <v>1917</v>
      </c>
      <c r="H45" s="19">
        <v>1</v>
      </c>
      <c r="I45" s="19">
        <v>1495.61</v>
      </c>
      <c r="J45" s="19">
        <v>1495.61</v>
      </c>
    </row>
    <row r="46" ht="26.75" spans="1:10">
      <c r="A46" s="18" t="s">
        <v>1929</v>
      </c>
      <c r="B46" s="19" t="s">
        <v>1889</v>
      </c>
      <c r="C46" s="19" t="s">
        <v>1593</v>
      </c>
      <c r="D46" s="19" t="s">
        <v>1850</v>
      </c>
      <c r="E46" s="19" t="s">
        <v>1851</v>
      </c>
      <c r="F46" s="19" t="s">
        <v>1865</v>
      </c>
      <c r="G46" s="19" t="s">
        <v>1886</v>
      </c>
      <c r="H46" s="19">
        <v>18</v>
      </c>
      <c r="I46" s="19">
        <v>1928.15</v>
      </c>
      <c r="J46" s="19">
        <v>34706.7</v>
      </c>
    </row>
    <row r="47" ht="26.75" spans="1:10">
      <c r="A47" s="18">
        <v>45019</v>
      </c>
      <c r="B47" s="19" t="s">
        <v>1871</v>
      </c>
      <c r="C47" s="19" t="s">
        <v>1593</v>
      </c>
      <c r="D47" s="19" t="s">
        <v>1850</v>
      </c>
      <c r="E47" s="19" t="s">
        <v>1851</v>
      </c>
      <c r="F47" s="19" t="s">
        <v>1859</v>
      </c>
      <c r="G47" s="19" t="s">
        <v>1872</v>
      </c>
      <c r="H47" s="19">
        <v>1</v>
      </c>
      <c r="I47" s="19">
        <v>4192.39</v>
      </c>
      <c r="J47" s="19">
        <v>4192.39</v>
      </c>
    </row>
    <row r="48" ht="15.25" spans="1:10">
      <c r="A48" s="18">
        <v>45018</v>
      </c>
      <c r="B48" s="19" t="s">
        <v>1889</v>
      </c>
      <c r="C48" s="19" t="s">
        <v>1626</v>
      </c>
      <c r="D48" s="19" t="s">
        <v>1857</v>
      </c>
      <c r="E48" s="19" t="s">
        <v>1858</v>
      </c>
      <c r="F48" s="19" t="s">
        <v>1876</v>
      </c>
      <c r="G48" s="19" t="s">
        <v>1930</v>
      </c>
      <c r="H48" s="19">
        <v>7</v>
      </c>
      <c r="I48" s="19">
        <v>4988.71</v>
      </c>
      <c r="J48" s="19">
        <v>34920.97</v>
      </c>
    </row>
    <row r="49" ht="15.25" spans="1:10">
      <c r="A49" s="18" t="s">
        <v>1932</v>
      </c>
      <c r="B49" s="19" t="s">
        <v>1878</v>
      </c>
      <c r="C49" s="19" t="s">
        <v>1906</v>
      </c>
      <c r="D49" s="19" t="s">
        <v>1862</v>
      </c>
      <c r="E49" s="19" t="s">
        <v>1858</v>
      </c>
      <c r="F49" s="19" t="s">
        <v>1865</v>
      </c>
      <c r="G49" s="19" t="s">
        <v>1886</v>
      </c>
      <c r="H49" s="19">
        <v>9</v>
      </c>
      <c r="I49" s="19">
        <v>1328.13</v>
      </c>
      <c r="J49" s="19">
        <v>11953.17</v>
      </c>
    </row>
    <row r="50" ht="26.75" spans="1:10">
      <c r="A50" s="18" t="s">
        <v>1933</v>
      </c>
      <c r="B50" s="19" t="s">
        <v>1889</v>
      </c>
      <c r="C50" s="19" t="s">
        <v>1598</v>
      </c>
      <c r="D50" s="19" t="s">
        <v>1850</v>
      </c>
      <c r="E50" s="19" t="s">
        <v>1851</v>
      </c>
      <c r="F50" s="19" t="s">
        <v>1852</v>
      </c>
      <c r="G50" s="19" t="s">
        <v>1934</v>
      </c>
      <c r="H50" s="19">
        <v>9</v>
      </c>
      <c r="I50" s="19">
        <v>722.44</v>
      </c>
      <c r="J50" s="19">
        <v>6501.96</v>
      </c>
    </row>
    <row r="51" ht="26.75" spans="1:10">
      <c r="A51" s="18" t="s">
        <v>1935</v>
      </c>
      <c r="B51" s="19" t="s">
        <v>1861</v>
      </c>
      <c r="C51" s="19" t="s">
        <v>1849</v>
      </c>
      <c r="D51" s="19" t="s">
        <v>1850</v>
      </c>
      <c r="E51" s="19" t="s">
        <v>1851</v>
      </c>
      <c r="F51" s="19" t="s">
        <v>1865</v>
      </c>
      <c r="G51" s="19" t="s">
        <v>1886</v>
      </c>
      <c r="H51" s="19">
        <v>2</v>
      </c>
      <c r="I51" s="19">
        <v>4726.06</v>
      </c>
      <c r="J51" s="19">
        <v>9452.12</v>
      </c>
    </row>
    <row r="52" ht="15.25" spans="1:10">
      <c r="A52" s="18">
        <v>45079</v>
      </c>
      <c r="B52" s="19" t="s">
        <v>1878</v>
      </c>
      <c r="C52" s="19" t="s">
        <v>1602</v>
      </c>
      <c r="D52" s="19" t="s">
        <v>1862</v>
      </c>
      <c r="E52" s="19" t="s">
        <v>1858</v>
      </c>
      <c r="F52" s="19" t="s">
        <v>1865</v>
      </c>
      <c r="G52" s="19" t="s">
        <v>1890</v>
      </c>
      <c r="H52" s="19">
        <v>3</v>
      </c>
      <c r="I52" s="19">
        <v>2263.47</v>
      </c>
      <c r="J52" s="19">
        <v>6790.41</v>
      </c>
    </row>
    <row r="53" ht="15.25" spans="1:10">
      <c r="A53" s="18" t="s">
        <v>1936</v>
      </c>
      <c r="B53" s="19" t="s">
        <v>1861</v>
      </c>
      <c r="C53" s="19" t="s">
        <v>1875</v>
      </c>
      <c r="D53" s="19" t="s">
        <v>1862</v>
      </c>
      <c r="E53" s="19" t="s">
        <v>1858</v>
      </c>
      <c r="F53" s="19" t="s">
        <v>1852</v>
      </c>
      <c r="G53" s="19" t="s">
        <v>1910</v>
      </c>
      <c r="H53" s="19">
        <v>20</v>
      </c>
      <c r="I53" s="19">
        <v>4365.58</v>
      </c>
      <c r="J53" s="19">
        <v>87311.6</v>
      </c>
    </row>
    <row r="54" ht="15.25" spans="1:10">
      <c r="A54" s="18" t="s">
        <v>1938</v>
      </c>
      <c r="B54" s="19" t="s">
        <v>1892</v>
      </c>
      <c r="C54" s="19" t="s">
        <v>1589</v>
      </c>
      <c r="D54" s="19" t="s">
        <v>1884</v>
      </c>
      <c r="E54" s="19" t="s">
        <v>1895</v>
      </c>
      <c r="F54" s="19" t="s">
        <v>1876</v>
      </c>
      <c r="G54" s="19" t="s">
        <v>1877</v>
      </c>
      <c r="H54" s="19">
        <v>20</v>
      </c>
      <c r="I54" s="19">
        <v>3925.65</v>
      </c>
      <c r="J54" s="19">
        <v>78513</v>
      </c>
    </row>
    <row r="55" ht="15.25" spans="1:10">
      <c r="A55" s="18">
        <v>44995</v>
      </c>
      <c r="B55" s="19" t="s">
        <v>1855</v>
      </c>
      <c r="C55" s="19" t="s">
        <v>1626</v>
      </c>
      <c r="D55" s="19" t="s">
        <v>1857</v>
      </c>
      <c r="E55" s="19" t="s">
        <v>1858</v>
      </c>
      <c r="F55" s="19" t="s">
        <v>1852</v>
      </c>
      <c r="G55" s="19" t="s">
        <v>1934</v>
      </c>
      <c r="H55" s="19">
        <v>3</v>
      </c>
      <c r="I55" s="19">
        <v>3613.98</v>
      </c>
      <c r="J55" s="19">
        <v>10841.94</v>
      </c>
    </row>
    <row r="56" ht="26.75" spans="1:10">
      <c r="A56" s="18">
        <v>45236</v>
      </c>
      <c r="B56" s="19" t="s">
        <v>1889</v>
      </c>
      <c r="C56" s="19" t="s">
        <v>1593</v>
      </c>
      <c r="D56" s="19" t="s">
        <v>1850</v>
      </c>
      <c r="E56" s="19" t="s">
        <v>1851</v>
      </c>
      <c r="F56" s="19" t="s">
        <v>1859</v>
      </c>
      <c r="G56" s="19" t="s">
        <v>1922</v>
      </c>
      <c r="H56" s="19">
        <v>7</v>
      </c>
      <c r="I56" s="19">
        <v>2483.54</v>
      </c>
      <c r="J56" s="19">
        <v>17384.78</v>
      </c>
    </row>
    <row r="57" ht="15.25" spans="1:10">
      <c r="A57" s="18">
        <v>44967</v>
      </c>
      <c r="B57" s="19" t="s">
        <v>1871</v>
      </c>
      <c r="C57" s="19" t="s">
        <v>1894</v>
      </c>
      <c r="D57" s="19" t="s">
        <v>1884</v>
      </c>
      <c r="E57" s="19" t="s">
        <v>1895</v>
      </c>
      <c r="F57" s="19" t="s">
        <v>1852</v>
      </c>
      <c r="G57" s="19" t="s">
        <v>1934</v>
      </c>
      <c r="H57" s="19">
        <v>14</v>
      </c>
      <c r="I57" s="19">
        <v>2145.21</v>
      </c>
      <c r="J57" s="19">
        <v>30032.94</v>
      </c>
    </row>
    <row r="58" ht="15.25" spans="1:10">
      <c r="A58" s="18" t="s">
        <v>1939</v>
      </c>
      <c r="B58" s="19" t="s">
        <v>1889</v>
      </c>
      <c r="C58" s="19" t="s">
        <v>1906</v>
      </c>
      <c r="D58" s="19" t="s">
        <v>1862</v>
      </c>
      <c r="E58" s="19" t="s">
        <v>1858</v>
      </c>
      <c r="F58" s="19" t="s">
        <v>1876</v>
      </c>
      <c r="G58" s="19" t="s">
        <v>1926</v>
      </c>
      <c r="H58" s="19">
        <v>8</v>
      </c>
      <c r="I58" s="19">
        <v>4997.45</v>
      </c>
      <c r="J58" s="19">
        <v>39979.6</v>
      </c>
    </row>
    <row r="59" ht="15.25" spans="1:10">
      <c r="A59" s="18">
        <v>45176</v>
      </c>
      <c r="B59" s="19" t="s">
        <v>1892</v>
      </c>
      <c r="C59" s="19" t="s">
        <v>1610</v>
      </c>
      <c r="D59" s="19" t="s">
        <v>1879</v>
      </c>
      <c r="E59" s="19" t="s">
        <v>1851</v>
      </c>
      <c r="F59" s="19" t="s">
        <v>1876</v>
      </c>
      <c r="G59" s="19" t="s">
        <v>1883</v>
      </c>
      <c r="H59" s="19">
        <v>3</v>
      </c>
      <c r="I59" s="19">
        <v>1753.98</v>
      </c>
      <c r="J59" s="19">
        <v>5261.94</v>
      </c>
    </row>
    <row r="60" ht="15.25" spans="1:10">
      <c r="A60" s="18" t="s">
        <v>1940</v>
      </c>
      <c r="B60" s="19" t="s">
        <v>1874</v>
      </c>
      <c r="C60" s="19" t="s">
        <v>1875</v>
      </c>
      <c r="D60" s="19" t="s">
        <v>1862</v>
      </c>
      <c r="E60" s="19" t="s">
        <v>1858</v>
      </c>
      <c r="F60" s="19" t="s">
        <v>1876</v>
      </c>
      <c r="G60" s="19" t="s">
        <v>1926</v>
      </c>
      <c r="H60" s="19">
        <v>2</v>
      </c>
      <c r="I60" s="19">
        <v>1207.92</v>
      </c>
      <c r="J60" s="19">
        <v>2415.84</v>
      </c>
    </row>
    <row r="61" ht="26.75" spans="1:10">
      <c r="A61" s="18">
        <v>45202</v>
      </c>
      <c r="B61" s="19" t="s">
        <v>1867</v>
      </c>
      <c r="C61" s="19" t="s">
        <v>1598</v>
      </c>
      <c r="D61" s="19" t="s">
        <v>1850</v>
      </c>
      <c r="E61" s="19" t="s">
        <v>1851</v>
      </c>
      <c r="F61" s="19" t="s">
        <v>1876</v>
      </c>
      <c r="G61" s="19" t="s">
        <v>1930</v>
      </c>
      <c r="H61" s="19">
        <v>13</v>
      </c>
      <c r="I61" s="19">
        <v>4196.33</v>
      </c>
      <c r="J61" s="19">
        <v>54552.29</v>
      </c>
    </row>
    <row r="62" ht="15.25" spans="1:10">
      <c r="A62" s="18">
        <v>44990</v>
      </c>
      <c r="B62" s="19" t="s">
        <v>1902</v>
      </c>
      <c r="C62" s="19" t="s">
        <v>1941</v>
      </c>
      <c r="D62" s="19" t="s">
        <v>1879</v>
      </c>
      <c r="E62" s="19" t="s">
        <v>1851</v>
      </c>
      <c r="F62" s="19" t="s">
        <v>1859</v>
      </c>
      <c r="G62" s="19" t="s">
        <v>1860</v>
      </c>
      <c r="H62" s="19">
        <v>18</v>
      </c>
      <c r="I62" s="19">
        <v>1310.78</v>
      </c>
      <c r="J62" s="19">
        <v>23594.04</v>
      </c>
    </row>
    <row r="63" ht="26.75" spans="1:10">
      <c r="A63" s="18" t="s">
        <v>1942</v>
      </c>
      <c r="B63" s="19" t="s">
        <v>1892</v>
      </c>
      <c r="C63" s="19" t="s">
        <v>1598</v>
      </c>
      <c r="D63" s="19" t="s">
        <v>1850</v>
      </c>
      <c r="E63" s="19" t="s">
        <v>1851</v>
      </c>
      <c r="F63" s="19" t="s">
        <v>1852</v>
      </c>
      <c r="G63" s="19" t="s">
        <v>1934</v>
      </c>
      <c r="H63" s="19">
        <v>20</v>
      </c>
      <c r="I63" s="19">
        <v>2142.9</v>
      </c>
      <c r="J63" s="19">
        <v>42858</v>
      </c>
    </row>
    <row r="64" ht="15.25" spans="1:10">
      <c r="A64" s="18">
        <v>44997</v>
      </c>
      <c r="B64" s="19" t="s">
        <v>1902</v>
      </c>
      <c r="C64" s="19" t="s">
        <v>1589</v>
      </c>
      <c r="D64" s="19" t="s">
        <v>1884</v>
      </c>
      <c r="E64" s="19" t="s">
        <v>1895</v>
      </c>
      <c r="F64" s="19" t="s">
        <v>1876</v>
      </c>
      <c r="G64" s="19" t="s">
        <v>1930</v>
      </c>
      <c r="H64" s="19">
        <v>19</v>
      </c>
      <c r="I64" s="19">
        <v>1359.7</v>
      </c>
      <c r="J64" s="19">
        <v>25834.3</v>
      </c>
    </row>
    <row r="65" ht="15.25" spans="1:10">
      <c r="A65" s="18" t="s">
        <v>1943</v>
      </c>
      <c r="B65" s="19" t="s">
        <v>1848</v>
      </c>
      <c r="C65" s="19" t="s">
        <v>1906</v>
      </c>
      <c r="D65" s="19" t="s">
        <v>1862</v>
      </c>
      <c r="E65" s="19" t="s">
        <v>1858</v>
      </c>
      <c r="F65" s="19" t="s">
        <v>1852</v>
      </c>
      <c r="G65" s="19" t="s">
        <v>1934</v>
      </c>
      <c r="H65" s="19">
        <v>16</v>
      </c>
      <c r="I65" s="19">
        <v>4896.07</v>
      </c>
      <c r="J65" s="19">
        <v>78337.12</v>
      </c>
    </row>
    <row r="66" ht="15.25" spans="1:10">
      <c r="A66" s="18" t="s">
        <v>1944</v>
      </c>
      <c r="B66" s="19" t="s">
        <v>1871</v>
      </c>
      <c r="C66" s="19" t="s">
        <v>1602</v>
      </c>
      <c r="D66" s="19" t="s">
        <v>1862</v>
      </c>
      <c r="E66" s="19" t="s">
        <v>1858</v>
      </c>
      <c r="F66" s="19" t="s">
        <v>1859</v>
      </c>
      <c r="G66" s="19" t="s">
        <v>1922</v>
      </c>
      <c r="H66" s="19">
        <v>8</v>
      </c>
      <c r="I66" s="19">
        <v>4216.03</v>
      </c>
      <c r="J66" s="19">
        <v>33728.24</v>
      </c>
    </row>
    <row r="67" ht="26.75" spans="1:10">
      <c r="A67" s="18">
        <v>45054</v>
      </c>
      <c r="B67" s="19" t="s">
        <v>1867</v>
      </c>
      <c r="C67" s="19" t="s">
        <v>1598</v>
      </c>
      <c r="D67" s="19" t="s">
        <v>1850</v>
      </c>
      <c r="E67" s="19" t="s">
        <v>1851</v>
      </c>
      <c r="F67" s="19" t="s">
        <v>1868</v>
      </c>
      <c r="G67" s="19" t="s">
        <v>1899</v>
      </c>
      <c r="H67" s="19">
        <v>14</v>
      </c>
      <c r="I67" s="19">
        <v>2134.06</v>
      </c>
      <c r="J67" s="19">
        <v>29876.84</v>
      </c>
    </row>
    <row r="68" ht="15.25" spans="1:10">
      <c r="A68" s="18" t="s">
        <v>1945</v>
      </c>
      <c r="B68" s="19" t="s">
        <v>1902</v>
      </c>
      <c r="C68" s="19" t="s">
        <v>1894</v>
      </c>
      <c r="D68" s="19" t="s">
        <v>1884</v>
      </c>
      <c r="E68" s="19" t="s">
        <v>1895</v>
      </c>
      <c r="F68" s="19" t="s">
        <v>1852</v>
      </c>
      <c r="G68" s="19" t="s">
        <v>1910</v>
      </c>
      <c r="H68" s="19">
        <v>6</v>
      </c>
      <c r="I68" s="19">
        <v>1523.33</v>
      </c>
      <c r="J68" s="19">
        <v>9139.98</v>
      </c>
    </row>
    <row r="69" ht="15.25" spans="1:10">
      <c r="A69" s="18" t="s">
        <v>1946</v>
      </c>
      <c r="B69" s="19" t="s">
        <v>1861</v>
      </c>
      <c r="C69" s="19" t="s">
        <v>1864</v>
      </c>
      <c r="D69" s="19" t="s">
        <v>1857</v>
      </c>
      <c r="E69" s="19" t="s">
        <v>1858</v>
      </c>
      <c r="F69" s="19" t="s">
        <v>1868</v>
      </c>
      <c r="G69" s="19" t="s">
        <v>1869</v>
      </c>
      <c r="H69" s="19">
        <v>13</v>
      </c>
      <c r="I69" s="19">
        <v>646.63</v>
      </c>
      <c r="J69" s="19">
        <v>8406.19</v>
      </c>
    </row>
    <row r="70" ht="15.25" spans="1:10">
      <c r="A70" s="18" t="s">
        <v>1927</v>
      </c>
      <c r="B70" s="19" t="s">
        <v>1874</v>
      </c>
      <c r="C70" s="19" t="s">
        <v>1906</v>
      </c>
      <c r="D70" s="19" t="s">
        <v>1862</v>
      </c>
      <c r="E70" s="19" t="s">
        <v>1858</v>
      </c>
      <c r="F70" s="19" t="s">
        <v>1859</v>
      </c>
      <c r="G70" s="19" t="s">
        <v>1947</v>
      </c>
      <c r="H70" s="19">
        <v>4</v>
      </c>
      <c r="I70" s="19">
        <v>4965.34</v>
      </c>
      <c r="J70" s="19">
        <v>19861.36</v>
      </c>
    </row>
    <row r="71" ht="26.75" spans="1:10">
      <c r="A71" s="18" t="s">
        <v>1948</v>
      </c>
      <c r="B71" s="19" t="s">
        <v>1889</v>
      </c>
      <c r="C71" s="19" t="s">
        <v>1598</v>
      </c>
      <c r="D71" s="19" t="s">
        <v>1850</v>
      </c>
      <c r="E71" s="19" t="s">
        <v>1851</v>
      </c>
      <c r="F71" s="19" t="s">
        <v>1859</v>
      </c>
      <c r="G71" s="19" t="s">
        <v>1872</v>
      </c>
      <c r="H71" s="19">
        <v>14</v>
      </c>
      <c r="I71" s="19">
        <v>2883.11</v>
      </c>
      <c r="J71" s="19">
        <v>40363.54</v>
      </c>
    </row>
    <row r="72" ht="15.25" spans="1:10">
      <c r="A72" s="18" t="s">
        <v>1949</v>
      </c>
      <c r="B72" s="19" t="s">
        <v>1871</v>
      </c>
      <c r="C72" s="19" t="s">
        <v>1903</v>
      </c>
      <c r="D72" s="19" t="s">
        <v>1884</v>
      </c>
      <c r="E72" s="19" t="s">
        <v>1895</v>
      </c>
      <c r="F72" s="19" t="s">
        <v>1868</v>
      </c>
      <c r="G72" s="19" t="s">
        <v>1899</v>
      </c>
      <c r="H72" s="19">
        <v>9</v>
      </c>
      <c r="I72" s="19">
        <v>2819.87</v>
      </c>
      <c r="J72" s="19">
        <v>25378.83</v>
      </c>
    </row>
    <row r="73" ht="26.75" spans="1:10">
      <c r="A73" s="18" t="s">
        <v>1881</v>
      </c>
      <c r="B73" s="19" t="s">
        <v>1867</v>
      </c>
      <c r="C73" s="19" t="s">
        <v>1593</v>
      </c>
      <c r="D73" s="19" t="s">
        <v>1850</v>
      </c>
      <c r="E73" s="19" t="s">
        <v>1851</v>
      </c>
      <c r="F73" s="19" t="s">
        <v>1865</v>
      </c>
      <c r="G73" s="19" t="s">
        <v>1866</v>
      </c>
      <c r="H73" s="19">
        <v>12</v>
      </c>
      <c r="I73" s="19">
        <v>3961.23</v>
      </c>
      <c r="J73" s="19">
        <v>47534.76</v>
      </c>
    </row>
    <row r="74" ht="15.25" spans="1:10">
      <c r="A74" s="18">
        <v>44960</v>
      </c>
      <c r="B74" s="19" t="s">
        <v>1874</v>
      </c>
      <c r="C74" s="19" t="s">
        <v>1864</v>
      </c>
      <c r="D74" s="19" t="s">
        <v>1857</v>
      </c>
      <c r="E74" s="19" t="s">
        <v>1858</v>
      </c>
      <c r="F74" s="19" t="s">
        <v>1865</v>
      </c>
      <c r="G74" s="19" t="s">
        <v>1866</v>
      </c>
      <c r="H74" s="19">
        <v>15</v>
      </c>
      <c r="I74" s="19">
        <v>2194.72</v>
      </c>
      <c r="J74" s="19">
        <v>32920.8</v>
      </c>
    </row>
    <row r="75" ht="15.25" spans="1:10">
      <c r="A75" s="18" t="s">
        <v>1951</v>
      </c>
      <c r="B75" s="19" t="s">
        <v>1871</v>
      </c>
      <c r="C75" s="19" t="s">
        <v>1875</v>
      </c>
      <c r="D75" s="19" t="s">
        <v>1862</v>
      </c>
      <c r="E75" s="19" t="s">
        <v>1858</v>
      </c>
      <c r="F75" s="19" t="s">
        <v>1876</v>
      </c>
      <c r="G75" s="19" t="s">
        <v>1926</v>
      </c>
      <c r="H75" s="19">
        <v>5</v>
      </c>
      <c r="I75" s="19">
        <v>3058.74</v>
      </c>
      <c r="J75" s="19">
        <v>15293.7</v>
      </c>
    </row>
    <row r="76" ht="26.75" spans="1:10">
      <c r="A76" s="18">
        <v>45211</v>
      </c>
      <c r="B76" s="19" t="s">
        <v>1878</v>
      </c>
      <c r="C76" s="19" t="s">
        <v>1593</v>
      </c>
      <c r="D76" s="19" t="s">
        <v>1850</v>
      </c>
      <c r="E76" s="19" t="s">
        <v>1851</v>
      </c>
      <c r="F76" s="19" t="s">
        <v>1865</v>
      </c>
      <c r="G76" s="19" t="s">
        <v>1866</v>
      </c>
      <c r="H76" s="19">
        <v>11</v>
      </c>
      <c r="I76" s="19">
        <v>827.59</v>
      </c>
      <c r="J76" s="19">
        <v>9103.49</v>
      </c>
    </row>
    <row r="77" ht="15.25" spans="1:10">
      <c r="A77" s="18" t="s">
        <v>1952</v>
      </c>
      <c r="B77" s="19" t="s">
        <v>1889</v>
      </c>
      <c r="C77" s="19" t="s">
        <v>1864</v>
      </c>
      <c r="D77" s="19" t="s">
        <v>1857</v>
      </c>
      <c r="E77" s="19" t="s">
        <v>1858</v>
      </c>
      <c r="F77" s="19" t="s">
        <v>1876</v>
      </c>
      <c r="G77" s="19" t="s">
        <v>1930</v>
      </c>
      <c r="H77" s="19">
        <v>10</v>
      </c>
      <c r="I77" s="19">
        <v>2008.29</v>
      </c>
      <c r="J77" s="19">
        <v>20082.9</v>
      </c>
    </row>
    <row r="78" ht="15.25" spans="1:10">
      <c r="A78" s="18" t="s">
        <v>1897</v>
      </c>
      <c r="B78" s="19" t="s">
        <v>1878</v>
      </c>
      <c r="C78" s="19" t="s">
        <v>1898</v>
      </c>
      <c r="D78" s="19" t="s">
        <v>1879</v>
      </c>
      <c r="E78" s="19" t="s">
        <v>1851</v>
      </c>
      <c r="F78" s="19" t="s">
        <v>1865</v>
      </c>
      <c r="G78" s="19" t="s">
        <v>1886</v>
      </c>
      <c r="H78" s="19">
        <v>3</v>
      </c>
      <c r="I78" s="19">
        <v>4157.17</v>
      </c>
      <c r="J78" s="19">
        <v>12471.51</v>
      </c>
    </row>
    <row r="79" ht="15.25" spans="1:10">
      <c r="A79" s="18">
        <v>45109</v>
      </c>
      <c r="B79" s="19" t="s">
        <v>1867</v>
      </c>
      <c r="C79" s="19" t="s">
        <v>1906</v>
      </c>
      <c r="D79" s="19" t="s">
        <v>1862</v>
      </c>
      <c r="E79" s="19" t="s">
        <v>1858</v>
      </c>
      <c r="F79" s="19" t="s">
        <v>1852</v>
      </c>
      <c r="G79" s="19" t="s">
        <v>1950</v>
      </c>
      <c r="H79" s="19">
        <v>19</v>
      </c>
      <c r="I79" s="19">
        <v>2880.28</v>
      </c>
      <c r="J79" s="19">
        <v>54725.32</v>
      </c>
    </row>
    <row r="80" ht="15.25" spans="1:10">
      <c r="A80" s="18" t="s">
        <v>1954</v>
      </c>
      <c r="B80" s="19" t="s">
        <v>1902</v>
      </c>
      <c r="C80" s="19" t="s">
        <v>1610</v>
      </c>
      <c r="D80" s="19" t="s">
        <v>1879</v>
      </c>
      <c r="E80" s="19" t="s">
        <v>1851</v>
      </c>
      <c r="F80" s="19" t="s">
        <v>1876</v>
      </c>
      <c r="G80" s="19" t="s">
        <v>1883</v>
      </c>
      <c r="H80" s="19">
        <v>6</v>
      </c>
      <c r="I80" s="19">
        <v>1212.76</v>
      </c>
      <c r="J80" s="19">
        <v>7276.56</v>
      </c>
    </row>
    <row r="81" ht="15.25" spans="1:10">
      <c r="A81" s="18" t="s">
        <v>1955</v>
      </c>
      <c r="B81" s="19" t="s">
        <v>1871</v>
      </c>
      <c r="C81" s="19" t="s">
        <v>1941</v>
      </c>
      <c r="D81" s="19" t="s">
        <v>1879</v>
      </c>
      <c r="E81" s="19" t="s">
        <v>1851</v>
      </c>
      <c r="F81" s="19" t="s">
        <v>1876</v>
      </c>
      <c r="G81" s="19" t="s">
        <v>1926</v>
      </c>
      <c r="H81" s="19">
        <v>11</v>
      </c>
      <c r="I81" s="19">
        <v>4463.48</v>
      </c>
      <c r="J81" s="19">
        <v>49098.28</v>
      </c>
    </row>
    <row r="82" ht="15.25" spans="1:10">
      <c r="A82" s="18">
        <v>45236</v>
      </c>
      <c r="B82" s="19" t="s">
        <v>1889</v>
      </c>
      <c r="C82" s="19" t="s">
        <v>1875</v>
      </c>
      <c r="D82" s="19" t="s">
        <v>1862</v>
      </c>
      <c r="E82" s="19" t="s">
        <v>1858</v>
      </c>
      <c r="F82" s="19" t="s">
        <v>1859</v>
      </c>
      <c r="G82" s="19" t="s">
        <v>1872</v>
      </c>
      <c r="H82" s="19">
        <v>17</v>
      </c>
      <c r="I82" s="19">
        <v>3975.74</v>
      </c>
      <c r="J82" s="19">
        <v>67587.58</v>
      </c>
    </row>
    <row r="83" ht="15.25" spans="1:10">
      <c r="A83" s="18" t="s">
        <v>1956</v>
      </c>
      <c r="B83" s="19" t="s">
        <v>1848</v>
      </c>
      <c r="C83" s="19" t="s">
        <v>1856</v>
      </c>
      <c r="D83" s="19" t="s">
        <v>1857</v>
      </c>
      <c r="E83" s="19" t="s">
        <v>1858</v>
      </c>
      <c r="F83" s="19" t="s">
        <v>1865</v>
      </c>
      <c r="G83" s="19" t="s">
        <v>1890</v>
      </c>
      <c r="H83" s="19">
        <v>15</v>
      </c>
      <c r="I83" s="19">
        <v>2158.22</v>
      </c>
      <c r="J83" s="19">
        <v>32373.3</v>
      </c>
    </row>
    <row r="84" ht="15.25" spans="1:10">
      <c r="A84" s="18" t="s">
        <v>1958</v>
      </c>
      <c r="B84" s="19" t="s">
        <v>1861</v>
      </c>
      <c r="C84" s="19" t="s">
        <v>1898</v>
      </c>
      <c r="D84" s="19" t="s">
        <v>1879</v>
      </c>
      <c r="E84" s="19" t="s">
        <v>1851</v>
      </c>
      <c r="F84" s="19" t="s">
        <v>1865</v>
      </c>
      <c r="G84" s="19" t="s">
        <v>1886</v>
      </c>
      <c r="H84" s="19">
        <v>17</v>
      </c>
      <c r="I84" s="19">
        <v>1720.9</v>
      </c>
      <c r="J84" s="19">
        <v>29255.3</v>
      </c>
    </row>
    <row r="85" ht="26.75" spans="1:10">
      <c r="A85" s="18" t="s">
        <v>1959</v>
      </c>
      <c r="B85" s="19" t="s">
        <v>1878</v>
      </c>
      <c r="C85" s="19" t="s">
        <v>1593</v>
      </c>
      <c r="D85" s="19" t="s">
        <v>1850</v>
      </c>
      <c r="E85" s="19" t="s">
        <v>1851</v>
      </c>
      <c r="F85" s="19" t="s">
        <v>1865</v>
      </c>
      <c r="G85" s="19" t="s">
        <v>1866</v>
      </c>
      <c r="H85" s="19">
        <v>11</v>
      </c>
      <c r="I85" s="19">
        <v>3562.92</v>
      </c>
      <c r="J85" s="19">
        <v>39192.12</v>
      </c>
    </row>
    <row r="86" ht="26.75" spans="1:10">
      <c r="A86" s="18" t="s">
        <v>1960</v>
      </c>
      <c r="B86" s="19" t="s">
        <v>1871</v>
      </c>
      <c r="C86" s="19" t="s">
        <v>1593</v>
      </c>
      <c r="D86" s="19" t="s">
        <v>1850</v>
      </c>
      <c r="E86" s="19" t="s">
        <v>1851</v>
      </c>
      <c r="F86" s="19" t="s">
        <v>1859</v>
      </c>
      <c r="G86" s="19" t="s">
        <v>1872</v>
      </c>
      <c r="H86" s="19">
        <v>17</v>
      </c>
      <c r="I86" s="19">
        <v>608.79</v>
      </c>
      <c r="J86" s="19">
        <v>10349.43</v>
      </c>
    </row>
    <row r="87" ht="15.25" spans="1:10">
      <c r="A87" s="18" t="s">
        <v>1932</v>
      </c>
      <c r="B87" s="19" t="s">
        <v>1874</v>
      </c>
      <c r="C87" s="19" t="s">
        <v>1610</v>
      </c>
      <c r="D87" s="19" t="s">
        <v>1879</v>
      </c>
      <c r="E87" s="19" t="s">
        <v>1851</v>
      </c>
      <c r="F87" s="19" t="s">
        <v>1868</v>
      </c>
      <c r="G87" s="19" t="s">
        <v>1869</v>
      </c>
      <c r="H87" s="19">
        <v>20</v>
      </c>
      <c r="I87" s="19">
        <v>4856.17</v>
      </c>
      <c r="J87" s="19">
        <v>97123.4</v>
      </c>
    </row>
    <row r="88" ht="15.25" spans="1:10">
      <c r="A88" s="18" t="s">
        <v>1946</v>
      </c>
      <c r="B88" s="19" t="s">
        <v>1902</v>
      </c>
      <c r="C88" s="19" t="s">
        <v>1894</v>
      </c>
      <c r="D88" s="19" t="s">
        <v>1884</v>
      </c>
      <c r="E88" s="19" t="s">
        <v>1895</v>
      </c>
      <c r="F88" s="19" t="s">
        <v>1859</v>
      </c>
      <c r="G88" s="19" t="s">
        <v>1860</v>
      </c>
      <c r="H88" s="19">
        <v>12</v>
      </c>
      <c r="I88" s="19">
        <v>4298</v>
      </c>
      <c r="J88" s="19">
        <v>51576</v>
      </c>
    </row>
    <row r="89" ht="15.25" spans="1:10">
      <c r="A89" s="18">
        <v>45020</v>
      </c>
      <c r="B89" s="19" t="s">
        <v>1871</v>
      </c>
      <c r="C89" s="19" t="s">
        <v>1903</v>
      </c>
      <c r="D89" s="19" t="s">
        <v>1884</v>
      </c>
      <c r="E89" s="19" t="s">
        <v>1895</v>
      </c>
      <c r="F89" s="19" t="s">
        <v>1876</v>
      </c>
      <c r="G89" s="19" t="s">
        <v>1926</v>
      </c>
      <c r="H89" s="19">
        <v>7</v>
      </c>
      <c r="I89" s="19">
        <v>1160.35</v>
      </c>
      <c r="J89" s="19">
        <v>8122.45</v>
      </c>
    </row>
    <row r="90" ht="15.25" spans="1:10">
      <c r="A90" s="18">
        <v>45115</v>
      </c>
      <c r="B90" s="19" t="s">
        <v>1878</v>
      </c>
      <c r="C90" s="19" t="s">
        <v>1894</v>
      </c>
      <c r="D90" s="19" t="s">
        <v>1884</v>
      </c>
      <c r="E90" s="19" t="s">
        <v>1895</v>
      </c>
      <c r="F90" s="19" t="s">
        <v>1865</v>
      </c>
      <c r="G90" s="19" t="s">
        <v>1886</v>
      </c>
      <c r="H90" s="19">
        <v>3</v>
      </c>
      <c r="I90" s="19">
        <v>2488.34</v>
      </c>
      <c r="J90" s="19">
        <v>7465.02</v>
      </c>
    </row>
    <row r="91" ht="15.25" spans="1:10">
      <c r="A91" s="18" t="s">
        <v>1956</v>
      </c>
      <c r="B91" s="19" t="s">
        <v>1861</v>
      </c>
      <c r="C91" s="19" t="s">
        <v>1856</v>
      </c>
      <c r="D91" s="19" t="s">
        <v>1857</v>
      </c>
      <c r="E91" s="19" t="s">
        <v>1858</v>
      </c>
      <c r="F91" s="19" t="s">
        <v>1852</v>
      </c>
      <c r="G91" s="19" t="s">
        <v>1934</v>
      </c>
      <c r="H91" s="19">
        <v>8</v>
      </c>
      <c r="I91" s="19">
        <v>1990</v>
      </c>
      <c r="J91" s="19">
        <v>15920</v>
      </c>
    </row>
    <row r="92" ht="15.25" spans="1:10">
      <c r="A92" s="18" t="s">
        <v>1961</v>
      </c>
      <c r="B92" s="19" t="s">
        <v>1874</v>
      </c>
      <c r="C92" s="19" t="s">
        <v>1941</v>
      </c>
      <c r="D92" s="19" t="s">
        <v>1879</v>
      </c>
      <c r="E92" s="19" t="s">
        <v>1851</v>
      </c>
      <c r="F92" s="19" t="s">
        <v>1876</v>
      </c>
      <c r="G92" s="19" t="s">
        <v>1926</v>
      </c>
      <c r="H92" s="19">
        <v>20</v>
      </c>
      <c r="I92" s="19">
        <v>2446.21</v>
      </c>
      <c r="J92" s="19">
        <v>48924.2</v>
      </c>
    </row>
    <row r="93" ht="15.25" spans="1:10">
      <c r="A93" s="18" t="s">
        <v>1962</v>
      </c>
      <c r="B93" s="19" t="s">
        <v>1867</v>
      </c>
      <c r="C93" s="19" t="s">
        <v>1906</v>
      </c>
      <c r="D93" s="19" t="s">
        <v>1862</v>
      </c>
      <c r="E93" s="19" t="s">
        <v>1858</v>
      </c>
      <c r="F93" s="19" t="s">
        <v>1859</v>
      </c>
      <c r="G93" s="19" t="s">
        <v>1947</v>
      </c>
      <c r="H93" s="19">
        <v>11</v>
      </c>
      <c r="I93" s="19">
        <v>1841.84</v>
      </c>
      <c r="J93" s="19">
        <v>20260.24</v>
      </c>
    </row>
    <row r="94" ht="15.25" spans="1:10">
      <c r="A94" s="18">
        <v>44938</v>
      </c>
      <c r="B94" s="19" t="s">
        <v>1874</v>
      </c>
      <c r="C94" s="19" t="s">
        <v>1589</v>
      </c>
      <c r="D94" s="19" t="s">
        <v>1884</v>
      </c>
      <c r="E94" s="19" t="s">
        <v>1895</v>
      </c>
      <c r="F94" s="19" t="s">
        <v>1876</v>
      </c>
      <c r="G94" s="19" t="s">
        <v>1877</v>
      </c>
      <c r="H94" s="19">
        <v>5</v>
      </c>
      <c r="I94" s="19">
        <v>3289.83</v>
      </c>
      <c r="J94" s="19">
        <v>16449.15</v>
      </c>
    </row>
    <row r="95" ht="26.75" spans="1:10">
      <c r="A95" s="18" t="s">
        <v>1963</v>
      </c>
      <c r="B95" s="19" t="s">
        <v>1878</v>
      </c>
      <c r="C95" s="19" t="s">
        <v>1593</v>
      </c>
      <c r="D95" s="19" t="s">
        <v>1850</v>
      </c>
      <c r="E95" s="19" t="s">
        <v>1851</v>
      </c>
      <c r="F95" s="19" t="s">
        <v>1868</v>
      </c>
      <c r="G95" s="19" t="s">
        <v>1907</v>
      </c>
      <c r="H95" s="19">
        <v>6</v>
      </c>
      <c r="I95" s="19">
        <v>549.8</v>
      </c>
      <c r="J95" s="19">
        <v>3298.8</v>
      </c>
    </row>
    <row r="96" ht="15.25" spans="1:10">
      <c r="A96" s="18">
        <v>44987</v>
      </c>
      <c r="B96" s="19" t="s">
        <v>1889</v>
      </c>
      <c r="C96" s="19" t="s">
        <v>1864</v>
      </c>
      <c r="D96" s="19" t="s">
        <v>1857</v>
      </c>
      <c r="E96" s="19" t="s">
        <v>1858</v>
      </c>
      <c r="F96" s="19" t="s">
        <v>1876</v>
      </c>
      <c r="G96" s="19" t="s">
        <v>1877</v>
      </c>
      <c r="H96" s="19">
        <v>20</v>
      </c>
      <c r="I96" s="19">
        <v>4397.46</v>
      </c>
      <c r="J96" s="19">
        <v>87949.2</v>
      </c>
    </row>
    <row r="97" ht="15.25" spans="1:10">
      <c r="A97" s="18">
        <v>45235</v>
      </c>
      <c r="B97" s="19" t="s">
        <v>1878</v>
      </c>
      <c r="C97" s="19" t="s">
        <v>1602</v>
      </c>
      <c r="D97" s="19" t="s">
        <v>1862</v>
      </c>
      <c r="E97" s="19" t="s">
        <v>1858</v>
      </c>
      <c r="F97" s="19" t="s">
        <v>1868</v>
      </c>
      <c r="G97" s="19" t="s">
        <v>1869</v>
      </c>
      <c r="H97" s="19">
        <v>3</v>
      </c>
      <c r="I97" s="19">
        <v>3107.88</v>
      </c>
      <c r="J97" s="19">
        <v>9323.64</v>
      </c>
    </row>
    <row r="98" ht="15.25" spans="1:10">
      <c r="A98" s="18" t="s">
        <v>1939</v>
      </c>
      <c r="B98" s="19" t="s">
        <v>1848</v>
      </c>
      <c r="C98" s="19" t="s">
        <v>1898</v>
      </c>
      <c r="D98" s="19" t="s">
        <v>1879</v>
      </c>
      <c r="E98" s="19" t="s">
        <v>1851</v>
      </c>
      <c r="F98" s="19" t="s">
        <v>1852</v>
      </c>
      <c r="G98" s="19" t="s">
        <v>1950</v>
      </c>
      <c r="H98" s="19">
        <v>11</v>
      </c>
      <c r="I98" s="19">
        <v>1451.86</v>
      </c>
      <c r="J98" s="19">
        <v>15970.46</v>
      </c>
    </row>
    <row r="99" ht="15.25" spans="1:10">
      <c r="A99" s="18">
        <v>44992</v>
      </c>
      <c r="B99" s="19" t="s">
        <v>1878</v>
      </c>
      <c r="C99" s="19" t="s">
        <v>1856</v>
      </c>
      <c r="D99" s="19" t="s">
        <v>1857</v>
      </c>
      <c r="E99" s="19" t="s">
        <v>1858</v>
      </c>
      <c r="F99" s="19" t="s">
        <v>1868</v>
      </c>
      <c r="G99" s="19" t="s">
        <v>1917</v>
      </c>
      <c r="H99" s="19">
        <v>13</v>
      </c>
      <c r="I99" s="19">
        <v>4087.03</v>
      </c>
      <c r="J99" s="19">
        <v>53131.39</v>
      </c>
    </row>
    <row r="100" ht="15.25" spans="1:10">
      <c r="A100" s="18">
        <v>44966</v>
      </c>
      <c r="B100" s="19" t="s">
        <v>1848</v>
      </c>
      <c r="C100" s="19" t="s">
        <v>1894</v>
      </c>
      <c r="D100" s="19" t="s">
        <v>1884</v>
      </c>
      <c r="E100" s="19" t="s">
        <v>1895</v>
      </c>
      <c r="F100" s="19" t="s">
        <v>1859</v>
      </c>
      <c r="G100" s="19" t="s">
        <v>1860</v>
      </c>
      <c r="H100" s="19">
        <v>12</v>
      </c>
      <c r="I100" s="19">
        <v>3040.08</v>
      </c>
      <c r="J100" s="19">
        <v>36480.96</v>
      </c>
    </row>
    <row r="101" ht="15.25" spans="1:10">
      <c r="A101" s="18" t="s">
        <v>1952</v>
      </c>
      <c r="B101" s="19" t="s">
        <v>1874</v>
      </c>
      <c r="C101" s="19" t="s">
        <v>1589</v>
      </c>
      <c r="D101" s="19" t="s">
        <v>1884</v>
      </c>
      <c r="E101" s="19" t="s">
        <v>1895</v>
      </c>
      <c r="F101" s="19" t="s">
        <v>1868</v>
      </c>
      <c r="G101" s="19" t="s">
        <v>1907</v>
      </c>
      <c r="H101" s="19">
        <v>19</v>
      </c>
      <c r="I101" s="19">
        <v>3968.42</v>
      </c>
      <c r="J101" s="19">
        <v>75399.98</v>
      </c>
    </row>
    <row r="102" ht="15.25" spans="1:10">
      <c r="A102" s="18" t="s">
        <v>1964</v>
      </c>
      <c r="B102" s="19" t="s">
        <v>1902</v>
      </c>
      <c r="C102" s="19" t="s">
        <v>1875</v>
      </c>
      <c r="D102" s="19" t="s">
        <v>1862</v>
      </c>
      <c r="E102" s="19" t="s">
        <v>1858</v>
      </c>
      <c r="F102" s="19" t="s">
        <v>1876</v>
      </c>
      <c r="G102" s="19" t="s">
        <v>1883</v>
      </c>
      <c r="H102" s="19">
        <v>4</v>
      </c>
      <c r="I102" s="19">
        <v>894.64</v>
      </c>
      <c r="J102" s="19">
        <v>3578.56</v>
      </c>
    </row>
    <row r="103" ht="15.25" spans="1:10">
      <c r="A103" s="18">
        <v>44996</v>
      </c>
      <c r="B103" s="19" t="s">
        <v>1878</v>
      </c>
      <c r="C103" s="19" t="s">
        <v>1875</v>
      </c>
      <c r="D103" s="19" t="s">
        <v>1862</v>
      </c>
      <c r="E103" s="19" t="s">
        <v>1858</v>
      </c>
      <c r="F103" s="19" t="s">
        <v>1868</v>
      </c>
      <c r="G103" s="19" t="s">
        <v>1917</v>
      </c>
      <c r="H103" s="19">
        <v>20</v>
      </c>
      <c r="I103" s="19">
        <v>1787.99</v>
      </c>
      <c r="J103" s="19">
        <v>35759.8</v>
      </c>
    </row>
    <row r="104" ht="26.75" spans="1:10">
      <c r="A104" s="18" t="s">
        <v>1965</v>
      </c>
      <c r="B104" s="19" t="s">
        <v>1848</v>
      </c>
      <c r="C104" s="19" t="s">
        <v>1593</v>
      </c>
      <c r="D104" s="19" t="s">
        <v>1850</v>
      </c>
      <c r="E104" s="19" t="s">
        <v>1851</v>
      </c>
      <c r="F104" s="19" t="s">
        <v>1852</v>
      </c>
      <c r="G104" s="19" t="s">
        <v>1910</v>
      </c>
      <c r="H104" s="19">
        <v>17</v>
      </c>
      <c r="I104" s="19">
        <v>2910.12</v>
      </c>
      <c r="J104" s="19">
        <v>49472.04</v>
      </c>
    </row>
    <row r="105" ht="15.25" spans="1:10">
      <c r="A105" s="18">
        <v>44987</v>
      </c>
      <c r="B105" s="19" t="s">
        <v>1902</v>
      </c>
      <c r="C105" s="19" t="s">
        <v>1856</v>
      </c>
      <c r="D105" s="19" t="s">
        <v>1857</v>
      </c>
      <c r="E105" s="19" t="s">
        <v>1858</v>
      </c>
      <c r="F105" s="19" t="s">
        <v>1868</v>
      </c>
      <c r="G105" s="19" t="s">
        <v>1869</v>
      </c>
      <c r="H105" s="19">
        <v>16</v>
      </c>
      <c r="I105" s="19">
        <v>827.8</v>
      </c>
      <c r="J105" s="19">
        <v>13244.8</v>
      </c>
    </row>
    <row r="106" ht="15.25" spans="1:10">
      <c r="A106" s="18">
        <v>45174</v>
      </c>
      <c r="B106" s="19" t="s">
        <v>1861</v>
      </c>
      <c r="C106" s="19" t="s">
        <v>1894</v>
      </c>
      <c r="D106" s="19" t="s">
        <v>1884</v>
      </c>
      <c r="E106" s="19" t="s">
        <v>1895</v>
      </c>
      <c r="F106" s="19" t="s">
        <v>1859</v>
      </c>
      <c r="G106" s="19" t="s">
        <v>1872</v>
      </c>
      <c r="H106" s="19">
        <v>18</v>
      </c>
      <c r="I106" s="19">
        <v>3093.44</v>
      </c>
      <c r="J106" s="19">
        <v>55681.92</v>
      </c>
    </row>
    <row r="107" ht="15.25" spans="1:10">
      <c r="A107" s="18" t="s">
        <v>1966</v>
      </c>
      <c r="B107" s="19" t="s">
        <v>1878</v>
      </c>
      <c r="C107" s="19" t="s">
        <v>1626</v>
      </c>
      <c r="D107" s="19" t="s">
        <v>1857</v>
      </c>
      <c r="E107" s="19" t="s">
        <v>1858</v>
      </c>
      <c r="F107" s="19" t="s">
        <v>1865</v>
      </c>
      <c r="G107" s="19" t="s">
        <v>1890</v>
      </c>
      <c r="H107" s="19">
        <v>10</v>
      </c>
      <c r="I107" s="19">
        <v>2469.04</v>
      </c>
      <c r="J107" s="19">
        <v>24690.4</v>
      </c>
    </row>
    <row r="108" ht="15.25" spans="1:10">
      <c r="A108" s="18" t="s">
        <v>1967</v>
      </c>
      <c r="B108" s="19" t="s">
        <v>1861</v>
      </c>
      <c r="C108" s="19" t="s">
        <v>1626</v>
      </c>
      <c r="D108" s="19" t="s">
        <v>1857</v>
      </c>
      <c r="E108" s="19" t="s">
        <v>1858</v>
      </c>
      <c r="F108" s="19" t="s">
        <v>1859</v>
      </c>
      <c r="G108" s="19" t="s">
        <v>1860</v>
      </c>
      <c r="H108" s="19">
        <v>12</v>
      </c>
      <c r="I108" s="19">
        <v>2127.28</v>
      </c>
      <c r="J108" s="19">
        <v>25527.36</v>
      </c>
    </row>
    <row r="109" ht="15.25" spans="1:10">
      <c r="A109" s="18" t="s">
        <v>1968</v>
      </c>
      <c r="B109" s="19" t="s">
        <v>1874</v>
      </c>
      <c r="C109" s="19" t="s">
        <v>1626</v>
      </c>
      <c r="D109" s="19" t="s">
        <v>1857</v>
      </c>
      <c r="E109" s="19" t="s">
        <v>1858</v>
      </c>
      <c r="F109" s="19" t="s">
        <v>1876</v>
      </c>
      <c r="G109" s="19" t="s">
        <v>1883</v>
      </c>
      <c r="H109" s="19">
        <v>1</v>
      </c>
      <c r="I109" s="19">
        <v>1811.76</v>
      </c>
      <c r="J109" s="19">
        <v>1811.76</v>
      </c>
    </row>
    <row r="110" ht="15.25" spans="1:10">
      <c r="A110" s="18" t="s">
        <v>1969</v>
      </c>
      <c r="B110" s="19" t="s">
        <v>1892</v>
      </c>
      <c r="C110" s="19" t="s">
        <v>1906</v>
      </c>
      <c r="D110" s="19" t="s">
        <v>1862</v>
      </c>
      <c r="E110" s="19" t="s">
        <v>1858</v>
      </c>
      <c r="F110" s="19" t="s">
        <v>1852</v>
      </c>
      <c r="G110" s="19" t="s">
        <v>1910</v>
      </c>
      <c r="H110" s="19">
        <v>4</v>
      </c>
      <c r="I110" s="19">
        <v>4485.82</v>
      </c>
      <c r="J110" s="19">
        <v>17943.28</v>
      </c>
    </row>
    <row r="111" ht="15.25" spans="1:10">
      <c r="A111" s="18">
        <v>44994</v>
      </c>
      <c r="B111" s="19" t="s">
        <v>1892</v>
      </c>
      <c r="C111" s="19" t="s">
        <v>1875</v>
      </c>
      <c r="D111" s="19" t="s">
        <v>1862</v>
      </c>
      <c r="E111" s="19" t="s">
        <v>1858</v>
      </c>
      <c r="F111" s="19" t="s">
        <v>1876</v>
      </c>
      <c r="G111" s="19" t="s">
        <v>1883</v>
      </c>
      <c r="H111" s="19">
        <v>8</v>
      </c>
      <c r="I111" s="19">
        <v>4649.35</v>
      </c>
      <c r="J111" s="19">
        <v>37194.8</v>
      </c>
    </row>
    <row r="112" ht="15.25" spans="1:10">
      <c r="A112" s="18" t="s">
        <v>1970</v>
      </c>
      <c r="B112" s="19" t="s">
        <v>1855</v>
      </c>
      <c r="C112" s="19" t="s">
        <v>1864</v>
      </c>
      <c r="D112" s="19" t="s">
        <v>1857</v>
      </c>
      <c r="E112" s="19" t="s">
        <v>1858</v>
      </c>
      <c r="F112" s="19" t="s">
        <v>1852</v>
      </c>
      <c r="G112" s="19" t="s">
        <v>1950</v>
      </c>
      <c r="H112" s="19">
        <v>3</v>
      </c>
      <c r="I112" s="19">
        <v>4027.17</v>
      </c>
      <c r="J112" s="19">
        <v>12081.51</v>
      </c>
    </row>
    <row r="113" ht="15.25" spans="1:10">
      <c r="A113" s="18" t="s">
        <v>1971</v>
      </c>
      <c r="B113" s="19" t="s">
        <v>1892</v>
      </c>
      <c r="C113" s="19" t="s">
        <v>1589</v>
      </c>
      <c r="D113" s="19" t="s">
        <v>1884</v>
      </c>
      <c r="E113" s="19" t="s">
        <v>1895</v>
      </c>
      <c r="F113" s="19" t="s">
        <v>1876</v>
      </c>
      <c r="G113" s="19" t="s">
        <v>1926</v>
      </c>
      <c r="H113" s="19">
        <v>14</v>
      </c>
      <c r="I113" s="19">
        <v>4406.29</v>
      </c>
      <c r="J113" s="19">
        <v>61688.06</v>
      </c>
    </row>
    <row r="114" ht="15.25" spans="1:10">
      <c r="A114" s="18" t="s">
        <v>1972</v>
      </c>
      <c r="B114" s="19" t="s">
        <v>1855</v>
      </c>
      <c r="C114" s="19" t="s">
        <v>1626</v>
      </c>
      <c r="D114" s="19" t="s">
        <v>1857</v>
      </c>
      <c r="E114" s="19" t="s">
        <v>1858</v>
      </c>
      <c r="F114" s="19" t="s">
        <v>1868</v>
      </c>
      <c r="G114" s="19" t="s">
        <v>1907</v>
      </c>
      <c r="H114" s="19">
        <v>20</v>
      </c>
      <c r="I114" s="19">
        <v>4072.4</v>
      </c>
      <c r="J114" s="19">
        <v>81448</v>
      </c>
    </row>
    <row r="115" ht="15.25" spans="1:10">
      <c r="A115" s="18" t="s">
        <v>1973</v>
      </c>
      <c r="B115" s="19" t="s">
        <v>1871</v>
      </c>
      <c r="C115" s="19" t="s">
        <v>1589</v>
      </c>
      <c r="D115" s="19" t="s">
        <v>1884</v>
      </c>
      <c r="E115" s="19" t="s">
        <v>1895</v>
      </c>
      <c r="F115" s="19" t="s">
        <v>1868</v>
      </c>
      <c r="G115" s="19" t="s">
        <v>1917</v>
      </c>
      <c r="H115" s="19">
        <v>1</v>
      </c>
      <c r="I115" s="19">
        <v>4801.38</v>
      </c>
      <c r="J115" s="19">
        <v>4801.38</v>
      </c>
    </row>
    <row r="116" ht="15.25" spans="1:10">
      <c r="A116" s="18">
        <v>45078</v>
      </c>
      <c r="B116" s="19" t="s">
        <v>1878</v>
      </c>
      <c r="C116" s="19" t="s">
        <v>1602</v>
      </c>
      <c r="D116" s="19" t="s">
        <v>1862</v>
      </c>
      <c r="E116" s="19" t="s">
        <v>1858</v>
      </c>
      <c r="F116" s="19" t="s">
        <v>1865</v>
      </c>
      <c r="G116" s="19" t="s">
        <v>1890</v>
      </c>
      <c r="H116" s="19">
        <v>17</v>
      </c>
      <c r="I116" s="19">
        <v>828.26</v>
      </c>
      <c r="J116" s="19">
        <v>14080.42</v>
      </c>
    </row>
    <row r="117" ht="15.25" spans="1:10">
      <c r="A117" s="18">
        <v>45170</v>
      </c>
      <c r="B117" s="19" t="s">
        <v>1867</v>
      </c>
      <c r="C117" s="19" t="s">
        <v>1898</v>
      </c>
      <c r="D117" s="19" t="s">
        <v>1879</v>
      </c>
      <c r="E117" s="19" t="s">
        <v>1851</v>
      </c>
      <c r="F117" s="19" t="s">
        <v>1868</v>
      </c>
      <c r="G117" s="19" t="s">
        <v>1907</v>
      </c>
      <c r="H117" s="19">
        <v>13</v>
      </c>
      <c r="I117" s="19">
        <v>4331.5</v>
      </c>
      <c r="J117" s="19">
        <v>56309.5</v>
      </c>
    </row>
    <row r="118" ht="26.75" spans="1:10">
      <c r="A118" s="18">
        <v>44994</v>
      </c>
      <c r="B118" s="19" t="s">
        <v>1871</v>
      </c>
      <c r="C118" s="19" t="s">
        <v>1598</v>
      </c>
      <c r="D118" s="19" t="s">
        <v>1850</v>
      </c>
      <c r="E118" s="19" t="s">
        <v>1851</v>
      </c>
      <c r="F118" s="19" t="s">
        <v>1865</v>
      </c>
      <c r="G118" s="19" t="s">
        <v>1890</v>
      </c>
      <c r="H118" s="19">
        <v>14</v>
      </c>
      <c r="I118" s="19">
        <v>3404.4</v>
      </c>
      <c r="J118" s="19">
        <v>47661.6</v>
      </c>
    </row>
    <row r="119" ht="26.75" spans="1:10">
      <c r="A119" s="18" t="s">
        <v>1974</v>
      </c>
      <c r="B119" s="19" t="s">
        <v>1892</v>
      </c>
      <c r="C119" s="19" t="s">
        <v>1849</v>
      </c>
      <c r="D119" s="19" t="s">
        <v>1850</v>
      </c>
      <c r="E119" s="19" t="s">
        <v>1851</v>
      </c>
      <c r="F119" s="19" t="s">
        <v>1852</v>
      </c>
      <c r="G119" s="19" t="s">
        <v>1950</v>
      </c>
      <c r="H119" s="19">
        <v>20</v>
      </c>
      <c r="I119" s="19">
        <v>3734.44</v>
      </c>
      <c r="J119" s="19">
        <v>74688.8</v>
      </c>
    </row>
    <row r="120" ht="26.75" spans="1:10">
      <c r="A120" s="18" t="s">
        <v>1975</v>
      </c>
      <c r="B120" s="19" t="s">
        <v>1902</v>
      </c>
      <c r="C120" s="19" t="s">
        <v>1849</v>
      </c>
      <c r="D120" s="19" t="s">
        <v>1850</v>
      </c>
      <c r="E120" s="19" t="s">
        <v>1851</v>
      </c>
      <c r="F120" s="19" t="s">
        <v>1852</v>
      </c>
      <c r="G120" s="19" t="s">
        <v>1910</v>
      </c>
      <c r="H120" s="19">
        <v>6</v>
      </c>
      <c r="I120" s="19">
        <v>112.76</v>
      </c>
      <c r="J120" s="19">
        <v>676.56</v>
      </c>
    </row>
    <row r="121" ht="15.25" spans="1:10">
      <c r="A121" s="18" t="s">
        <v>1976</v>
      </c>
      <c r="B121" s="19" t="s">
        <v>1902</v>
      </c>
      <c r="C121" s="19" t="s">
        <v>1903</v>
      </c>
      <c r="D121" s="19" t="s">
        <v>1884</v>
      </c>
      <c r="E121" s="19" t="s">
        <v>1895</v>
      </c>
      <c r="F121" s="19" t="s">
        <v>1876</v>
      </c>
      <c r="G121" s="19" t="s">
        <v>1877</v>
      </c>
      <c r="H121" s="19">
        <v>6</v>
      </c>
      <c r="I121" s="19">
        <v>4751.77</v>
      </c>
      <c r="J121" s="19">
        <v>28510.62</v>
      </c>
    </row>
    <row r="122" ht="15.25" spans="1:10">
      <c r="A122" s="18">
        <v>45145</v>
      </c>
      <c r="B122" s="19" t="s">
        <v>1861</v>
      </c>
      <c r="C122" s="19" t="s">
        <v>1898</v>
      </c>
      <c r="D122" s="19" t="s">
        <v>1879</v>
      </c>
      <c r="E122" s="19" t="s">
        <v>1851</v>
      </c>
      <c r="F122" s="19" t="s">
        <v>1868</v>
      </c>
      <c r="G122" s="19" t="s">
        <v>1907</v>
      </c>
      <c r="H122" s="19">
        <v>4</v>
      </c>
      <c r="I122" s="19">
        <v>3214.1</v>
      </c>
      <c r="J122" s="19">
        <v>12856.4</v>
      </c>
    </row>
    <row r="123" ht="15.25" spans="1:10">
      <c r="A123" s="18" t="s">
        <v>1977</v>
      </c>
      <c r="B123" s="19" t="s">
        <v>1848</v>
      </c>
      <c r="C123" s="19" t="s">
        <v>1903</v>
      </c>
      <c r="D123" s="19" t="s">
        <v>1884</v>
      </c>
      <c r="E123" s="19" t="s">
        <v>1895</v>
      </c>
      <c r="F123" s="19" t="s">
        <v>1876</v>
      </c>
      <c r="G123" s="19" t="s">
        <v>1883</v>
      </c>
      <c r="H123" s="19">
        <v>20</v>
      </c>
      <c r="I123" s="19">
        <v>598.97</v>
      </c>
      <c r="J123" s="19">
        <v>11979.4</v>
      </c>
    </row>
    <row r="124" ht="26.75" spans="1:10">
      <c r="A124" s="18" t="s">
        <v>1928</v>
      </c>
      <c r="B124" s="19" t="s">
        <v>1902</v>
      </c>
      <c r="C124" s="19" t="s">
        <v>1849</v>
      </c>
      <c r="D124" s="19" t="s">
        <v>1850</v>
      </c>
      <c r="E124" s="19" t="s">
        <v>1851</v>
      </c>
      <c r="F124" s="19" t="s">
        <v>1852</v>
      </c>
      <c r="G124" s="19" t="s">
        <v>1910</v>
      </c>
      <c r="H124" s="19">
        <v>15</v>
      </c>
      <c r="I124" s="19">
        <v>1513.67</v>
      </c>
      <c r="J124" s="19">
        <v>22705.05</v>
      </c>
    </row>
    <row r="125" ht="15.25" spans="1:10">
      <c r="A125" s="18" t="s">
        <v>1978</v>
      </c>
      <c r="B125" s="19" t="s">
        <v>1878</v>
      </c>
      <c r="C125" s="19" t="s">
        <v>1941</v>
      </c>
      <c r="D125" s="19" t="s">
        <v>1879</v>
      </c>
      <c r="E125" s="19" t="s">
        <v>1851</v>
      </c>
      <c r="F125" s="19" t="s">
        <v>1865</v>
      </c>
      <c r="G125" s="19" t="s">
        <v>1886</v>
      </c>
      <c r="H125" s="19">
        <v>6</v>
      </c>
      <c r="I125" s="19">
        <v>194.62</v>
      </c>
      <c r="J125" s="19">
        <v>1167.72</v>
      </c>
    </row>
    <row r="126" ht="15.25" spans="1:10">
      <c r="A126" s="18">
        <v>44938</v>
      </c>
      <c r="B126" s="19" t="s">
        <v>1889</v>
      </c>
      <c r="C126" s="19" t="s">
        <v>1941</v>
      </c>
      <c r="D126" s="19" t="s">
        <v>1879</v>
      </c>
      <c r="E126" s="19" t="s">
        <v>1851</v>
      </c>
      <c r="F126" s="19" t="s">
        <v>1865</v>
      </c>
      <c r="G126" s="19" t="s">
        <v>1886</v>
      </c>
      <c r="H126" s="19">
        <v>6</v>
      </c>
      <c r="I126" s="19">
        <v>4508.3</v>
      </c>
      <c r="J126" s="19">
        <v>27049.8</v>
      </c>
    </row>
    <row r="127" ht="15.25" spans="1:10">
      <c r="A127" s="18">
        <v>45239</v>
      </c>
      <c r="B127" s="19" t="s">
        <v>1874</v>
      </c>
      <c r="C127" s="19" t="s">
        <v>1610</v>
      </c>
      <c r="D127" s="19" t="s">
        <v>1879</v>
      </c>
      <c r="E127" s="19" t="s">
        <v>1851</v>
      </c>
      <c r="F127" s="19" t="s">
        <v>1852</v>
      </c>
      <c r="G127" s="19" t="s">
        <v>1950</v>
      </c>
      <c r="H127" s="19">
        <v>20</v>
      </c>
      <c r="I127" s="19">
        <v>4055.72</v>
      </c>
      <c r="J127" s="19">
        <v>81114.4</v>
      </c>
    </row>
    <row r="128" ht="15.25" spans="1:10">
      <c r="A128" s="18">
        <v>44995</v>
      </c>
      <c r="B128" s="19" t="s">
        <v>1878</v>
      </c>
      <c r="C128" s="19" t="s">
        <v>1864</v>
      </c>
      <c r="D128" s="19" t="s">
        <v>1857</v>
      </c>
      <c r="E128" s="19" t="s">
        <v>1858</v>
      </c>
      <c r="F128" s="19" t="s">
        <v>1852</v>
      </c>
      <c r="G128" s="19" t="s">
        <v>1950</v>
      </c>
      <c r="H128" s="19">
        <v>8</v>
      </c>
      <c r="I128" s="19">
        <v>2986.89</v>
      </c>
      <c r="J128" s="19">
        <v>23895.12</v>
      </c>
    </row>
    <row r="129" ht="15.25" spans="1:10">
      <c r="A129" s="18" t="s">
        <v>1945</v>
      </c>
      <c r="B129" s="19" t="s">
        <v>1871</v>
      </c>
      <c r="C129" s="19" t="s">
        <v>1894</v>
      </c>
      <c r="D129" s="19" t="s">
        <v>1884</v>
      </c>
      <c r="E129" s="19" t="s">
        <v>1895</v>
      </c>
      <c r="F129" s="19" t="s">
        <v>1876</v>
      </c>
      <c r="G129" s="19" t="s">
        <v>1926</v>
      </c>
      <c r="H129" s="19">
        <v>7</v>
      </c>
      <c r="I129" s="19">
        <v>4933.06</v>
      </c>
      <c r="J129" s="19">
        <v>34531.42</v>
      </c>
    </row>
    <row r="130" ht="15.25" spans="1:10">
      <c r="A130" s="18" t="s">
        <v>1979</v>
      </c>
      <c r="B130" s="19" t="s">
        <v>1892</v>
      </c>
      <c r="C130" s="19" t="s">
        <v>1602</v>
      </c>
      <c r="D130" s="19" t="s">
        <v>1862</v>
      </c>
      <c r="E130" s="19" t="s">
        <v>1858</v>
      </c>
      <c r="F130" s="19" t="s">
        <v>1859</v>
      </c>
      <c r="G130" s="19" t="s">
        <v>1860</v>
      </c>
      <c r="H130" s="19">
        <v>4</v>
      </c>
      <c r="I130" s="19">
        <v>4837.17</v>
      </c>
      <c r="J130" s="19">
        <v>19348.68</v>
      </c>
    </row>
    <row r="131" ht="15.25" spans="1:10">
      <c r="A131" s="18">
        <v>45026</v>
      </c>
      <c r="B131" s="19" t="s">
        <v>1878</v>
      </c>
      <c r="C131" s="19" t="s">
        <v>1903</v>
      </c>
      <c r="D131" s="19" t="s">
        <v>1884</v>
      </c>
      <c r="E131" s="19" t="s">
        <v>1895</v>
      </c>
      <c r="F131" s="19" t="s">
        <v>1859</v>
      </c>
      <c r="G131" s="19" t="s">
        <v>1860</v>
      </c>
      <c r="H131" s="19">
        <v>1</v>
      </c>
      <c r="I131" s="19">
        <v>4813.23</v>
      </c>
      <c r="J131" s="19">
        <v>4813.23</v>
      </c>
    </row>
    <row r="132" ht="15.25" spans="1:10">
      <c r="A132" s="18" t="s">
        <v>1909</v>
      </c>
      <c r="B132" s="19" t="s">
        <v>1878</v>
      </c>
      <c r="C132" s="19" t="s">
        <v>1875</v>
      </c>
      <c r="D132" s="19" t="s">
        <v>1862</v>
      </c>
      <c r="E132" s="19" t="s">
        <v>1858</v>
      </c>
      <c r="F132" s="19" t="s">
        <v>1865</v>
      </c>
      <c r="G132" s="19" t="s">
        <v>1920</v>
      </c>
      <c r="H132" s="19">
        <v>16</v>
      </c>
      <c r="I132" s="19">
        <v>3158.66</v>
      </c>
      <c r="J132" s="19">
        <v>50538.56</v>
      </c>
    </row>
    <row r="133" ht="26.75" spans="1:10">
      <c r="A133" s="18">
        <v>45086</v>
      </c>
      <c r="B133" s="19" t="s">
        <v>1855</v>
      </c>
      <c r="C133" s="19" t="s">
        <v>1849</v>
      </c>
      <c r="D133" s="19" t="s">
        <v>1850</v>
      </c>
      <c r="E133" s="19" t="s">
        <v>1851</v>
      </c>
      <c r="F133" s="19" t="s">
        <v>1876</v>
      </c>
      <c r="G133" s="19" t="s">
        <v>1883</v>
      </c>
      <c r="H133" s="19">
        <v>6</v>
      </c>
      <c r="I133" s="19">
        <v>2920.43</v>
      </c>
      <c r="J133" s="19">
        <v>17522.58</v>
      </c>
    </row>
    <row r="134" ht="26.75" spans="1:10">
      <c r="A134" s="18">
        <v>45119</v>
      </c>
      <c r="B134" s="19" t="s">
        <v>1855</v>
      </c>
      <c r="C134" s="19" t="s">
        <v>1849</v>
      </c>
      <c r="D134" s="19" t="s">
        <v>1850</v>
      </c>
      <c r="E134" s="19" t="s">
        <v>1851</v>
      </c>
      <c r="F134" s="19" t="s">
        <v>1865</v>
      </c>
      <c r="G134" s="19" t="s">
        <v>1886</v>
      </c>
      <c r="H134" s="19">
        <v>12</v>
      </c>
      <c r="I134" s="19">
        <v>2170.02</v>
      </c>
      <c r="J134" s="19">
        <v>26040.24</v>
      </c>
    </row>
    <row r="135" ht="26.75" spans="1:10">
      <c r="A135" s="18" t="s">
        <v>1980</v>
      </c>
      <c r="B135" s="19" t="s">
        <v>1871</v>
      </c>
      <c r="C135" s="19" t="s">
        <v>1849</v>
      </c>
      <c r="D135" s="19" t="s">
        <v>1850</v>
      </c>
      <c r="E135" s="19" t="s">
        <v>1851</v>
      </c>
      <c r="F135" s="19" t="s">
        <v>1876</v>
      </c>
      <c r="G135" s="19" t="s">
        <v>1877</v>
      </c>
      <c r="H135" s="19">
        <v>2</v>
      </c>
      <c r="I135" s="19">
        <v>4542.61</v>
      </c>
      <c r="J135" s="19">
        <v>9085.22</v>
      </c>
    </row>
    <row r="136" ht="26.75" spans="1:10">
      <c r="A136" s="18" t="s">
        <v>1870</v>
      </c>
      <c r="B136" s="19" t="s">
        <v>1861</v>
      </c>
      <c r="C136" s="19" t="s">
        <v>1598</v>
      </c>
      <c r="D136" s="19" t="s">
        <v>1850</v>
      </c>
      <c r="E136" s="19" t="s">
        <v>1851</v>
      </c>
      <c r="F136" s="19" t="s">
        <v>1876</v>
      </c>
      <c r="G136" s="19" t="s">
        <v>1877</v>
      </c>
      <c r="H136" s="19">
        <v>1</v>
      </c>
      <c r="I136" s="19">
        <v>3091.48</v>
      </c>
      <c r="J136" s="19">
        <v>3091.48</v>
      </c>
    </row>
    <row r="137" ht="15.25" spans="1:10">
      <c r="A137" s="18">
        <v>45017</v>
      </c>
      <c r="B137" s="19" t="s">
        <v>1878</v>
      </c>
      <c r="C137" s="19" t="s">
        <v>1898</v>
      </c>
      <c r="D137" s="19" t="s">
        <v>1879</v>
      </c>
      <c r="E137" s="19" t="s">
        <v>1851</v>
      </c>
      <c r="F137" s="19" t="s">
        <v>1852</v>
      </c>
      <c r="G137" s="19" t="s">
        <v>1853</v>
      </c>
      <c r="H137" s="19">
        <v>3</v>
      </c>
      <c r="I137" s="19">
        <v>2205.6</v>
      </c>
      <c r="J137" s="19">
        <v>6616.8</v>
      </c>
    </row>
    <row r="138" ht="26.75" spans="1:10">
      <c r="A138" s="18" t="s">
        <v>1981</v>
      </c>
      <c r="B138" s="19" t="s">
        <v>1861</v>
      </c>
      <c r="C138" s="19" t="s">
        <v>1849</v>
      </c>
      <c r="D138" s="19" t="s">
        <v>1850</v>
      </c>
      <c r="E138" s="19" t="s">
        <v>1851</v>
      </c>
      <c r="F138" s="19" t="s">
        <v>1876</v>
      </c>
      <c r="G138" s="19" t="s">
        <v>1926</v>
      </c>
      <c r="H138" s="19">
        <v>10</v>
      </c>
      <c r="I138" s="19">
        <v>4282.18</v>
      </c>
      <c r="J138" s="19">
        <v>42821.8</v>
      </c>
    </row>
    <row r="139" ht="15.25" spans="1:10">
      <c r="A139" s="18" t="s">
        <v>1982</v>
      </c>
      <c r="B139" s="19" t="s">
        <v>1871</v>
      </c>
      <c r="C139" s="19" t="s">
        <v>1602</v>
      </c>
      <c r="D139" s="19" t="s">
        <v>1862</v>
      </c>
      <c r="E139" s="19" t="s">
        <v>1858</v>
      </c>
      <c r="F139" s="19" t="s">
        <v>1859</v>
      </c>
      <c r="G139" s="19" t="s">
        <v>1860</v>
      </c>
      <c r="H139" s="19">
        <v>5</v>
      </c>
      <c r="I139" s="19">
        <v>4252.84</v>
      </c>
      <c r="J139" s="19">
        <v>21264.2</v>
      </c>
    </row>
    <row r="140" ht="15.25" spans="1:10">
      <c r="A140" s="18">
        <v>45139</v>
      </c>
      <c r="B140" s="19" t="s">
        <v>1855</v>
      </c>
      <c r="C140" s="19" t="s">
        <v>1589</v>
      </c>
      <c r="D140" s="19" t="s">
        <v>1884</v>
      </c>
      <c r="E140" s="19" t="s">
        <v>1895</v>
      </c>
      <c r="F140" s="19" t="s">
        <v>1852</v>
      </c>
      <c r="G140" s="19" t="s">
        <v>1950</v>
      </c>
      <c r="H140" s="19">
        <v>3</v>
      </c>
      <c r="I140" s="19">
        <v>916.33</v>
      </c>
      <c r="J140" s="19">
        <v>2748.99</v>
      </c>
    </row>
    <row r="141" ht="15.25" spans="1:10">
      <c r="A141" s="18" t="s">
        <v>1983</v>
      </c>
      <c r="B141" s="19" t="s">
        <v>1855</v>
      </c>
      <c r="C141" s="19" t="s">
        <v>1610</v>
      </c>
      <c r="D141" s="19" t="s">
        <v>1879</v>
      </c>
      <c r="E141" s="19" t="s">
        <v>1851</v>
      </c>
      <c r="F141" s="19" t="s">
        <v>1852</v>
      </c>
      <c r="G141" s="19" t="s">
        <v>1950</v>
      </c>
      <c r="H141" s="19">
        <v>3</v>
      </c>
      <c r="I141" s="19">
        <v>1270.15</v>
      </c>
      <c r="J141" s="19">
        <v>3810.45</v>
      </c>
    </row>
    <row r="142" ht="15.25" spans="1:10">
      <c r="A142" s="18">
        <v>45232</v>
      </c>
      <c r="B142" s="19" t="s">
        <v>1861</v>
      </c>
      <c r="C142" s="19" t="s">
        <v>1856</v>
      </c>
      <c r="D142" s="19" t="s">
        <v>1857</v>
      </c>
      <c r="E142" s="19" t="s">
        <v>1858</v>
      </c>
      <c r="F142" s="19" t="s">
        <v>1852</v>
      </c>
      <c r="G142" s="19" t="s">
        <v>1910</v>
      </c>
      <c r="H142" s="19">
        <v>6</v>
      </c>
      <c r="I142" s="19">
        <v>1750.35</v>
      </c>
      <c r="J142" s="19">
        <v>10502.1</v>
      </c>
    </row>
    <row r="143" ht="15.25" spans="1:10">
      <c r="A143" s="18" t="s">
        <v>1984</v>
      </c>
      <c r="B143" s="19" t="s">
        <v>1848</v>
      </c>
      <c r="C143" s="19" t="s">
        <v>1856</v>
      </c>
      <c r="D143" s="19" t="s">
        <v>1857</v>
      </c>
      <c r="E143" s="19" t="s">
        <v>1858</v>
      </c>
      <c r="F143" s="19" t="s">
        <v>1868</v>
      </c>
      <c r="G143" s="19" t="s">
        <v>1869</v>
      </c>
      <c r="H143" s="19">
        <v>6</v>
      </c>
      <c r="I143" s="19">
        <v>1105.03</v>
      </c>
      <c r="J143" s="19">
        <v>6630.18</v>
      </c>
    </row>
    <row r="144" ht="15.25" spans="1:10">
      <c r="A144" s="18" t="s">
        <v>1985</v>
      </c>
      <c r="B144" s="19" t="s">
        <v>1878</v>
      </c>
      <c r="C144" s="19" t="s">
        <v>1856</v>
      </c>
      <c r="D144" s="19" t="s">
        <v>1857</v>
      </c>
      <c r="E144" s="19" t="s">
        <v>1858</v>
      </c>
      <c r="F144" s="19" t="s">
        <v>1852</v>
      </c>
      <c r="G144" s="19" t="s">
        <v>1853</v>
      </c>
      <c r="H144" s="19">
        <v>17</v>
      </c>
      <c r="I144" s="19">
        <v>1801.69</v>
      </c>
      <c r="J144" s="19">
        <v>30628.73</v>
      </c>
    </row>
    <row r="145" ht="15.25" spans="1:10">
      <c r="A145" s="18">
        <v>45176</v>
      </c>
      <c r="B145" s="19" t="s">
        <v>1889</v>
      </c>
      <c r="C145" s="19" t="s">
        <v>1906</v>
      </c>
      <c r="D145" s="19" t="s">
        <v>1862</v>
      </c>
      <c r="E145" s="19" t="s">
        <v>1858</v>
      </c>
      <c r="F145" s="19" t="s">
        <v>1876</v>
      </c>
      <c r="G145" s="19" t="s">
        <v>1877</v>
      </c>
      <c r="H145" s="19">
        <v>19</v>
      </c>
      <c r="I145" s="19">
        <v>717.29</v>
      </c>
      <c r="J145" s="19">
        <v>13628.51</v>
      </c>
    </row>
    <row r="146" ht="15.25" spans="1:10">
      <c r="A146" s="18" t="s">
        <v>1962</v>
      </c>
      <c r="B146" s="19" t="s">
        <v>1861</v>
      </c>
      <c r="C146" s="19" t="s">
        <v>1941</v>
      </c>
      <c r="D146" s="19" t="s">
        <v>1879</v>
      </c>
      <c r="E146" s="19" t="s">
        <v>1851</v>
      </c>
      <c r="F146" s="19" t="s">
        <v>1859</v>
      </c>
      <c r="G146" s="19" t="s">
        <v>1922</v>
      </c>
      <c r="H146" s="19">
        <v>2</v>
      </c>
      <c r="I146" s="19">
        <v>4547.16</v>
      </c>
      <c r="J146" s="19">
        <v>9094.32</v>
      </c>
    </row>
    <row r="147" ht="15.25" spans="1:10">
      <c r="A147" s="18">
        <v>45027</v>
      </c>
      <c r="B147" s="19" t="s">
        <v>1878</v>
      </c>
      <c r="C147" s="19" t="s">
        <v>1589</v>
      </c>
      <c r="D147" s="19" t="s">
        <v>1884</v>
      </c>
      <c r="E147" s="19" t="s">
        <v>1895</v>
      </c>
      <c r="F147" s="19" t="s">
        <v>1865</v>
      </c>
      <c r="G147" s="19" t="s">
        <v>1866</v>
      </c>
      <c r="H147" s="19">
        <v>2</v>
      </c>
      <c r="I147" s="19">
        <v>4818.49</v>
      </c>
      <c r="J147" s="19">
        <v>9636.98</v>
      </c>
    </row>
    <row r="148" ht="15.25" spans="1:10">
      <c r="A148" s="18">
        <v>45210</v>
      </c>
      <c r="B148" s="19" t="s">
        <v>1867</v>
      </c>
      <c r="C148" s="19" t="s">
        <v>1626</v>
      </c>
      <c r="D148" s="19" t="s">
        <v>1857</v>
      </c>
      <c r="E148" s="19" t="s">
        <v>1858</v>
      </c>
      <c r="F148" s="19" t="s">
        <v>1859</v>
      </c>
      <c r="G148" s="19" t="s">
        <v>1860</v>
      </c>
      <c r="H148" s="19">
        <v>14</v>
      </c>
      <c r="I148" s="19">
        <v>1410.91</v>
      </c>
      <c r="J148" s="19">
        <v>19752.74</v>
      </c>
    </row>
    <row r="149" ht="15.25" spans="1:10">
      <c r="A149" s="18" t="s">
        <v>1986</v>
      </c>
      <c r="B149" s="19" t="s">
        <v>1902</v>
      </c>
      <c r="C149" s="19" t="s">
        <v>1602</v>
      </c>
      <c r="D149" s="19" t="s">
        <v>1862</v>
      </c>
      <c r="E149" s="19" t="s">
        <v>1858</v>
      </c>
      <c r="F149" s="19" t="s">
        <v>1865</v>
      </c>
      <c r="G149" s="19" t="s">
        <v>1866</v>
      </c>
      <c r="H149" s="19">
        <v>20</v>
      </c>
      <c r="I149" s="19">
        <v>239.35</v>
      </c>
      <c r="J149" s="19">
        <v>4787</v>
      </c>
    </row>
    <row r="150" ht="15.25" spans="1:10">
      <c r="A150" s="18">
        <v>44963</v>
      </c>
      <c r="B150" s="19" t="s">
        <v>1871</v>
      </c>
      <c r="C150" s="19" t="s">
        <v>1941</v>
      </c>
      <c r="D150" s="19" t="s">
        <v>1879</v>
      </c>
      <c r="E150" s="19" t="s">
        <v>1851</v>
      </c>
      <c r="F150" s="19" t="s">
        <v>1859</v>
      </c>
      <c r="G150" s="19" t="s">
        <v>1922</v>
      </c>
      <c r="H150" s="19">
        <v>16</v>
      </c>
      <c r="I150" s="19">
        <v>4096.74</v>
      </c>
      <c r="J150" s="19">
        <v>65547.84</v>
      </c>
    </row>
    <row r="151" ht="15.25" spans="1:10">
      <c r="A151" s="18" t="s">
        <v>1987</v>
      </c>
      <c r="B151" s="19" t="s">
        <v>1871</v>
      </c>
      <c r="C151" s="19" t="s">
        <v>1626</v>
      </c>
      <c r="D151" s="19" t="s">
        <v>1857</v>
      </c>
      <c r="E151" s="19" t="s">
        <v>1858</v>
      </c>
      <c r="F151" s="19" t="s">
        <v>1859</v>
      </c>
      <c r="G151" s="19" t="s">
        <v>1872</v>
      </c>
      <c r="H151" s="19">
        <v>14</v>
      </c>
      <c r="I151" s="19">
        <v>3507.25</v>
      </c>
      <c r="J151" s="19">
        <v>49101.5</v>
      </c>
    </row>
    <row r="152" ht="26.75" spans="1:10">
      <c r="A152" s="18" t="s">
        <v>1988</v>
      </c>
      <c r="B152" s="19" t="s">
        <v>1867</v>
      </c>
      <c r="C152" s="19" t="s">
        <v>1598</v>
      </c>
      <c r="D152" s="19" t="s">
        <v>1850</v>
      </c>
      <c r="E152" s="19" t="s">
        <v>1851</v>
      </c>
      <c r="F152" s="19" t="s">
        <v>1859</v>
      </c>
      <c r="G152" s="19" t="s">
        <v>1922</v>
      </c>
      <c r="H152" s="19">
        <v>16</v>
      </c>
      <c r="I152" s="19">
        <v>4507.37</v>
      </c>
      <c r="J152" s="19">
        <v>72117.92</v>
      </c>
    </row>
    <row r="153" ht="15.25" spans="1:10">
      <c r="A153" s="18" t="s">
        <v>1943</v>
      </c>
      <c r="B153" s="19" t="s">
        <v>1871</v>
      </c>
      <c r="C153" s="19" t="s">
        <v>1589</v>
      </c>
      <c r="D153" s="19" t="s">
        <v>1884</v>
      </c>
      <c r="E153" s="19" t="s">
        <v>1895</v>
      </c>
      <c r="F153" s="19" t="s">
        <v>1852</v>
      </c>
      <c r="G153" s="19" t="s">
        <v>1910</v>
      </c>
      <c r="H153" s="19">
        <v>10</v>
      </c>
      <c r="I153" s="19">
        <v>239.55</v>
      </c>
      <c r="J153" s="19">
        <v>2395.5</v>
      </c>
    </row>
    <row r="154" ht="26.75" spans="1:10">
      <c r="A154" s="18" t="s">
        <v>1949</v>
      </c>
      <c r="B154" s="19" t="s">
        <v>1848</v>
      </c>
      <c r="C154" s="19" t="s">
        <v>1849</v>
      </c>
      <c r="D154" s="19" t="s">
        <v>1850</v>
      </c>
      <c r="E154" s="19" t="s">
        <v>1851</v>
      </c>
      <c r="F154" s="19" t="s">
        <v>1859</v>
      </c>
      <c r="G154" s="19" t="s">
        <v>1872</v>
      </c>
      <c r="H154" s="19">
        <v>17</v>
      </c>
      <c r="I154" s="19">
        <v>679.78</v>
      </c>
      <c r="J154" s="19">
        <v>11556.26</v>
      </c>
    </row>
    <row r="155" ht="15.25" spans="1:10">
      <c r="A155" s="18" t="s">
        <v>1989</v>
      </c>
      <c r="B155" s="19" t="s">
        <v>1871</v>
      </c>
      <c r="C155" s="19" t="s">
        <v>1875</v>
      </c>
      <c r="D155" s="19" t="s">
        <v>1862</v>
      </c>
      <c r="E155" s="19" t="s">
        <v>1858</v>
      </c>
      <c r="F155" s="19" t="s">
        <v>1852</v>
      </c>
      <c r="G155" s="19" t="s">
        <v>1950</v>
      </c>
      <c r="H155" s="19">
        <v>18</v>
      </c>
      <c r="I155" s="19">
        <v>2658.57</v>
      </c>
      <c r="J155" s="19">
        <v>47854.26</v>
      </c>
    </row>
    <row r="156" ht="15.25" spans="1:10">
      <c r="A156" s="18" t="s">
        <v>1967</v>
      </c>
      <c r="B156" s="19" t="s">
        <v>1889</v>
      </c>
      <c r="C156" s="19" t="s">
        <v>1856</v>
      </c>
      <c r="D156" s="19" t="s">
        <v>1857</v>
      </c>
      <c r="E156" s="19" t="s">
        <v>1858</v>
      </c>
      <c r="F156" s="19" t="s">
        <v>1852</v>
      </c>
      <c r="G156" s="19" t="s">
        <v>1853</v>
      </c>
      <c r="H156" s="19">
        <v>18</v>
      </c>
      <c r="I156" s="19">
        <v>4937.99</v>
      </c>
      <c r="J156" s="19">
        <v>88883.82</v>
      </c>
    </row>
    <row r="157" ht="15.25" spans="1:10">
      <c r="A157" s="18" t="s">
        <v>1971</v>
      </c>
      <c r="B157" s="19" t="s">
        <v>1889</v>
      </c>
      <c r="C157" s="19" t="s">
        <v>1898</v>
      </c>
      <c r="D157" s="19" t="s">
        <v>1879</v>
      </c>
      <c r="E157" s="19" t="s">
        <v>1851</v>
      </c>
      <c r="F157" s="19" t="s">
        <v>1852</v>
      </c>
      <c r="G157" s="19" t="s">
        <v>1934</v>
      </c>
      <c r="H157" s="19">
        <v>17</v>
      </c>
      <c r="I157" s="19">
        <v>3421.31</v>
      </c>
      <c r="J157" s="19">
        <v>58162.27</v>
      </c>
    </row>
    <row r="158" ht="15.25" spans="1:10">
      <c r="A158" s="18" t="s">
        <v>1982</v>
      </c>
      <c r="B158" s="19" t="s">
        <v>1902</v>
      </c>
      <c r="C158" s="19" t="s">
        <v>1903</v>
      </c>
      <c r="D158" s="19" t="s">
        <v>1884</v>
      </c>
      <c r="E158" s="19" t="s">
        <v>1895</v>
      </c>
      <c r="F158" s="19" t="s">
        <v>1876</v>
      </c>
      <c r="G158" s="19" t="s">
        <v>1877</v>
      </c>
      <c r="H158" s="19">
        <v>4</v>
      </c>
      <c r="I158" s="19">
        <v>1555.9</v>
      </c>
      <c r="J158" s="19">
        <v>6223.6</v>
      </c>
    </row>
    <row r="159" ht="26.75" spans="1:10">
      <c r="A159" s="18" t="s">
        <v>1990</v>
      </c>
      <c r="B159" s="19" t="s">
        <v>1874</v>
      </c>
      <c r="C159" s="19" t="s">
        <v>1598</v>
      </c>
      <c r="D159" s="19" t="s">
        <v>1850</v>
      </c>
      <c r="E159" s="19" t="s">
        <v>1851</v>
      </c>
      <c r="F159" s="19" t="s">
        <v>1876</v>
      </c>
      <c r="G159" s="19" t="s">
        <v>1877</v>
      </c>
      <c r="H159" s="19">
        <v>12</v>
      </c>
      <c r="I159" s="19">
        <v>932.42</v>
      </c>
      <c r="J159" s="19">
        <v>11189.04</v>
      </c>
    </row>
    <row r="160" ht="15.25" spans="1:10">
      <c r="A160" s="18" t="s">
        <v>1973</v>
      </c>
      <c r="B160" s="19" t="s">
        <v>1871</v>
      </c>
      <c r="C160" s="19" t="s">
        <v>1875</v>
      </c>
      <c r="D160" s="19" t="s">
        <v>1862</v>
      </c>
      <c r="E160" s="19" t="s">
        <v>1858</v>
      </c>
      <c r="F160" s="19" t="s">
        <v>1852</v>
      </c>
      <c r="G160" s="19" t="s">
        <v>1950</v>
      </c>
      <c r="H160" s="19">
        <v>20</v>
      </c>
      <c r="I160" s="19">
        <v>459.48</v>
      </c>
      <c r="J160" s="19">
        <v>9189.6</v>
      </c>
    </row>
    <row r="161" ht="15.25" spans="1:10">
      <c r="A161" s="18" t="s">
        <v>1963</v>
      </c>
      <c r="B161" s="19" t="s">
        <v>1855</v>
      </c>
      <c r="C161" s="19" t="s">
        <v>1602</v>
      </c>
      <c r="D161" s="19" t="s">
        <v>1862</v>
      </c>
      <c r="E161" s="19" t="s">
        <v>1858</v>
      </c>
      <c r="F161" s="19" t="s">
        <v>1876</v>
      </c>
      <c r="G161" s="19" t="s">
        <v>1926</v>
      </c>
      <c r="H161" s="19">
        <v>5</v>
      </c>
      <c r="I161" s="19">
        <v>568.87</v>
      </c>
      <c r="J161" s="19">
        <v>2844.35</v>
      </c>
    </row>
    <row r="162" ht="15.25" spans="1:10">
      <c r="A162" s="18" t="s">
        <v>1958</v>
      </c>
      <c r="B162" s="19" t="s">
        <v>1861</v>
      </c>
      <c r="C162" s="19" t="s">
        <v>1906</v>
      </c>
      <c r="D162" s="19" t="s">
        <v>1862</v>
      </c>
      <c r="E162" s="19" t="s">
        <v>1858</v>
      </c>
      <c r="F162" s="19" t="s">
        <v>1865</v>
      </c>
      <c r="G162" s="19" t="s">
        <v>1920</v>
      </c>
      <c r="H162" s="19">
        <v>10</v>
      </c>
      <c r="I162" s="19">
        <v>1468.96</v>
      </c>
      <c r="J162" s="19">
        <v>14689.6</v>
      </c>
    </row>
    <row r="163" ht="15.25" spans="1:10">
      <c r="A163" s="18" t="s">
        <v>1981</v>
      </c>
      <c r="B163" s="19" t="s">
        <v>1902</v>
      </c>
      <c r="C163" s="19" t="s">
        <v>1903</v>
      </c>
      <c r="D163" s="19" t="s">
        <v>1884</v>
      </c>
      <c r="E163" s="19" t="s">
        <v>1895</v>
      </c>
      <c r="F163" s="19" t="s">
        <v>1852</v>
      </c>
      <c r="G163" s="19" t="s">
        <v>1950</v>
      </c>
      <c r="H163" s="19">
        <v>6</v>
      </c>
      <c r="I163" s="19">
        <v>3080.25</v>
      </c>
      <c r="J163" s="19">
        <v>18481.5</v>
      </c>
    </row>
    <row r="164" ht="15.25" spans="1:10">
      <c r="A164" s="18" t="s">
        <v>1991</v>
      </c>
      <c r="B164" s="19" t="s">
        <v>1902</v>
      </c>
      <c r="C164" s="19" t="s">
        <v>1602</v>
      </c>
      <c r="D164" s="19" t="s">
        <v>1862</v>
      </c>
      <c r="E164" s="19" t="s">
        <v>1858</v>
      </c>
      <c r="F164" s="19" t="s">
        <v>1865</v>
      </c>
      <c r="G164" s="19" t="s">
        <v>1886</v>
      </c>
      <c r="H164" s="19">
        <v>11</v>
      </c>
      <c r="I164" s="19">
        <v>1817.43</v>
      </c>
      <c r="J164" s="19">
        <v>19991.73</v>
      </c>
    </row>
    <row r="165" ht="15.25" spans="1:10">
      <c r="A165" s="18" t="s">
        <v>1992</v>
      </c>
      <c r="B165" s="19" t="s">
        <v>1848</v>
      </c>
      <c r="C165" s="19" t="s">
        <v>1589</v>
      </c>
      <c r="D165" s="19" t="s">
        <v>1884</v>
      </c>
      <c r="E165" s="19" t="s">
        <v>1895</v>
      </c>
      <c r="F165" s="19" t="s">
        <v>1859</v>
      </c>
      <c r="G165" s="19" t="s">
        <v>1922</v>
      </c>
      <c r="H165" s="19">
        <v>19</v>
      </c>
      <c r="I165" s="19">
        <v>3800.55</v>
      </c>
      <c r="J165" s="19">
        <v>72210.45</v>
      </c>
    </row>
    <row r="166" ht="15.25" spans="1:10">
      <c r="A166" s="18" t="s">
        <v>1993</v>
      </c>
      <c r="B166" s="19" t="s">
        <v>1874</v>
      </c>
      <c r="C166" s="19" t="s">
        <v>1941</v>
      </c>
      <c r="D166" s="19" t="s">
        <v>1879</v>
      </c>
      <c r="E166" s="19" t="s">
        <v>1851</v>
      </c>
      <c r="F166" s="19" t="s">
        <v>1876</v>
      </c>
      <c r="G166" s="19" t="s">
        <v>1877</v>
      </c>
      <c r="H166" s="19">
        <v>17</v>
      </c>
      <c r="I166" s="19">
        <v>2809.13</v>
      </c>
      <c r="J166" s="19">
        <v>47755.21</v>
      </c>
    </row>
    <row r="167" ht="15.25" spans="1:10">
      <c r="A167" s="18">
        <v>45083</v>
      </c>
      <c r="B167" s="19" t="s">
        <v>1861</v>
      </c>
      <c r="C167" s="19" t="s">
        <v>1875</v>
      </c>
      <c r="D167" s="19" t="s">
        <v>1862</v>
      </c>
      <c r="E167" s="19" t="s">
        <v>1858</v>
      </c>
      <c r="F167" s="19" t="s">
        <v>1859</v>
      </c>
      <c r="G167" s="19" t="s">
        <v>1860</v>
      </c>
      <c r="H167" s="19">
        <v>9</v>
      </c>
      <c r="I167" s="19">
        <v>4712.98</v>
      </c>
      <c r="J167" s="19">
        <v>42416.82</v>
      </c>
    </row>
    <row r="168" ht="15.25" spans="1:10">
      <c r="A168" s="18">
        <v>44969</v>
      </c>
      <c r="B168" s="19" t="s">
        <v>1861</v>
      </c>
      <c r="C168" s="19" t="s">
        <v>1941</v>
      </c>
      <c r="D168" s="19" t="s">
        <v>1879</v>
      </c>
      <c r="E168" s="19" t="s">
        <v>1851</v>
      </c>
      <c r="F168" s="19" t="s">
        <v>1876</v>
      </c>
      <c r="G168" s="19" t="s">
        <v>1930</v>
      </c>
      <c r="H168" s="19">
        <v>1</v>
      </c>
      <c r="I168" s="19">
        <v>4541.77</v>
      </c>
      <c r="J168" s="19">
        <v>4541.77</v>
      </c>
    </row>
    <row r="169" ht="15.25" spans="1:10">
      <c r="A169" s="18">
        <v>44988</v>
      </c>
      <c r="B169" s="19" t="s">
        <v>1878</v>
      </c>
      <c r="C169" s="19" t="s">
        <v>1894</v>
      </c>
      <c r="D169" s="19" t="s">
        <v>1884</v>
      </c>
      <c r="E169" s="19" t="s">
        <v>1895</v>
      </c>
      <c r="F169" s="19" t="s">
        <v>1876</v>
      </c>
      <c r="G169" s="19" t="s">
        <v>1883</v>
      </c>
      <c r="H169" s="19">
        <v>9</v>
      </c>
      <c r="I169" s="19">
        <v>3122.72</v>
      </c>
      <c r="J169" s="19">
        <v>28104.48</v>
      </c>
    </row>
    <row r="170" ht="26.75" spans="1:10">
      <c r="A170" s="18" t="s">
        <v>1986</v>
      </c>
      <c r="B170" s="19" t="s">
        <v>1874</v>
      </c>
      <c r="C170" s="19" t="s">
        <v>1593</v>
      </c>
      <c r="D170" s="19" t="s">
        <v>1850</v>
      </c>
      <c r="E170" s="19" t="s">
        <v>1851</v>
      </c>
      <c r="F170" s="19" t="s">
        <v>1859</v>
      </c>
      <c r="G170" s="19" t="s">
        <v>1922</v>
      </c>
      <c r="H170" s="19">
        <v>9</v>
      </c>
      <c r="I170" s="19">
        <v>4198.92</v>
      </c>
      <c r="J170" s="19">
        <v>37790.28</v>
      </c>
    </row>
    <row r="171" ht="15.25" spans="1:10">
      <c r="A171" s="18">
        <v>45019</v>
      </c>
      <c r="B171" s="19" t="s">
        <v>1871</v>
      </c>
      <c r="C171" s="19" t="s">
        <v>1856</v>
      </c>
      <c r="D171" s="19" t="s">
        <v>1857</v>
      </c>
      <c r="E171" s="19" t="s">
        <v>1858</v>
      </c>
      <c r="F171" s="19" t="s">
        <v>1852</v>
      </c>
      <c r="G171" s="19" t="s">
        <v>1934</v>
      </c>
      <c r="H171" s="19">
        <v>17</v>
      </c>
      <c r="I171" s="19">
        <v>4415.85</v>
      </c>
      <c r="J171" s="19">
        <v>75069.45</v>
      </c>
    </row>
    <row r="172" ht="15.25" spans="1:10">
      <c r="A172" s="18" t="s">
        <v>1994</v>
      </c>
      <c r="B172" s="19" t="s">
        <v>1892</v>
      </c>
      <c r="C172" s="19" t="s">
        <v>1602</v>
      </c>
      <c r="D172" s="19" t="s">
        <v>1862</v>
      </c>
      <c r="E172" s="19" t="s">
        <v>1858</v>
      </c>
      <c r="F172" s="19" t="s">
        <v>1868</v>
      </c>
      <c r="G172" s="19" t="s">
        <v>1907</v>
      </c>
      <c r="H172" s="19">
        <v>16</v>
      </c>
      <c r="I172" s="19">
        <v>4684.86</v>
      </c>
      <c r="J172" s="19">
        <v>74957.76</v>
      </c>
    </row>
    <row r="173" ht="15.25" spans="1:10">
      <c r="A173" s="18" t="s">
        <v>1870</v>
      </c>
      <c r="B173" s="19" t="s">
        <v>1861</v>
      </c>
      <c r="C173" s="19" t="s">
        <v>1602</v>
      </c>
      <c r="D173" s="19" t="s">
        <v>1862</v>
      </c>
      <c r="E173" s="19" t="s">
        <v>1858</v>
      </c>
      <c r="F173" s="19" t="s">
        <v>1852</v>
      </c>
      <c r="G173" s="19" t="s">
        <v>1910</v>
      </c>
      <c r="H173" s="19">
        <v>17</v>
      </c>
      <c r="I173" s="19">
        <v>4156.25</v>
      </c>
      <c r="J173" s="19">
        <v>70656.25</v>
      </c>
    </row>
    <row r="174" ht="15.25" spans="1:10">
      <c r="A174" s="18">
        <v>45051</v>
      </c>
      <c r="B174" s="19" t="s">
        <v>1861</v>
      </c>
      <c r="C174" s="19" t="s">
        <v>1856</v>
      </c>
      <c r="D174" s="19" t="s">
        <v>1857</v>
      </c>
      <c r="E174" s="19" t="s">
        <v>1858</v>
      </c>
      <c r="F174" s="19" t="s">
        <v>1859</v>
      </c>
      <c r="G174" s="19" t="s">
        <v>1922</v>
      </c>
      <c r="H174" s="19">
        <v>10</v>
      </c>
      <c r="I174" s="19">
        <v>3776.8</v>
      </c>
      <c r="J174" s="19">
        <v>37768</v>
      </c>
    </row>
    <row r="175" ht="15.25" spans="1:10">
      <c r="A175" s="18" t="s">
        <v>1921</v>
      </c>
      <c r="B175" s="19" t="s">
        <v>1889</v>
      </c>
      <c r="C175" s="19" t="s">
        <v>1898</v>
      </c>
      <c r="D175" s="19" t="s">
        <v>1879</v>
      </c>
      <c r="E175" s="19" t="s">
        <v>1851</v>
      </c>
      <c r="F175" s="19" t="s">
        <v>1876</v>
      </c>
      <c r="G175" s="19" t="s">
        <v>1877</v>
      </c>
      <c r="H175" s="19">
        <v>8</v>
      </c>
      <c r="I175" s="19">
        <v>310.33</v>
      </c>
      <c r="J175" s="19">
        <v>2482.64</v>
      </c>
    </row>
    <row r="176" ht="15.25" spans="1:10">
      <c r="A176" s="18">
        <v>45051</v>
      </c>
      <c r="B176" s="19" t="s">
        <v>1871</v>
      </c>
      <c r="C176" s="19" t="s">
        <v>1941</v>
      </c>
      <c r="D176" s="19" t="s">
        <v>1879</v>
      </c>
      <c r="E176" s="19" t="s">
        <v>1851</v>
      </c>
      <c r="F176" s="19" t="s">
        <v>1868</v>
      </c>
      <c r="G176" s="19" t="s">
        <v>1899</v>
      </c>
      <c r="H176" s="19">
        <v>5</v>
      </c>
      <c r="I176" s="19">
        <v>1313.4</v>
      </c>
      <c r="J176" s="19">
        <v>6567</v>
      </c>
    </row>
    <row r="177" ht="26.75" spans="1:10">
      <c r="A177" s="18" t="s">
        <v>1995</v>
      </c>
      <c r="B177" s="19" t="s">
        <v>1902</v>
      </c>
      <c r="C177" s="19" t="s">
        <v>1849</v>
      </c>
      <c r="D177" s="19" t="s">
        <v>1850</v>
      </c>
      <c r="E177" s="19" t="s">
        <v>1851</v>
      </c>
      <c r="F177" s="19" t="s">
        <v>1868</v>
      </c>
      <c r="G177" s="19" t="s">
        <v>1907</v>
      </c>
      <c r="H177" s="19">
        <v>6</v>
      </c>
      <c r="I177" s="19">
        <v>2332.11</v>
      </c>
      <c r="J177" s="19">
        <v>13992.66</v>
      </c>
    </row>
    <row r="178" ht="15.25" spans="1:10">
      <c r="A178" s="18" t="s">
        <v>1996</v>
      </c>
      <c r="B178" s="19" t="s">
        <v>1855</v>
      </c>
      <c r="C178" s="19" t="s">
        <v>1589</v>
      </c>
      <c r="D178" s="19" t="s">
        <v>1884</v>
      </c>
      <c r="E178" s="19" t="s">
        <v>1895</v>
      </c>
      <c r="F178" s="19" t="s">
        <v>1859</v>
      </c>
      <c r="G178" s="19" t="s">
        <v>1947</v>
      </c>
      <c r="H178" s="19">
        <v>3</v>
      </c>
      <c r="I178" s="19">
        <v>4955.22</v>
      </c>
      <c r="J178" s="19">
        <v>14865.66</v>
      </c>
    </row>
    <row r="179" ht="26.75" spans="1:10">
      <c r="A179" s="18" t="s">
        <v>1997</v>
      </c>
      <c r="B179" s="19" t="s">
        <v>1855</v>
      </c>
      <c r="C179" s="19" t="s">
        <v>1849</v>
      </c>
      <c r="D179" s="19" t="s">
        <v>1850</v>
      </c>
      <c r="E179" s="19" t="s">
        <v>1851</v>
      </c>
      <c r="F179" s="19" t="s">
        <v>1852</v>
      </c>
      <c r="G179" s="19" t="s">
        <v>1853</v>
      </c>
      <c r="H179" s="19">
        <v>17</v>
      </c>
      <c r="I179" s="19">
        <v>3827.64</v>
      </c>
      <c r="J179" s="19">
        <v>65069.88</v>
      </c>
    </row>
    <row r="180" ht="15.25" spans="1:10">
      <c r="A180" s="18">
        <v>45025</v>
      </c>
      <c r="B180" s="19" t="s">
        <v>1848</v>
      </c>
      <c r="C180" s="19" t="s">
        <v>1898</v>
      </c>
      <c r="D180" s="19" t="s">
        <v>1879</v>
      </c>
      <c r="E180" s="19" t="s">
        <v>1851</v>
      </c>
      <c r="F180" s="19" t="s">
        <v>1865</v>
      </c>
      <c r="G180" s="19" t="s">
        <v>1866</v>
      </c>
      <c r="H180" s="19">
        <v>17</v>
      </c>
      <c r="I180" s="19">
        <v>3857.33</v>
      </c>
      <c r="J180" s="19">
        <v>65574.61</v>
      </c>
    </row>
    <row r="181" ht="15.25" spans="1:10">
      <c r="A181" s="18" t="s">
        <v>1998</v>
      </c>
      <c r="B181" s="19" t="s">
        <v>1861</v>
      </c>
      <c r="C181" s="19" t="s">
        <v>1864</v>
      </c>
      <c r="D181" s="19" t="s">
        <v>1857</v>
      </c>
      <c r="E181" s="19" t="s">
        <v>1858</v>
      </c>
      <c r="F181" s="19" t="s">
        <v>1865</v>
      </c>
      <c r="G181" s="19" t="s">
        <v>1890</v>
      </c>
      <c r="H181" s="19">
        <v>8</v>
      </c>
      <c r="I181" s="19">
        <v>1421.21</v>
      </c>
      <c r="J181" s="19">
        <v>11369.68</v>
      </c>
    </row>
    <row r="182" ht="26.75" spans="1:10">
      <c r="A182" s="18" t="s">
        <v>1999</v>
      </c>
      <c r="B182" s="19" t="s">
        <v>1855</v>
      </c>
      <c r="C182" s="19" t="s">
        <v>1593</v>
      </c>
      <c r="D182" s="19" t="s">
        <v>1850</v>
      </c>
      <c r="E182" s="19" t="s">
        <v>1851</v>
      </c>
      <c r="F182" s="19" t="s">
        <v>1868</v>
      </c>
      <c r="G182" s="19" t="s">
        <v>1917</v>
      </c>
      <c r="H182" s="19">
        <v>1</v>
      </c>
      <c r="I182" s="19">
        <v>1544.87</v>
      </c>
      <c r="J182" s="19">
        <v>1544.87</v>
      </c>
    </row>
    <row r="183" ht="15.25" spans="1:10">
      <c r="A183" s="18" t="s">
        <v>2000</v>
      </c>
      <c r="B183" s="19" t="s">
        <v>1861</v>
      </c>
      <c r="C183" s="19" t="s">
        <v>1898</v>
      </c>
      <c r="D183" s="19" t="s">
        <v>1879</v>
      </c>
      <c r="E183" s="19" t="s">
        <v>1851</v>
      </c>
      <c r="F183" s="19" t="s">
        <v>1868</v>
      </c>
      <c r="G183" s="19" t="s">
        <v>1907</v>
      </c>
      <c r="H183" s="19">
        <v>14</v>
      </c>
      <c r="I183" s="19">
        <v>2764.71</v>
      </c>
      <c r="J183" s="19">
        <v>38705.94</v>
      </c>
    </row>
    <row r="184" ht="15.25" spans="1:10">
      <c r="A184" s="18">
        <v>45023</v>
      </c>
      <c r="B184" s="19" t="s">
        <v>1874</v>
      </c>
      <c r="C184" s="19" t="s">
        <v>1875</v>
      </c>
      <c r="D184" s="19" t="s">
        <v>1862</v>
      </c>
      <c r="E184" s="19" t="s">
        <v>1858</v>
      </c>
      <c r="F184" s="19" t="s">
        <v>1865</v>
      </c>
      <c r="G184" s="19" t="s">
        <v>1866</v>
      </c>
      <c r="H184" s="19">
        <v>9</v>
      </c>
      <c r="I184" s="19">
        <v>2210.8</v>
      </c>
      <c r="J184" s="19">
        <v>19897.2</v>
      </c>
    </row>
    <row r="185" ht="15.25" spans="1:10">
      <c r="A185" s="18">
        <v>44958</v>
      </c>
      <c r="B185" s="19" t="s">
        <v>1861</v>
      </c>
      <c r="C185" s="19" t="s">
        <v>1626</v>
      </c>
      <c r="D185" s="19" t="s">
        <v>1857</v>
      </c>
      <c r="E185" s="19" t="s">
        <v>1858</v>
      </c>
      <c r="F185" s="19" t="s">
        <v>1852</v>
      </c>
      <c r="G185" s="19" t="s">
        <v>1950</v>
      </c>
      <c r="H185" s="19">
        <v>3</v>
      </c>
      <c r="I185" s="19">
        <v>4359.9</v>
      </c>
      <c r="J185" s="19">
        <v>13079.7</v>
      </c>
    </row>
    <row r="186" ht="15.25" spans="1:10">
      <c r="A186" s="18" t="s">
        <v>1909</v>
      </c>
      <c r="B186" s="19" t="s">
        <v>1889</v>
      </c>
      <c r="C186" s="19" t="s">
        <v>1602</v>
      </c>
      <c r="D186" s="19" t="s">
        <v>1862</v>
      </c>
      <c r="E186" s="19" t="s">
        <v>1858</v>
      </c>
      <c r="F186" s="19" t="s">
        <v>1852</v>
      </c>
      <c r="G186" s="19" t="s">
        <v>1853</v>
      </c>
      <c r="H186" s="19">
        <v>7</v>
      </c>
      <c r="I186" s="19">
        <v>3836.77</v>
      </c>
      <c r="J186" s="19">
        <v>26857.39</v>
      </c>
    </row>
    <row r="187" ht="15.25" spans="1:10">
      <c r="A187" s="18" t="s">
        <v>2001</v>
      </c>
      <c r="B187" s="19" t="s">
        <v>1878</v>
      </c>
      <c r="C187" s="19" t="s">
        <v>1898</v>
      </c>
      <c r="D187" s="19" t="s">
        <v>1879</v>
      </c>
      <c r="E187" s="19" t="s">
        <v>1851</v>
      </c>
      <c r="F187" s="19" t="s">
        <v>1859</v>
      </c>
      <c r="G187" s="19" t="s">
        <v>1922</v>
      </c>
      <c r="H187" s="19">
        <v>7</v>
      </c>
      <c r="I187" s="19">
        <v>560.58</v>
      </c>
      <c r="J187" s="19">
        <v>3924.06</v>
      </c>
    </row>
    <row r="188" ht="15.25" spans="1:10">
      <c r="A188" s="18">
        <v>45266</v>
      </c>
      <c r="B188" s="19" t="s">
        <v>1871</v>
      </c>
      <c r="C188" s="19" t="s">
        <v>1894</v>
      </c>
      <c r="D188" s="19" t="s">
        <v>1884</v>
      </c>
      <c r="E188" s="19" t="s">
        <v>1895</v>
      </c>
      <c r="F188" s="19" t="s">
        <v>1876</v>
      </c>
      <c r="G188" s="19" t="s">
        <v>1877</v>
      </c>
      <c r="H188" s="19">
        <v>17</v>
      </c>
      <c r="I188" s="19">
        <v>1574.45</v>
      </c>
      <c r="J188" s="19">
        <v>26765.65</v>
      </c>
    </row>
    <row r="189" ht="15.25" spans="1:10">
      <c r="A189" s="18">
        <v>44960</v>
      </c>
      <c r="B189" s="19" t="s">
        <v>1867</v>
      </c>
      <c r="C189" s="19" t="s">
        <v>1894</v>
      </c>
      <c r="D189" s="19" t="s">
        <v>1884</v>
      </c>
      <c r="E189" s="19" t="s">
        <v>1895</v>
      </c>
      <c r="F189" s="19" t="s">
        <v>1852</v>
      </c>
      <c r="G189" s="19" t="s">
        <v>1853</v>
      </c>
      <c r="H189" s="19">
        <v>17</v>
      </c>
      <c r="I189" s="19">
        <v>578.67</v>
      </c>
      <c r="J189" s="19">
        <v>9837.39</v>
      </c>
    </row>
    <row r="190" ht="15.25" spans="1:10">
      <c r="A190" s="18" t="s">
        <v>1944</v>
      </c>
      <c r="B190" s="19" t="s">
        <v>1878</v>
      </c>
      <c r="C190" s="19" t="s">
        <v>1856</v>
      </c>
      <c r="D190" s="19" t="s">
        <v>1857</v>
      </c>
      <c r="E190" s="19" t="s">
        <v>1858</v>
      </c>
      <c r="F190" s="19" t="s">
        <v>1868</v>
      </c>
      <c r="G190" s="19" t="s">
        <v>1869</v>
      </c>
      <c r="H190" s="19">
        <v>19</v>
      </c>
      <c r="I190" s="19">
        <v>1441.02</v>
      </c>
      <c r="J190" s="19">
        <v>27379.38</v>
      </c>
    </row>
    <row r="191" ht="15.25" spans="1:10">
      <c r="A191" s="18" t="s">
        <v>2002</v>
      </c>
      <c r="B191" s="19" t="s">
        <v>1848</v>
      </c>
      <c r="C191" s="19" t="s">
        <v>1626</v>
      </c>
      <c r="D191" s="19" t="s">
        <v>1857</v>
      </c>
      <c r="E191" s="19" t="s">
        <v>1858</v>
      </c>
      <c r="F191" s="19" t="s">
        <v>1852</v>
      </c>
      <c r="G191" s="19" t="s">
        <v>1934</v>
      </c>
      <c r="H191" s="19">
        <v>19</v>
      </c>
      <c r="I191" s="19">
        <v>618.02</v>
      </c>
      <c r="J191" s="19">
        <v>11742.38</v>
      </c>
    </row>
    <row r="192" ht="15.25" spans="1:10">
      <c r="A192" s="18" t="s">
        <v>1988</v>
      </c>
      <c r="B192" s="19" t="s">
        <v>1889</v>
      </c>
      <c r="C192" s="19" t="s">
        <v>1941</v>
      </c>
      <c r="D192" s="19" t="s">
        <v>1879</v>
      </c>
      <c r="E192" s="19" t="s">
        <v>1851</v>
      </c>
      <c r="F192" s="19" t="s">
        <v>1859</v>
      </c>
      <c r="G192" s="19" t="s">
        <v>1872</v>
      </c>
      <c r="H192" s="19">
        <v>15</v>
      </c>
      <c r="I192" s="19">
        <v>4093.93</v>
      </c>
      <c r="J192" s="19">
        <v>61408.95</v>
      </c>
    </row>
    <row r="193" ht="15.25" spans="1:10">
      <c r="A193" s="18" t="s">
        <v>1974</v>
      </c>
      <c r="B193" s="19" t="s">
        <v>1855</v>
      </c>
      <c r="C193" s="19" t="s">
        <v>1610</v>
      </c>
      <c r="D193" s="19" t="s">
        <v>1879</v>
      </c>
      <c r="E193" s="19" t="s">
        <v>1851</v>
      </c>
      <c r="F193" s="19" t="s">
        <v>1852</v>
      </c>
      <c r="G193" s="19" t="s">
        <v>1910</v>
      </c>
      <c r="H193" s="19">
        <v>16</v>
      </c>
      <c r="I193" s="19">
        <v>2714.37</v>
      </c>
      <c r="J193" s="19">
        <v>43429.92</v>
      </c>
    </row>
    <row r="194" ht="15.25" spans="1:10">
      <c r="A194" s="18" t="s">
        <v>1973</v>
      </c>
      <c r="B194" s="19" t="s">
        <v>1874</v>
      </c>
      <c r="C194" s="19" t="s">
        <v>1941</v>
      </c>
      <c r="D194" s="19" t="s">
        <v>1879</v>
      </c>
      <c r="E194" s="19" t="s">
        <v>1851</v>
      </c>
      <c r="F194" s="19" t="s">
        <v>1865</v>
      </c>
      <c r="G194" s="19" t="s">
        <v>1866</v>
      </c>
      <c r="H194" s="19">
        <v>8</v>
      </c>
      <c r="I194" s="19">
        <v>4658.57</v>
      </c>
      <c r="J194" s="19">
        <v>37268.56</v>
      </c>
    </row>
    <row r="195" ht="26.75" spans="1:10">
      <c r="A195" s="18">
        <v>45268</v>
      </c>
      <c r="B195" s="19" t="s">
        <v>1878</v>
      </c>
      <c r="C195" s="19" t="s">
        <v>1849</v>
      </c>
      <c r="D195" s="19" t="s">
        <v>1850</v>
      </c>
      <c r="E195" s="19" t="s">
        <v>1851</v>
      </c>
      <c r="F195" s="19" t="s">
        <v>1859</v>
      </c>
      <c r="G195" s="19" t="s">
        <v>1947</v>
      </c>
      <c r="H195" s="19">
        <v>20</v>
      </c>
      <c r="I195" s="19">
        <v>3203.76</v>
      </c>
      <c r="J195" s="19">
        <v>64075.2</v>
      </c>
    </row>
    <row r="196" ht="15.25" spans="1:10">
      <c r="A196" s="18" t="s">
        <v>1893</v>
      </c>
      <c r="B196" s="19" t="s">
        <v>1878</v>
      </c>
      <c r="C196" s="19" t="s">
        <v>1903</v>
      </c>
      <c r="D196" s="19" t="s">
        <v>1884</v>
      </c>
      <c r="E196" s="19" t="s">
        <v>1895</v>
      </c>
      <c r="F196" s="19" t="s">
        <v>1876</v>
      </c>
      <c r="G196" s="19" t="s">
        <v>1926</v>
      </c>
      <c r="H196" s="19">
        <v>5</v>
      </c>
      <c r="I196" s="19">
        <v>3572.02</v>
      </c>
      <c r="J196" s="19">
        <v>17860.1</v>
      </c>
    </row>
    <row r="197" ht="15.25" spans="1:10">
      <c r="A197" s="18" t="s">
        <v>2003</v>
      </c>
      <c r="B197" s="19" t="s">
        <v>1848</v>
      </c>
      <c r="C197" s="19" t="s">
        <v>1898</v>
      </c>
      <c r="D197" s="19" t="s">
        <v>1879</v>
      </c>
      <c r="E197" s="19" t="s">
        <v>1851</v>
      </c>
      <c r="F197" s="19" t="s">
        <v>1868</v>
      </c>
      <c r="G197" s="19" t="s">
        <v>1917</v>
      </c>
      <c r="H197" s="19">
        <v>4</v>
      </c>
      <c r="I197" s="19">
        <v>328.82</v>
      </c>
      <c r="J197" s="19">
        <v>1315.28</v>
      </c>
    </row>
    <row r="198" ht="15.25" spans="1:10">
      <c r="A198" s="18">
        <v>45083</v>
      </c>
      <c r="B198" s="19" t="s">
        <v>1848</v>
      </c>
      <c r="C198" s="19" t="s">
        <v>1589</v>
      </c>
      <c r="D198" s="19" t="s">
        <v>1884</v>
      </c>
      <c r="E198" s="19" t="s">
        <v>1895</v>
      </c>
      <c r="F198" s="19" t="s">
        <v>1859</v>
      </c>
      <c r="G198" s="19" t="s">
        <v>1872</v>
      </c>
      <c r="H198" s="19">
        <v>10</v>
      </c>
      <c r="I198" s="19">
        <v>4210.63</v>
      </c>
      <c r="J198" s="19">
        <v>42106.3</v>
      </c>
    </row>
    <row r="199" ht="15.25" spans="1:10">
      <c r="A199" s="18" t="s">
        <v>2004</v>
      </c>
      <c r="B199" s="19" t="s">
        <v>1867</v>
      </c>
      <c r="C199" s="19" t="s">
        <v>1602</v>
      </c>
      <c r="D199" s="19" t="s">
        <v>1862</v>
      </c>
      <c r="E199" s="19" t="s">
        <v>1858</v>
      </c>
      <c r="F199" s="19" t="s">
        <v>1865</v>
      </c>
      <c r="G199" s="19" t="s">
        <v>1866</v>
      </c>
      <c r="H199" s="19">
        <v>15</v>
      </c>
      <c r="I199" s="19">
        <v>211.9</v>
      </c>
      <c r="J199" s="19">
        <v>3178.5</v>
      </c>
    </row>
    <row r="200" ht="15.25" spans="1:10">
      <c r="A200" s="18" t="s">
        <v>2005</v>
      </c>
      <c r="B200" s="19" t="s">
        <v>1902</v>
      </c>
      <c r="C200" s="19" t="s">
        <v>1903</v>
      </c>
      <c r="D200" s="19" t="s">
        <v>1884</v>
      </c>
      <c r="E200" s="19" t="s">
        <v>1895</v>
      </c>
      <c r="F200" s="19" t="s">
        <v>1852</v>
      </c>
      <c r="G200" s="19" t="s">
        <v>1853</v>
      </c>
      <c r="H200" s="19">
        <v>6</v>
      </c>
      <c r="I200" s="19">
        <v>1847.42</v>
      </c>
      <c r="J200" s="19">
        <v>11084.52</v>
      </c>
    </row>
    <row r="201" ht="15.25" spans="1:10">
      <c r="A201" s="18" t="s">
        <v>2006</v>
      </c>
      <c r="B201" s="19" t="s">
        <v>1855</v>
      </c>
      <c r="C201" s="19" t="s">
        <v>1903</v>
      </c>
      <c r="D201" s="19" t="s">
        <v>1884</v>
      </c>
      <c r="E201" s="19" t="s">
        <v>1895</v>
      </c>
      <c r="F201" s="19" t="s">
        <v>1868</v>
      </c>
      <c r="G201" s="19" t="s">
        <v>1899</v>
      </c>
      <c r="H201" s="19">
        <v>15</v>
      </c>
      <c r="I201" s="19">
        <v>3875.6</v>
      </c>
      <c r="J201" s="19">
        <v>58134</v>
      </c>
    </row>
    <row r="202" ht="15.25" spans="1:10">
      <c r="A202" s="18" t="s">
        <v>2007</v>
      </c>
      <c r="B202" s="19" t="s">
        <v>1874</v>
      </c>
      <c r="C202" s="19" t="s">
        <v>1903</v>
      </c>
      <c r="D202" s="19" t="s">
        <v>1884</v>
      </c>
      <c r="E202" s="19" t="s">
        <v>1895</v>
      </c>
      <c r="F202" s="19" t="s">
        <v>1859</v>
      </c>
      <c r="G202" s="19" t="s">
        <v>1872</v>
      </c>
      <c r="H202" s="19">
        <v>1</v>
      </c>
      <c r="I202" s="19">
        <v>1323.63</v>
      </c>
      <c r="J202" s="19">
        <v>1323.63</v>
      </c>
    </row>
    <row r="203" ht="15.25" spans="1:10">
      <c r="A203" s="18">
        <v>44988</v>
      </c>
      <c r="B203" s="19" t="s">
        <v>1892</v>
      </c>
      <c r="C203" s="19" t="s">
        <v>1898</v>
      </c>
      <c r="D203" s="19" t="s">
        <v>1879</v>
      </c>
      <c r="E203" s="19" t="s">
        <v>1851</v>
      </c>
      <c r="F203" s="19" t="s">
        <v>1876</v>
      </c>
      <c r="G203" s="19" t="s">
        <v>1926</v>
      </c>
      <c r="H203" s="19">
        <v>18</v>
      </c>
      <c r="I203" s="19">
        <v>3916.11</v>
      </c>
      <c r="J203" s="19">
        <v>70489.98</v>
      </c>
    </row>
    <row r="204" ht="15.25" spans="1:10">
      <c r="A204" s="18" t="s">
        <v>2008</v>
      </c>
      <c r="B204" s="19" t="s">
        <v>1861</v>
      </c>
      <c r="C204" s="19" t="s">
        <v>1610</v>
      </c>
      <c r="D204" s="19" t="s">
        <v>1879</v>
      </c>
      <c r="E204" s="19" t="s">
        <v>1851</v>
      </c>
      <c r="F204" s="19" t="s">
        <v>1852</v>
      </c>
      <c r="G204" s="19" t="s">
        <v>1934</v>
      </c>
      <c r="H204" s="19">
        <v>16</v>
      </c>
      <c r="I204" s="19">
        <v>4624.91</v>
      </c>
      <c r="J204" s="19">
        <v>73998.56</v>
      </c>
    </row>
    <row r="205" ht="26.75" spans="1:10">
      <c r="A205" s="18" t="s">
        <v>1885</v>
      </c>
      <c r="B205" s="19" t="s">
        <v>1861</v>
      </c>
      <c r="C205" s="19" t="s">
        <v>1849</v>
      </c>
      <c r="D205" s="19" t="s">
        <v>1850</v>
      </c>
      <c r="E205" s="19" t="s">
        <v>1851</v>
      </c>
      <c r="F205" s="19" t="s">
        <v>1859</v>
      </c>
      <c r="G205" s="19" t="s">
        <v>1947</v>
      </c>
      <c r="H205" s="19">
        <v>8</v>
      </c>
      <c r="I205" s="19">
        <v>4091.1</v>
      </c>
      <c r="J205" s="19">
        <v>32728.8</v>
      </c>
    </row>
    <row r="206" ht="26.75" spans="1:10">
      <c r="A206" s="18" t="s">
        <v>2009</v>
      </c>
      <c r="B206" s="19" t="s">
        <v>1848</v>
      </c>
      <c r="C206" s="19" t="s">
        <v>1849</v>
      </c>
      <c r="D206" s="19" t="s">
        <v>1850</v>
      </c>
      <c r="E206" s="19" t="s">
        <v>1851</v>
      </c>
      <c r="F206" s="19" t="s">
        <v>1852</v>
      </c>
      <c r="G206" s="19" t="s">
        <v>1934</v>
      </c>
      <c r="H206" s="19">
        <v>16</v>
      </c>
      <c r="I206" s="19">
        <v>3369.55</v>
      </c>
      <c r="J206" s="19">
        <v>53912.8</v>
      </c>
    </row>
    <row r="207" ht="15.25" spans="1:10">
      <c r="A207" s="18">
        <v>45209</v>
      </c>
      <c r="B207" s="19" t="s">
        <v>1871</v>
      </c>
      <c r="C207" s="19" t="s">
        <v>1906</v>
      </c>
      <c r="D207" s="19" t="s">
        <v>1862</v>
      </c>
      <c r="E207" s="19" t="s">
        <v>1858</v>
      </c>
      <c r="F207" s="19" t="s">
        <v>1852</v>
      </c>
      <c r="G207" s="19" t="s">
        <v>1910</v>
      </c>
      <c r="H207" s="19">
        <v>3</v>
      </c>
      <c r="I207" s="19">
        <v>3591.92</v>
      </c>
      <c r="J207" s="19">
        <v>10775.76</v>
      </c>
    </row>
    <row r="208" ht="26.75" spans="1:10">
      <c r="A208" s="18" t="s">
        <v>2010</v>
      </c>
      <c r="B208" s="19" t="s">
        <v>1889</v>
      </c>
      <c r="C208" s="19" t="s">
        <v>1593</v>
      </c>
      <c r="D208" s="19" t="s">
        <v>1850</v>
      </c>
      <c r="E208" s="19" t="s">
        <v>1851</v>
      </c>
      <c r="F208" s="19" t="s">
        <v>1865</v>
      </c>
      <c r="G208" s="19" t="s">
        <v>1866</v>
      </c>
      <c r="H208" s="19">
        <v>4</v>
      </c>
      <c r="I208" s="19">
        <v>4298.35</v>
      </c>
      <c r="J208" s="19">
        <v>17193.4</v>
      </c>
    </row>
    <row r="209" ht="15.25" spans="1:10">
      <c r="A209" s="18">
        <v>45115</v>
      </c>
      <c r="B209" s="19" t="s">
        <v>1848</v>
      </c>
      <c r="C209" s="19" t="s">
        <v>1898</v>
      </c>
      <c r="D209" s="19" t="s">
        <v>1879</v>
      </c>
      <c r="E209" s="19" t="s">
        <v>1851</v>
      </c>
      <c r="F209" s="19" t="s">
        <v>1859</v>
      </c>
      <c r="G209" s="19" t="s">
        <v>1922</v>
      </c>
      <c r="H209" s="19">
        <v>11</v>
      </c>
      <c r="I209" s="19">
        <v>3687.73</v>
      </c>
      <c r="J209" s="19">
        <v>40565.03</v>
      </c>
    </row>
    <row r="210" ht="15.25" spans="1:10">
      <c r="A210" s="18" t="s">
        <v>1995</v>
      </c>
      <c r="B210" s="19" t="s">
        <v>1855</v>
      </c>
      <c r="C210" s="19" t="s">
        <v>1610</v>
      </c>
      <c r="D210" s="19" t="s">
        <v>1879</v>
      </c>
      <c r="E210" s="19" t="s">
        <v>1851</v>
      </c>
      <c r="F210" s="19" t="s">
        <v>1868</v>
      </c>
      <c r="G210" s="19" t="s">
        <v>1917</v>
      </c>
      <c r="H210" s="19">
        <v>12</v>
      </c>
      <c r="I210" s="19">
        <v>548.36</v>
      </c>
      <c r="J210" s="19">
        <v>6580.32</v>
      </c>
    </row>
    <row r="211" ht="15.25" spans="1:10">
      <c r="A211" s="18">
        <v>45175</v>
      </c>
      <c r="B211" s="19" t="s">
        <v>1878</v>
      </c>
      <c r="C211" s="19" t="s">
        <v>1602</v>
      </c>
      <c r="D211" s="19" t="s">
        <v>1862</v>
      </c>
      <c r="E211" s="19" t="s">
        <v>1858</v>
      </c>
      <c r="F211" s="19" t="s">
        <v>1865</v>
      </c>
      <c r="G211" s="19" t="s">
        <v>1866</v>
      </c>
      <c r="H211" s="19">
        <v>6</v>
      </c>
      <c r="I211" s="19">
        <v>3931.61</v>
      </c>
      <c r="J211" s="19">
        <v>23589.66</v>
      </c>
    </row>
    <row r="212" ht="26.75" spans="1:10">
      <c r="A212" s="18">
        <v>45237</v>
      </c>
      <c r="B212" s="19" t="s">
        <v>1848</v>
      </c>
      <c r="C212" s="19" t="s">
        <v>1849</v>
      </c>
      <c r="D212" s="19" t="s">
        <v>1850</v>
      </c>
      <c r="E212" s="19" t="s">
        <v>1851</v>
      </c>
      <c r="F212" s="19" t="s">
        <v>1865</v>
      </c>
      <c r="G212" s="19" t="s">
        <v>1886</v>
      </c>
      <c r="H212" s="19">
        <v>18</v>
      </c>
      <c r="I212" s="19">
        <v>1120.1</v>
      </c>
      <c r="J212" s="19">
        <v>20161.8</v>
      </c>
    </row>
    <row r="213" ht="15.25" spans="1:10">
      <c r="A213" s="18" t="s">
        <v>2011</v>
      </c>
      <c r="B213" s="19" t="s">
        <v>1892</v>
      </c>
      <c r="C213" s="19" t="s">
        <v>1875</v>
      </c>
      <c r="D213" s="19" t="s">
        <v>1862</v>
      </c>
      <c r="E213" s="19" t="s">
        <v>1858</v>
      </c>
      <c r="F213" s="19" t="s">
        <v>1859</v>
      </c>
      <c r="G213" s="19" t="s">
        <v>1947</v>
      </c>
      <c r="H213" s="19">
        <v>11</v>
      </c>
      <c r="I213" s="19">
        <v>1473.35</v>
      </c>
      <c r="J213" s="19">
        <v>16206.85</v>
      </c>
    </row>
    <row r="214" ht="15.25" spans="1:10">
      <c r="A214" s="18" t="s">
        <v>2012</v>
      </c>
      <c r="B214" s="19" t="s">
        <v>1867</v>
      </c>
      <c r="C214" s="19" t="s">
        <v>1898</v>
      </c>
      <c r="D214" s="19" t="s">
        <v>1879</v>
      </c>
      <c r="E214" s="19" t="s">
        <v>1851</v>
      </c>
      <c r="F214" s="19" t="s">
        <v>1876</v>
      </c>
      <c r="G214" s="19" t="s">
        <v>1883</v>
      </c>
      <c r="H214" s="19">
        <v>6</v>
      </c>
      <c r="I214" s="19">
        <v>297.27</v>
      </c>
      <c r="J214" s="19">
        <v>1783.62</v>
      </c>
    </row>
    <row r="215" ht="26.75" spans="1:10">
      <c r="A215" s="18" t="s">
        <v>2013</v>
      </c>
      <c r="B215" s="19" t="s">
        <v>1848</v>
      </c>
      <c r="C215" s="19" t="s">
        <v>1593</v>
      </c>
      <c r="D215" s="19" t="s">
        <v>1850</v>
      </c>
      <c r="E215" s="19" t="s">
        <v>1851</v>
      </c>
      <c r="F215" s="19" t="s">
        <v>1868</v>
      </c>
      <c r="G215" s="19" t="s">
        <v>1899</v>
      </c>
      <c r="H215" s="19">
        <v>5</v>
      </c>
      <c r="I215" s="19">
        <v>4872.89</v>
      </c>
      <c r="J215" s="19">
        <v>24364.45</v>
      </c>
    </row>
    <row r="216" ht="15.25" spans="1:10">
      <c r="A216" s="18" t="s">
        <v>1964</v>
      </c>
      <c r="B216" s="19" t="s">
        <v>1874</v>
      </c>
      <c r="C216" s="19" t="s">
        <v>1894</v>
      </c>
      <c r="D216" s="19" t="s">
        <v>1884</v>
      </c>
      <c r="E216" s="19" t="s">
        <v>1895</v>
      </c>
      <c r="F216" s="19" t="s">
        <v>1868</v>
      </c>
      <c r="G216" s="19" t="s">
        <v>1907</v>
      </c>
      <c r="H216" s="19">
        <v>20</v>
      </c>
      <c r="I216" s="19">
        <v>4711.51</v>
      </c>
      <c r="J216" s="19">
        <v>94230.2</v>
      </c>
    </row>
    <row r="217" ht="15.25" spans="1:10">
      <c r="A217" s="18" t="s">
        <v>1971</v>
      </c>
      <c r="B217" s="19" t="s">
        <v>1902</v>
      </c>
      <c r="C217" s="19" t="s">
        <v>1898</v>
      </c>
      <c r="D217" s="19" t="s">
        <v>1879</v>
      </c>
      <c r="E217" s="19" t="s">
        <v>1851</v>
      </c>
      <c r="F217" s="19" t="s">
        <v>1876</v>
      </c>
      <c r="G217" s="19" t="s">
        <v>1883</v>
      </c>
      <c r="H217" s="19">
        <v>5</v>
      </c>
      <c r="I217" s="19">
        <v>4096.54</v>
      </c>
      <c r="J217" s="19">
        <v>20482.7</v>
      </c>
    </row>
    <row r="218" ht="15.25" spans="1:10">
      <c r="A218" s="18" t="s">
        <v>1863</v>
      </c>
      <c r="B218" s="19" t="s">
        <v>1878</v>
      </c>
      <c r="C218" s="19" t="s">
        <v>1894</v>
      </c>
      <c r="D218" s="19" t="s">
        <v>1884</v>
      </c>
      <c r="E218" s="19" t="s">
        <v>1895</v>
      </c>
      <c r="F218" s="19" t="s">
        <v>1868</v>
      </c>
      <c r="G218" s="19" t="s">
        <v>1907</v>
      </c>
      <c r="H218" s="19">
        <v>6</v>
      </c>
      <c r="I218" s="19">
        <v>830.82</v>
      </c>
      <c r="J218" s="19">
        <v>4984.92</v>
      </c>
    </row>
    <row r="219" ht="15.25" spans="1:10">
      <c r="A219" s="18">
        <v>44992</v>
      </c>
      <c r="B219" s="19" t="s">
        <v>1889</v>
      </c>
      <c r="C219" s="19" t="s">
        <v>1903</v>
      </c>
      <c r="D219" s="19" t="s">
        <v>1884</v>
      </c>
      <c r="E219" s="19" t="s">
        <v>1895</v>
      </c>
      <c r="F219" s="19" t="s">
        <v>1868</v>
      </c>
      <c r="G219" s="19" t="s">
        <v>1869</v>
      </c>
      <c r="H219" s="19">
        <v>3</v>
      </c>
      <c r="I219" s="19">
        <v>4637.38</v>
      </c>
      <c r="J219" s="19">
        <v>13912.14</v>
      </c>
    </row>
    <row r="220" ht="15.25" spans="1:10">
      <c r="A220" s="18">
        <v>44959</v>
      </c>
      <c r="B220" s="19" t="s">
        <v>1892</v>
      </c>
      <c r="C220" s="19" t="s">
        <v>1602</v>
      </c>
      <c r="D220" s="19" t="s">
        <v>1862</v>
      </c>
      <c r="E220" s="19" t="s">
        <v>1858</v>
      </c>
      <c r="F220" s="19" t="s">
        <v>1859</v>
      </c>
      <c r="G220" s="19" t="s">
        <v>1860</v>
      </c>
      <c r="H220" s="19">
        <v>5</v>
      </c>
      <c r="I220" s="19">
        <v>3770.1</v>
      </c>
      <c r="J220" s="19">
        <v>18850.5</v>
      </c>
    </row>
    <row r="221" ht="15.25" spans="1:10">
      <c r="A221" s="18" t="s">
        <v>1919</v>
      </c>
      <c r="B221" s="19" t="s">
        <v>1871</v>
      </c>
      <c r="C221" s="19" t="s">
        <v>1906</v>
      </c>
      <c r="D221" s="19" t="s">
        <v>1862</v>
      </c>
      <c r="E221" s="19" t="s">
        <v>1858</v>
      </c>
      <c r="F221" s="19" t="s">
        <v>1868</v>
      </c>
      <c r="G221" s="19" t="s">
        <v>1899</v>
      </c>
      <c r="H221" s="19">
        <v>20</v>
      </c>
      <c r="I221" s="19">
        <v>285.96</v>
      </c>
      <c r="J221" s="19">
        <v>5719.2</v>
      </c>
    </row>
    <row r="222" ht="15.25" spans="1:10">
      <c r="A222" s="18">
        <v>45142</v>
      </c>
      <c r="B222" s="19" t="s">
        <v>1874</v>
      </c>
      <c r="C222" s="19" t="s">
        <v>1903</v>
      </c>
      <c r="D222" s="19" t="s">
        <v>1884</v>
      </c>
      <c r="E222" s="19" t="s">
        <v>1895</v>
      </c>
      <c r="F222" s="19" t="s">
        <v>1852</v>
      </c>
      <c r="G222" s="19" t="s">
        <v>1950</v>
      </c>
      <c r="H222" s="19">
        <v>6</v>
      </c>
      <c r="I222" s="19">
        <v>1912.36</v>
      </c>
      <c r="J222" s="19">
        <v>11474.16</v>
      </c>
    </row>
    <row r="223" ht="15.25" spans="1:10">
      <c r="A223" s="18" t="s">
        <v>2014</v>
      </c>
      <c r="B223" s="19" t="s">
        <v>1855</v>
      </c>
      <c r="C223" s="19" t="s">
        <v>1941</v>
      </c>
      <c r="D223" s="19" t="s">
        <v>1879</v>
      </c>
      <c r="E223" s="19" t="s">
        <v>1851</v>
      </c>
      <c r="F223" s="19" t="s">
        <v>1865</v>
      </c>
      <c r="G223" s="19" t="s">
        <v>1866</v>
      </c>
      <c r="H223" s="19">
        <v>19</v>
      </c>
      <c r="I223" s="19">
        <v>3648.27</v>
      </c>
      <c r="J223" s="19">
        <v>69317.13</v>
      </c>
    </row>
    <row r="224" ht="15.25" spans="1:10">
      <c r="A224" s="18">
        <v>45022</v>
      </c>
      <c r="B224" s="19" t="s">
        <v>1861</v>
      </c>
      <c r="C224" s="19" t="s">
        <v>1602</v>
      </c>
      <c r="D224" s="19" t="s">
        <v>1862</v>
      </c>
      <c r="E224" s="19" t="s">
        <v>1858</v>
      </c>
      <c r="F224" s="19" t="s">
        <v>1852</v>
      </c>
      <c r="G224" s="19" t="s">
        <v>1934</v>
      </c>
      <c r="H224" s="19">
        <v>20</v>
      </c>
      <c r="I224" s="19">
        <v>473.23</v>
      </c>
      <c r="J224" s="19">
        <v>9464.6</v>
      </c>
    </row>
    <row r="225" ht="15.25" spans="1:10">
      <c r="A225" s="18" t="s">
        <v>1939</v>
      </c>
      <c r="B225" s="19" t="s">
        <v>1848</v>
      </c>
      <c r="C225" s="19" t="s">
        <v>1864</v>
      </c>
      <c r="D225" s="19" t="s">
        <v>1857</v>
      </c>
      <c r="E225" s="19" t="s">
        <v>1858</v>
      </c>
      <c r="F225" s="19" t="s">
        <v>1876</v>
      </c>
      <c r="G225" s="19" t="s">
        <v>1877</v>
      </c>
      <c r="H225" s="19">
        <v>16</v>
      </c>
      <c r="I225" s="19">
        <v>1870.47</v>
      </c>
      <c r="J225" s="19">
        <v>29927.52</v>
      </c>
    </row>
    <row r="226" ht="15.25" spans="1:10">
      <c r="A226" s="18" t="s">
        <v>2015</v>
      </c>
      <c r="B226" s="19" t="s">
        <v>1878</v>
      </c>
      <c r="C226" s="19" t="s">
        <v>1589</v>
      </c>
      <c r="D226" s="19" t="s">
        <v>1884</v>
      </c>
      <c r="E226" s="19" t="s">
        <v>1895</v>
      </c>
      <c r="F226" s="19" t="s">
        <v>1868</v>
      </c>
      <c r="G226" s="19" t="s">
        <v>1907</v>
      </c>
      <c r="H226" s="19">
        <v>18</v>
      </c>
      <c r="I226" s="19">
        <v>835.8</v>
      </c>
      <c r="J226" s="19">
        <v>15044.4</v>
      </c>
    </row>
    <row r="227" ht="26.75" spans="1:10">
      <c r="A227" s="18">
        <v>44992</v>
      </c>
      <c r="B227" s="19" t="s">
        <v>1902</v>
      </c>
      <c r="C227" s="19" t="s">
        <v>1849</v>
      </c>
      <c r="D227" s="19" t="s">
        <v>1850</v>
      </c>
      <c r="E227" s="19" t="s">
        <v>1851</v>
      </c>
      <c r="F227" s="19" t="s">
        <v>1859</v>
      </c>
      <c r="G227" s="19" t="s">
        <v>1922</v>
      </c>
      <c r="H227" s="19">
        <v>18</v>
      </c>
      <c r="I227" s="19">
        <v>4850.91</v>
      </c>
      <c r="J227" s="19">
        <v>87316.38</v>
      </c>
    </row>
    <row r="228" ht="26.75" spans="1:10">
      <c r="A228" s="18" t="s">
        <v>1885</v>
      </c>
      <c r="B228" s="19" t="s">
        <v>1861</v>
      </c>
      <c r="C228" s="19" t="s">
        <v>1598</v>
      </c>
      <c r="D228" s="19" t="s">
        <v>1850</v>
      </c>
      <c r="E228" s="19" t="s">
        <v>1851</v>
      </c>
      <c r="F228" s="19" t="s">
        <v>1852</v>
      </c>
      <c r="G228" s="19" t="s">
        <v>1853</v>
      </c>
      <c r="H228" s="19">
        <v>10</v>
      </c>
      <c r="I228" s="19">
        <v>2200.91</v>
      </c>
      <c r="J228" s="19">
        <v>22009.1</v>
      </c>
    </row>
    <row r="229" ht="15.25" spans="1:10">
      <c r="A229" s="18">
        <v>45211</v>
      </c>
      <c r="B229" s="19" t="s">
        <v>1892</v>
      </c>
      <c r="C229" s="19" t="s">
        <v>1875</v>
      </c>
      <c r="D229" s="19" t="s">
        <v>1862</v>
      </c>
      <c r="E229" s="19" t="s">
        <v>1858</v>
      </c>
      <c r="F229" s="19" t="s">
        <v>1876</v>
      </c>
      <c r="G229" s="19" t="s">
        <v>1877</v>
      </c>
      <c r="H229" s="19">
        <v>9</v>
      </c>
      <c r="I229" s="19">
        <v>1694.83</v>
      </c>
      <c r="J229" s="19">
        <v>15253.47</v>
      </c>
    </row>
    <row r="230" ht="15.25" spans="1:10">
      <c r="A230" s="18">
        <v>45079</v>
      </c>
      <c r="B230" s="19" t="s">
        <v>1902</v>
      </c>
      <c r="C230" s="19" t="s">
        <v>1856</v>
      </c>
      <c r="D230" s="19" t="s">
        <v>1857</v>
      </c>
      <c r="E230" s="19" t="s">
        <v>1858</v>
      </c>
      <c r="F230" s="19" t="s">
        <v>1852</v>
      </c>
      <c r="G230" s="19" t="s">
        <v>1934</v>
      </c>
      <c r="H230" s="19">
        <v>10</v>
      </c>
      <c r="I230" s="19">
        <v>1229.56</v>
      </c>
      <c r="J230" s="19">
        <v>12295.6</v>
      </c>
    </row>
    <row r="231" ht="15.25" spans="1:10">
      <c r="A231" s="18" t="s">
        <v>1888</v>
      </c>
      <c r="B231" s="19" t="s">
        <v>1902</v>
      </c>
      <c r="C231" s="19" t="s">
        <v>1898</v>
      </c>
      <c r="D231" s="19" t="s">
        <v>1879</v>
      </c>
      <c r="E231" s="19" t="s">
        <v>1851</v>
      </c>
      <c r="F231" s="19" t="s">
        <v>1868</v>
      </c>
      <c r="G231" s="19" t="s">
        <v>1869</v>
      </c>
      <c r="H231" s="19">
        <v>14</v>
      </c>
      <c r="I231" s="19">
        <v>705.15</v>
      </c>
      <c r="J231" s="19">
        <v>9872.1</v>
      </c>
    </row>
    <row r="232" ht="15.25" spans="1:10">
      <c r="A232" s="18" t="s">
        <v>2016</v>
      </c>
      <c r="B232" s="19" t="s">
        <v>1889</v>
      </c>
      <c r="C232" s="19" t="s">
        <v>1903</v>
      </c>
      <c r="D232" s="19" t="s">
        <v>1884</v>
      </c>
      <c r="E232" s="19" t="s">
        <v>1895</v>
      </c>
      <c r="F232" s="19" t="s">
        <v>1865</v>
      </c>
      <c r="G232" s="19" t="s">
        <v>1886</v>
      </c>
      <c r="H232" s="19">
        <v>19</v>
      </c>
      <c r="I232" s="19">
        <v>3485.85</v>
      </c>
      <c r="J232" s="19">
        <v>66231.15</v>
      </c>
    </row>
    <row r="233" ht="15.25" spans="1:10">
      <c r="A233" s="18" t="s">
        <v>2017</v>
      </c>
      <c r="B233" s="19" t="s">
        <v>1855</v>
      </c>
      <c r="C233" s="19" t="s">
        <v>1894</v>
      </c>
      <c r="D233" s="19" t="s">
        <v>1884</v>
      </c>
      <c r="E233" s="19" t="s">
        <v>1895</v>
      </c>
      <c r="F233" s="19" t="s">
        <v>1876</v>
      </c>
      <c r="G233" s="19" t="s">
        <v>1877</v>
      </c>
      <c r="H233" s="19">
        <v>10</v>
      </c>
      <c r="I233" s="19">
        <v>3633.26</v>
      </c>
      <c r="J233" s="19">
        <v>36332.6</v>
      </c>
    </row>
    <row r="234" ht="26.75" spans="1:10">
      <c r="A234" s="18">
        <v>45208</v>
      </c>
      <c r="B234" s="19" t="s">
        <v>1889</v>
      </c>
      <c r="C234" s="19" t="s">
        <v>1849</v>
      </c>
      <c r="D234" s="19" t="s">
        <v>1850</v>
      </c>
      <c r="E234" s="19" t="s">
        <v>1851</v>
      </c>
      <c r="F234" s="19" t="s">
        <v>1868</v>
      </c>
      <c r="G234" s="19" t="s">
        <v>1917</v>
      </c>
      <c r="H234" s="19">
        <v>14</v>
      </c>
      <c r="I234" s="19">
        <v>1245.9</v>
      </c>
      <c r="J234" s="19">
        <v>17442.6</v>
      </c>
    </row>
    <row r="235" ht="15.25" spans="1:10">
      <c r="A235" s="18" t="s">
        <v>2018</v>
      </c>
      <c r="B235" s="19" t="s">
        <v>1867</v>
      </c>
      <c r="C235" s="19" t="s">
        <v>1894</v>
      </c>
      <c r="D235" s="19" t="s">
        <v>1884</v>
      </c>
      <c r="E235" s="19" t="s">
        <v>1895</v>
      </c>
      <c r="F235" s="19" t="s">
        <v>1852</v>
      </c>
      <c r="G235" s="19" t="s">
        <v>1853</v>
      </c>
      <c r="H235" s="19">
        <v>4</v>
      </c>
      <c r="I235" s="19">
        <v>4553.52</v>
      </c>
      <c r="J235" s="19">
        <v>18214.08</v>
      </c>
    </row>
    <row r="236" ht="26.75" spans="1:10">
      <c r="A236" s="18">
        <v>45146</v>
      </c>
      <c r="B236" s="19" t="s">
        <v>1855</v>
      </c>
      <c r="C236" s="19" t="s">
        <v>1598</v>
      </c>
      <c r="D236" s="19" t="s">
        <v>1850</v>
      </c>
      <c r="E236" s="19" t="s">
        <v>1851</v>
      </c>
      <c r="F236" s="19" t="s">
        <v>1852</v>
      </c>
      <c r="G236" s="19" t="s">
        <v>1910</v>
      </c>
      <c r="H236" s="19">
        <v>3</v>
      </c>
      <c r="I236" s="19">
        <v>1417.18</v>
      </c>
      <c r="J236" s="19">
        <v>4251.54</v>
      </c>
    </row>
    <row r="237" ht="26.75" spans="1:10">
      <c r="A237" s="18" t="s">
        <v>2019</v>
      </c>
      <c r="B237" s="19" t="s">
        <v>1874</v>
      </c>
      <c r="C237" s="19" t="s">
        <v>1849</v>
      </c>
      <c r="D237" s="19" t="s">
        <v>1850</v>
      </c>
      <c r="E237" s="19" t="s">
        <v>1851</v>
      </c>
      <c r="F237" s="19" t="s">
        <v>1876</v>
      </c>
      <c r="G237" s="19" t="s">
        <v>1930</v>
      </c>
      <c r="H237" s="19">
        <v>7</v>
      </c>
      <c r="I237" s="19">
        <v>1249.36</v>
      </c>
      <c r="J237" s="19">
        <v>8745.52</v>
      </c>
    </row>
    <row r="238" ht="15.25" spans="1:10">
      <c r="A238" s="18" t="s">
        <v>1973</v>
      </c>
      <c r="B238" s="19" t="s">
        <v>1871</v>
      </c>
      <c r="C238" s="19" t="s">
        <v>1856</v>
      </c>
      <c r="D238" s="19" t="s">
        <v>1857</v>
      </c>
      <c r="E238" s="19" t="s">
        <v>1858</v>
      </c>
      <c r="F238" s="19" t="s">
        <v>1865</v>
      </c>
      <c r="G238" s="19" t="s">
        <v>1920</v>
      </c>
      <c r="H238" s="19">
        <v>7</v>
      </c>
      <c r="I238" s="19">
        <v>3911.96</v>
      </c>
      <c r="J238" s="19">
        <v>27383.72</v>
      </c>
    </row>
    <row r="239" ht="15.25" spans="1:10">
      <c r="A239" s="18" t="s">
        <v>1946</v>
      </c>
      <c r="B239" s="19" t="s">
        <v>1867</v>
      </c>
      <c r="C239" s="19" t="s">
        <v>1875</v>
      </c>
      <c r="D239" s="19" t="s">
        <v>1862</v>
      </c>
      <c r="E239" s="19" t="s">
        <v>1858</v>
      </c>
      <c r="F239" s="19" t="s">
        <v>1865</v>
      </c>
      <c r="G239" s="19" t="s">
        <v>1886</v>
      </c>
      <c r="H239" s="19">
        <v>4</v>
      </c>
      <c r="I239" s="19">
        <v>3087.87</v>
      </c>
      <c r="J239" s="19">
        <v>12351.48</v>
      </c>
    </row>
    <row r="240" ht="26.75" spans="1:10">
      <c r="A240" s="18">
        <v>45241</v>
      </c>
      <c r="B240" s="19" t="s">
        <v>1867</v>
      </c>
      <c r="C240" s="19" t="s">
        <v>1849</v>
      </c>
      <c r="D240" s="19" t="s">
        <v>1850</v>
      </c>
      <c r="E240" s="19" t="s">
        <v>1851</v>
      </c>
      <c r="F240" s="19" t="s">
        <v>1876</v>
      </c>
      <c r="G240" s="19" t="s">
        <v>1930</v>
      </c>
      <c r="H240" s="19">
        <v>16</v>
      </c>
      <c r="I240" s="19">
        <v>628.15</v>
      </c>
      <c r="J240" s="19">
        <v>10050.4</v>
      </c>
    </row>
    <row r="241" ht="15.25" spans="1:10">
      <c r="A241" s="18" t="s">
        <v>2020</v>
      </c>
      <c r="B241" s="19" t="s">
        <v>1874</v>
      </c>
      <c r="C241" s="19" t="s">
        <v>1602</v>
      </c>
      <c r="D241" s="19" t="s">
        <v>1862</v>
      </c>
      <c r="E241" s="19" t="s">
        <v>1858</v>
      </c>
      <c r="F241" s="19" t="s">
        <v>1868</v>
      </c>
      <c r="G241" s="19" t="s">
        <v>1917</v>
      </c>
      <c r="H241" s="19">
        <v>15</v>
      </c>
      <c r="I241" s="19">
        <v>3100.61</v>
      </c>
      <c r="J241" s="19">
        <v>46509.15</v>
      </c>
    </row>
    <row r="242" ht="15.25" spans="1:10">
      <c r="A242" s="18" t="s">
        <v>2021</v>
      </c>
      <c r="B242" s="19" t="s">
        <v>1855</v>
      </c>
      <c r="C242" s="19" t="s">
        <v>1875</v>
      </c>
      <c r="D242" s="19" t="s">
        <v>1862</v>
      </c>
      <c r="E242" s="19" t="s">
        <v>1858</v>
      </c>
      <c r="F242" s="19" t="s">
        <v>1865</v>
      </c>
      <c r="G242" s="19" t="s">
        <v>1886</v>
      </c>
      <c r="H242" s="19">
        <v>10</v>
      </c>
      <c r="I242" s="19">
        <v>4017.66</v>
      </c>
      <c r="J242" s="19">
        <v>40176.6</v>
      </c>
    </row>
    <row r="243" ht="15.25" spans="1:10">
      <c r="A243" s="18" t="s">
        <v>2022</v>
      </c>
      <c r="B243" s="19" t="s">
        <v>1855</v>
      </c>
      <c r="C243" s="19" t="s">
        <v>1906</v>
      </c>
      <c r="D243" s="19" t="s">
        <v>1862</v>
      </c>
      <c r="E243" s="19" t="s">
        <v>1858</v>
      </c>
      <c r="F243" s="19" t="s">
        <v>1852</v>
      </c>
      <c r="G243" s="19" t="s">
        <v>1910</v>
      </c>
      <c r="H243" s="19">
        <v>3</v>
      </c>
      <c r="I243" s="19">
        <v>3389.2</v>
      </c>
      <c r="J243" s="19">
        <v>10167.6</v>
      </c>
    </row>
    <row r="244" ht="26.75" spans="1:10">
      <c r="A244" s="18" t="s">
        <v>1943</v>
      </c>
      <c r="B244" s="19" t="s">
        <v>1861</v>
      </c>
      <c r="C244" s="19" t="s">
        <v>1849</v>
      </c>
      <c r="D244" s="19" t="s">
        <v>1850</v>
      </c>
      <c r="E244" s="19" t="s">
        <v>1851</v>
      </c>
      <c r="F244" s="19" t="s">
        <v>1868</v>
      </c>
      <c r="G244" s="19" t="s">
        <v>1869</v>
      </c>
      <c r="H244" s="19">
        <v>20</v>
      </c>
      <c r="I244" s="19">
        <v>2441.83</v>
      </c>
      <c r="J244" s="19">
        <v>48836.6</v>
      </c>
    </row>
    <row r="245" ht="15.25" spans="1:10">
      <c r="A245" s="18">
        <v>45181</v>
      </c>
      <c r="B245" s="19" t="s">
        <v>1855</v>
      </c>
      <c r="C245" s="19" t="s">
        <v>1589</v>
      </c>
      <c r="D245" s="19" t="s">
        <v>1884</v>
      </c>
      <c r="E245" s="19" t="s">
        <v>1895</v>
      </c>
      <c r="F245" s="19" t="s">
        <v>1852</v>
      </c>
      <c r="G245" s="19" t="s">
        <v>1934</v>
      </c>
      <c r="H245" s="19">
        <v>17</v>
      </c>
      <c r="I245" s="19">
        <v>2655.98</v>
      </c>
      <c r="J245" s="19">
        <v>45151.66</v>
      </c>
    </row>
    <row r="246" ht="15.25" spans="1:10">
      <c r="A246" s="18">
        <v>44986</v>
      </c>
      <c r="B246" s="19" t="s">
        <v>1855</v>
      </c>
      <c r="C246" s="19" t="s">
        <v>1875</v>
      </c>
      <c r="D246" s="19" t="s">
        <v>1862</v>
      </c>
      <c r="E246" s="19" t="s">
        <v>1858</v>
      </c>
      <c r="F246" s="19" t="s">
        <v>1876</v>
      </c>
      <c r="G246" s="19" t="s">
        <v>1930</v>
      </c>
      <c r="H246" s="19">
        <v>3</v>
      </c>
      <c r="I246" s="19">
        <v>4908.74</v>
      </c>
      <c r="J246" s="19">
        <v>14726.22</v>
      </c>
    </row>
    <row r="247" ht="15.25" spans="1:10">
      <c r="A247" s="18" t="s">
        <v>1977</v>
      </c>
      <c r="B247" s="19" t="s">
        <v>1889</v>
      </c>
      <c r="C247" s="19" t="s">
        <v>1903</v>
      </c>
      <c r="D247" s="19" t="s">
        <v>1884</v>
      </c>
      <c r="E247" s="19" t="s">
        <v>1895</v>
      </c>
      <c r="F247" s="19" t="s">
        <v>1876</v>
      </c>
      <c r="G247" s="19" t="s">
        <v>1930</v>
      </c>
      <c r="H247" s="19">
        <v>13</v>
      </c>
      <c r="I247" s="19">
        <v>4121.8</v>
      </c>
      <c r="J247" s="19">
        <v>53583.4</v>
      </c>
    </row>
    <row r="248" ht="26.75" spans="1:10">
      <c r="A248" s="18">
        <v>45080</v>
      </c>
      <c r="B248" s="19" t="s">
        <v>1902</v>
      </c>
      <c r="C248" s="19" t="s">
        <v>1849</v>
      </c>
      <c r="D248" s="19" t="s">
        <v>1850</v>
      </c>
      <c r="E248" s="19" t="s">
        <v>1851</v>
      </c>
      <c r="F248" s="19" t="s">
        <v>1876</v>
      </c>
      <c r="G248" s="19" t="s">
        <v>1930</v>
      </c>
      <c r="H248" s="19">
        <v>7</v>
      </c>
      <c r="I248" s="19">
        <v>2083.78</v>
      </c>
      <c r="J248" s="19">
        <v>14586.46</v>
      </c>
    </row>
    <row r="249" ht="26.75" spans="1:10">
      <c r="A249" s="18">
        <v>45201</v>
      </c>
      <c r="B249" s="19" t="s">
        <v>1874</v>
      </c>
      <c r="C249" s="19" t="s">
        <v>1598</v>
      </c>
      <c r="D249" s="19" t="s">
        <v>1850</v>
      </c>
      <c r="E249" s="19" t="s">
        <v>1851</v>
      </c>
      <c r="F249" s="19" t="s">
        <v>1865</v>
      </c>
      <c r="G249" s="19" t="s">
        <v>1920</v>
      </c>
      <c r="H249" s="19">
        <v>4</v>
      </c>
      <c r="I249" s="19">
        <v>697.88</v>
      </c>
      <c r="J249" s="19">
        <v>2791.52</v>
      </c>
    </row>
    <row r="250" ht="15.25" spans="1:10">
      <c r="A250" s="18">
        <v>44930</v>
      </c>
      <c r="B250" s="19" t="s">
        <v>1902</v>
      </c>
      <c r="C250" s="19" t="s">
        <v>1894</v>
      </c>
      <c r="D250" s="19" t="s">
        <v>1884</v>
      </c>
      <c r="E250" s="19" t="s">
        <v>1895</v>
      </c>
      <c r="F250" s="19" t="s">
        <v>1876</v>
      </c>
      <c r="G250" s="19" t="s">
        <v>1926</v>
      </c>
      <c r="H250" s="19">
        <v>3</v>
      </c>
      <c r="I250" s="19">
        <v>3754.7</v>
      </c>
      <c r="J250" s="19">
        <v>11264.1</v>
      </c>
    </row>
    <row r="251" ht="15.25" spans="1:10">
      <c r="A251" s="18" t="s">
        <v>2023</v>
      </c>
      <c r="B251" s="19" t="s">
        <v>1861</v>
      </c>
      <c r="C251" s="19" t="s">
        <v>1856</v>
      </c>
      <c r="D251" s="19" t="s">
        <v>1857</v>
      </c>
      <c r="E251" s="19" t="s">
        <v>1858</v>
      </c>
      <c r="F251" s="19" t="s">
        <v>1852</v>
      </c>
      <c r="G251" s="19" t="s">
        <v>1950</v>
      </c>
      <c r="H251" s="19">
        <v>20</v>
      </c>
      <c r="I251" s="19">
        <v>2449.44</v>
      </c>
      <c r="J251" s="19">
        <v>48988.8</v>
      </c>
    </row>
    <row r="252" ht="15.25" spans="1:10">
      <c r="A252" s="18">
        <v>44964</v>
      </c>
      <c r="B252" s="19" t="s">
        <v>1867</v>
      </c>
      <c r="C252" s="19" t="s">
        <v>1626</v>
      </c>
      <c r="D252" s="19" t="s">
        <v>1857</v>
      </c>
      <c r="E252" s="19" t="s">
        <v>1858</v>
      </c>
      <c r="F252" s="19" t="s">
        <v>1876</v>
      </c>
      <c r="G252" s="19" t="s">
        <v>1883</v>
      </c>
      <c r="H252" s="19">
        <v>6</v>
      </c>
      <c r="I252" s="19">
        <v>2862.86</v>
      </c>
      <c r="J252" s="19">
        <v>17177.16</v>
      </c>
    </row>
    <row r="253" ht="15.25" spans="1:10">
      <c r="A253" s="18" t="s">
        <v>2024</v>
      </c>
      <c r="B253" s="19" t="s">
        <v>1878</v>
      </c>
      <c r="C253" s="19" t="s">
        <v>1626</v>
      </c>
      <c r="D253" s="19" t="s">
        <v>1857</v>
      </c>
      <c r="E253" s="19" t="s">
        <v>1858</v>
      </c>
      <c r="F253" s="19" t="s">
        <v>1859</v>
      </c>
      <c r="G253" s="19" t="s">
        <v>1860</v>
      </c>
      <c r="H253" s="19">
        <v>4</v>
      </c>
      <c r="I253" s="19">
        <v>4795.4</v>
      </c>
      <c r="J253" s="19">
        <v>19181.6</v>
      </c>
    </row>
    <row r="254" ht="15.25" spans="1:10">
      <c r="A254" s="18">
        <v>45271</v>
      </c>
      <c r="B254" s="19" t="s">
        <v>1878</v>
      </c>
      <c r="C254" s="19" t="s">
        <v>1894</v>
      </c>
      <c r="D254" s="19" t="s">
        <v>1884</v>
      </c>
      <c r="E254" s="19" t="s">
        <v>1895</v>
      </c>
      <c r="F254" s="19" t="s">
        <v>1852</v>
      </c>
      <c r="G254" s="19" t="s">
        <v>1934</v>
      </c>
      <c r="H254" s="19">
        <v>3</v>
      </c>
      <c r="I254" s="19">
        <v>672.84</v>
      </c>
      <c r="J254" s="19">
        <v>2018.52</v>
      </c>
    </row>
    <row r="255" ht="15.25" spans="1:10">
      <c r="A255" s="18">
        <v>45086</v>
      </c>
      <c r="B255" s="19" t="s">
        <v>1902</v>
      </c>
      <c r="C255" s="19" t="s">
        <v>1906</v>
      </c>
      <c r="D255" s="19" t="s">
        <v>1862</v>
      </c>
      <c r="E255" s="19" t="s">
        <v>1858</v>
      </c>
      <c r="F255" s="19" t="s">
        <v>1852</v>
      </c>
      <c r="G255" s="19" t="s">
        <v>1950</v>
      </c>
      <c r="H255" s="19">
        <v>5</v>
      </c>
      <c r="I255" s="19">
        <v>4423.53</v>
      </c>
      <c r="J255" s="19">
        <v>22117.65</v>
      </c>
    </row>
    <row r="256" ht="15.25" spans="1:10">
      <c r="A256" s="18">
        <v>44990</v>
      </c>
      <c r="B256" s="19" t="s">
        <v>1878</v>
      </c>
      <c r="C256" s="19" t="s">
        <v>1626</v>
      </c>
      <c r="D256" s="19" t="s">
        <v>1857</v>
      </c>
      <c r="E256" s="19" t="s">
        <v>1858</v>
      </c>
      <c r="F256" s="19" t="s">
        <v>1852</v>
      </c>
      <c r="G256" s="19" t="s">
        <v>1950</v>
      </c>
      <c r="H256" s="19">
        <v>13</v>
      </c>
      <c r="I256" s="19">
        <v>1330.85</v>
      </c>
      <c r="J256" s="19">
        <v>17301.05</v>
      </c>
    </row>
    <row r="257" ht="26.75" spans="1:10">
      <c r="A257" s="18" t="s">
        <v>2025</v>
      </c>
      <c r="B257" s="19" t="s">
        <v>1902</v>
      </c>
      <c r="C257" s="19" t="s">
        <v>1849</v>
      </c>
      <c r="D257" s="19" t="s">
        <v>1850</v>
      </c>
      <c r="E257" s="19" t="s">
        <v>1851</v>
      </c>
      <c r="F257" s="19" t="s">
        <v>1859</v>
      </c>
      <c r="G257" s="19" t="s">
        <v>1922</v>
      </c>
      <c r="H257" s="19">
        <v>2</v>
      </c>
      <c r="I257" s="19">
        <v>1785.76</v>
      </c>
      <c r="J257" s="19">
        <v>3571.52</v>
      </c>
    </row>
    <row r="258" ht="15.25" spans="1:10">
      <c r="A258" s="18" t="s">
        <v>2026</v>
      </c>
      <c r="B258" s="19" t="s">
        <v>1861</v>
      </c>
      <c r="C258" s="19" t="s">
        <v>1894</v>
      </c>
      <c r="D258" s="19" t="s">
        <v>1884</v>
      </c>
      <c r="E258" s="19" t="s">
        <v>1895</v>
      </c>
      <c r="F258" s="19" t="s">
        <v>1852</v>
      </c>
      <c r="G258" s="19" t="s">
        <v>1934</v>
      </c>
      <c r="H258" s="19">
        <v>10</v>
      </c>
      <c r="I258" s="19">
        <v>505.39</v>
      </c>
      <c r="J258" s="19">
        <v>5053.9</v>
      </c>
    </row>
    <row r="259" ht="15.25" spans="1:10">
      <c r="A259" s="18" t="s">
        <v>1989</v>
      </c>
      <c r="B259" s="19" t="s">
        <v>1871</v>
      </c>
      <c r="C259" s="19" t="s">
        <v>1602</v>
      </c>
      <c r="D259" s="19" t="s">
        <v>1862</v>
      </c>
      <c r="E259" s="19" t="s">
        <v>1858</v>
      </c>
      <c r="F259" s="19" t="s">
        <v>1876</v>
      </c>
      <c r="G259" s="19" t="s">
        <v>1926</v>
      </c>
      <c r="H259" s="19">
        <v>1</v>
      </c>
      <c r="I259" s="19">
        <v>4966.86</v>
      </c>
      <c r="J259" s="19">
        <v>4966.86</v>
      </c>
    </row>
    <row r="260" ht="15.25" spans="1:10">
      <c r="A260" s="18" t="s">
        <v>2027</v>
      </c>
      <c r="B260" s="19" t="s">
        <v>1861</v>
      </c>
      <c r="C260" s="19" t="s">
        <v>1941</v>
      </c>
      <c r="D260" s="19" t="s">
        <v>1879</v>
      </c>
      <c r="E260" s="19" t="s">
        <v>1851</v>
      </c>
      <c r="F260" s="19" t="s">
        <v>1852</v>
      </c>
      <c r="G260" s="19" t="s">
        <v>1910</v>
      </c>
      <c r="H260" s="19">
        <v>5</v>
      </c>
      <c r="I260" s="19">
        <v>4988.76</v>
      </c>
      <c r="J260" s="19">
        <v>24943.8</v>
      </c>
    </row>
    <row r="261" ht="15.25" spans="1:10">
      <c r="A261" s="18" t="s">
        <v>2028</v>
      </c>
      <c r="B261" s="19" t="s">
        <v>1874</v>
      </c>
      <c r="C261" s="19" t="s">
        <v>1875</v>
      </c>
      <c r="D261" s="19" t="s">
        <v>1862</v>
      </c>
      <c r="E261" s="19" t="s">
        <v>1858</v>
      </c>
      <c r="F261" s="19" t="s">
        <v>1876</v>
      </c>
      <c r="G261" s="19" t="s">
        <v>1926</v>
      </c>
      <c r="H261" s="19">
        <v>18</v>
      </c>
      <c r="I261" s="19">
        <v>1745.63</v>
      </c>
      <c r="J261" s="19">
        <v>31421.34</v>
      </c>
    </row>
    <row r="262" ht="26.75" spans="1:10">
      <c r="A262" s="18" t="s">
        <v>2029</v>
      </c>
      <c r="B262" s="19" t="s">
        <v>1861</v>
      </c>
      <c r="C262" s="19" t="s">
        <v>1593</v>
      </c>
      <c r="D262" s="19" t="s">
        <v>1850</v>
      </c>
      <c r="E262" s="19" t="s">
        <v>1851</v>
      </c>
      <c r="F262" s="19" t="s">
        <v>1865</v>
      </c>
      <c r="G262" s="19" t="s">
        <v>1920</v>
      </c>
      <c r="H262" s="19">
        <v>2</v>
      </c>
      <c r="I262" s="19">
        <v>3024.56</v>
      </c>
      <c r="J262" s="19">
        <v>6049.12</v>
      </c>
    </row>
    <row r="263" ht="15.25" spans="1:10">
      <c r="A263" s="18">
        <v>45083</v>
      </c>
      <c r="B263" s="19" t="s">
        <v>1889</v>
      </c>
      <c r="C263" s="19" t="s">
        <v>1856</v>
      </c>
      <c r="D263" s="19" t="s">
        <v>1857</v>
      </c>
      <c r="E263" s="19" t="s">
        <v>1858</v>
      </c>
      <c r="F263" s="19" t="s">
        <v>1859</v>
      </c>
      <c r="G263" s="19" t="s">
        <v>1872</v>
      </c>
      <c r="H263" s="19">
        <v>15</v>
      </c>
      <c r="I263" s="19">
        <v>4599.74</v>
      </c>
      <c r="J263" s="19">
        <v>68996.1</v>
      </c>
    </row>
    <row r="264" ht="15.25" spans="1:10">
      <c r="A264" s="18" t="s">
        <v>1944</v>
      </c>
      <c r="B264" s="19" t="s">
        <v>1861</v>
      </c>
      <c r="C264" s="19" t="s">
        <v>1894</v>
      </c>
      <c r="D264" s="19" t="s">
        <v>1884</v>
      </c>
      <c r="E264" s="19" t="s">
        <v>1895</v>
      </c>
      <c r="F264" s="19" t="s">
        <v>1868</v>
      </c>
      <c r="G264" s="19" t="s">
        <v>1917</v>
      </c>
      <c r="H264" s="19">
        <v>18</v>
      </c>
      <c r="I264" s="19">
        <v>330.49</v>
      </c>
      <c r="J264" s="19">
        <v>5948.82</v>
      </c>
    </row>
    <row r="265" ht="15.25" spans="1:10">
      <c r="A265" s="18" t="s">
        <v>2030</v>
      </c>
      <c r="B265" s="19" t="s">
        <v>1867</v>
      </c>
      <c r="C265" s="19" t="s">
        <v>1906</v>
      </c>
      <c r="D265" s="19" t="s">
        <v>1862</v>
      </c>
      <c r="E265" s="19" t="s">
        <v>1858</v>
      </c>
      <c r="F265" s="19" t="s">
        <v>1865</v>
      </c>
      <c r="G265" s="19" t="s">
        <v>1866</v>
      </c>
      <c r="H265" s="19">
        <v>8</v>
      </c>
      <c r="I265" s="19">
        <v>4775.74</v>
      </c>
      <c r="J265" s="19">
        <v>38205.92</v>
      </c>
    </row>
    <row r="266" ht="15.25" spans="1:10">
      <c r="A266" s="18" t="s">
        <v>2031</v>
      </c>
      <c r="B266" s="19" t="s">
        <v>1902</v>
      </c>
      <c r="C266" s="19" t="s">
        <v>1941</v>
      </c>
      <c r="D266" s="19" t="s">
        <v>1879</v>
      </c>
      <c r="E266" s="19" t="s">
        <v>1851</v>
      </c>
      <c r="F266" s="19" t="s">
        <v>1859</v>
      </c>
      <c r="G266" s="19" t="s">
        <v>1872</v>
      </c>
      <c r="H266" s="19">
        <v>16</v>
      </c>
      <c r="I266" s="19">
        <v>2329.86</v>
      </c>
      <c r="J266" s="19">
        <v>37277.76</v>
      </c>
    </row>
    <row r="267" ht="15.25" spans="1:10">
      <c r="A267" s="18" t="s">
        <v>1973</v>
      </c>
      <c r="B267" s="19" t="s">
        <v>1855</v>
      </c>
      <c r="C267" s="19" t="s">
        <v>1610</v>
      </c>
      <c r="D267" s="19" t="s">
        <v>1879</v>
      </c>
      <c r="E267" s="19" t="s">
        <v>1851</v>
      </c>
      <c r="F267" s="19" t="s">
        <v>1876</v>
      </c>
      <c r="G267" s="19" t="s">
        <v>1877</v>
      </c>
      <c r="H267" s="19">
        <v>16</v>
      </c>
      <c r="I267" s="19">
        <v>1426.64</v>
      </c>
      <c r="J267" s="19">
        <v>22826.24</v>
      </c>
    </row>
    <row r="268" ht="15.25" spans="1:10">
      <c r="A268" s="18" t="s">
        <v>2032</v>
      </c>
      <c r="B268" s="19" t="s">
        <v>1871</v>
      </c>
      <c r="C268" s="19" t="s">
        <v>1941</v>
      </c>
      <c r="D268" s="19" t="s">
        <v>1879</v>
      </c>
      <c r="E268" s="19" t="s">
        <v>1851</v>
      </c>
      <c r="F268" s="19" t="s">
        <v>1865</v>
      </c>
      <c r="G268" s="19" t="s">
        <v>1890</v>
      </c>
      <c r="H268" s="19">
        <v>8</v>
      </c>
      <c r="I268" s="19">
        <v>2663.16</v>
      </c>
      <c r="J268" s="19">
        <v>21305.28</v>
      </c>
    </row>
    <row r="269" ht="15.25" spans="1:10">
      <c r="A269" s="18">
        <v>45233</v>
      </c>
      <c r="B269" s="19" t="s">
        <v>1892</v>
      </c>
      <c r="C269" s="19" t="s">
        <v>1610</v>
      </c>
      <c r="D269" s="19" t="s">
        <v>1879</v>
      </c>
      <c r="E269" s="19" t="s">
        <v>1851</v>
      </c>
      <c r="F269" s="19" t="s">
        <v>1865</v>
      </c>
      <c r="G269" s="19" t="s">
        <v>1866</v>
      </c>
      <c r="H269" s="19">
        <v>20</v>
      </c>
      <c r="I269" s="19">
        <v>1690.56</v>
      </c>
      <c r="J269" s="19">
        <v>33811.2</v>
      </c>
    </row>
    <row r="270" ht="26.75" spans="1:10">
      <c r="A270" s="18" t="s">
        <v>2033</v>
      </c>
      <c r="B270" s="19" t="s">
        <v>1892</v>
      </c>
      <c r="C270" s="19" t="s">
        <v>1598</v>
      </c>
      <c r="D270" s="19" t="s">
        <v>1850</v>
      </c>
      <c r="E270" s="19" t="s">
        <v>1851</v>
      </c>
      <c r="F270" s="19" t="s">
        <v>1865</v>
      </c>
      <c r="G270" s="19" t="s">
        <v>1866</v>
      </c>
      <c r="H270" s="19">
        <v>1</v>
      </c>
      <c r="I270" s="19">
        <v>776.08</v>
      </c>
      <c r="J270" s="19">
        <v>776.08</v>
      </c>
    </row>
    <row r="271" ht="15.25" spans="1:10">
      <c r="A271" s="18">
        <v>44961</v>
      </c>
      <c r="B271" s="19" t="s">
        <v>1855</v>
      </c>
      <c r="C271" s="19" t="s">
        <v>1602</v>
      </c>
      <c r="D271" s="19" t="s">
        <v>1862</v>
      </c>
      <c r="E271" s="19" t="s">
        <v>1858</v>
      </c>
      <c r="F271" s="19" t="s">
        <v>1868</v>
      </c>
      <c r="G271" s="19" t="s">
        <v>1907</v>
      </c>
      <c r="H271" s="19">
        <v>3</v>
      </c>
      <c r="I271" s="19">
        <v>1435.01</v>
      </c>
      <c r="J271" s="19">
        <v>4305.03</v>
      </c>
    </row>
    <row r="272" ht="15.25" spans="1:10">
      <c r="A272" s="18">
        <v>45116</v>
      </c>
      <c r="B272" s="19" t="s">
        <v>1867</v>
      </c>
      <c r="C272" s="19" t="s">
        <v>1898</v>
      </c>
      <c r="D272" s="19" t="s">
        <v>1879</v>
      </c>
      <c r="E272" s="19" t="s">
        <v>1851</v>
      </c>
      <c r="F272" s="19" t="s">
        <v>1859</v>
      </c>
      <c r="G272" s="19" t="s">
        <v>1922</v>
      </c>
      <c r="H272" s="19">
        <v>16</v>
      </c>
      <c r="I272" s="19">
        <v>1473.98</v>
      </c>
      <c r="J272" s="19">
        <v>23583.68</v>
      </c>
    </row>
    <row r="273" ht="15.25" spans="1:10">
      <c r="A273" s="18">
        <v>45057</v>
      </c>
      <c r="B273" s="19" t="s">
        <v>1892</v>
      </c>
      <c r="C273" s="19" t="s">
        <v>1589</v>
      </c>
      <c r="D273" s="19" t="s">
        <v>1884</v>
      </c>
      <c r="E273" s="19" t="s">
        <v>1895</v>
      </c>
      <c r="F273" s="19" t="s">
        <v>1852</v>
      </c>
      <c r="G273" s="19" t="s">
        <v>1910</v>
      </c>
      <c r="H273" s="19">
        <v>6</v>
      </c>
      <c r="I273" s="19">
        <v>1822.86</v>
      </c>
      <c r="J273" s="19">
        <v>10937.16</v>
      </c>
    </row>
    <row r="274" ht="15.25" spans="1:10">
      <c r="A274" s="18">
        <v>45079</v>
      </c>
      <c r="B274" s="19" t="s">
        <v>1892</v>
      </c>
      <c r="C274" s="19" t="s">
        <v>1864</v>
      </c>
      <c r="D274" s="19" t="s">
        <v>1857</v>
      </c>
      <c r="E274" s="19" t="s">
        <v>1858</v>
      </c>
      <c r="F274" s="19" t="s">
        <v>1865</v>
      </c>
      <c r="G274" s="19" t="s">
        <v>1886</v>
      </c>
      <c r="H274" s="19">
        <v>13</v>
      </c>
      <c r="I274" s="19">
        <v>739.6</v>
      </c>
      <c r="J274" s="19">
        <v>9614.8</v>
      </c>
    </row>
    <row r="275" ht="15.25" spans="1:10">
      <c r="A275" s="18">
        <v>45172</v>
      </c>
      <c r="B275" s="19" t="s">
        <v>1874</v>
      </c>
      <c r="C275" s="19" t="s">
        <v>1610</v>
      </c>
      <c r="D275" s="19" t="s">
        <v>1879</v>
      </c>
      <c r="E275" s="19" t="s">
        <v>1851</v>
      </c>
      <c r="F275" s="19" t="s">
        <v>1868</v>
      </c>
      <c r="G275" s="19" t="s">
        <v>1917</v>
      </c>
      <c r="H275" s="19">
        <v>11</v>
      </c>
      <c r="I275" s="19">
        <v>4209.66</v>
      </c>
      <c r="J275" s="19">
        <v>46306.26</v>
      </c>
    </row>
    <row r="276" ht="15.25" spans="1:10">
      <c r="A276" s="18">
        <v>44929</v>
      </c>
      <c r="B276" s="19" t="s">
        <v>1855</v>
      </c>
      <c r="C276" s="19" t="s">
        <v>1906</v>
      </c>
      <c r="D276" s="19" t="s">
        <v>1862</v>
      </c>
      <c r="E276" s="19" t="s">
        <v>1858</v>
      </c>
      <c r="F276" s="19" t="s">
        <v>1876</v>
      </c>
      <c r="G276" s="19" t="s">
        <v>1883</v>
      </c>
      <c r="H276" s="19">
        <v>8</v>
      </c>
      <c r="I276" s="19">
        <v>4105.17</v>
      </c>
      <c r="J276" s="19">
        <v>32841.36</v>
      </c>
    </row>
    <row r="277" ht="15.25" spans="1:10">
      <c r="A277" s="18" t="s">
        <v>1943</v>
      </c>
      <c r="B277" s="19" t="s">
        <v>1874</v>
      </c>
      <c r="C277" s="19" t="s">
        <v>1894</v>
      </c>
      <c r="D277" s="19" t="s">
        <v>1884</v>
      </c>
      <c r="E277" s="19" t="s">
        <v>1895</v>
      </c>
      <c r="F277" s="19" t="s">
        <v>1852</v>
      </c>
      <c r="G277" s="19" t="s">
        <v>1853</v>
      </c>
      <c r="H277" s="19">
        <v>2</v>
      </c>
      <c r="I277" s="19">
        <v>4100.4</v>
      </c>
      <c r="J277" s="19">
        <v>8200.8</v>
      </c>
    </row>
    <row r="278" ht="15.25" spans="1:10">
      <c r="A278" s="18" t="s">
        <v>1962</v>
      </c>
      <c r="B278" s="19" t="s">
        <v>1855</v>
      </c>
      <c r="C278" s="19" t="s">
        <v>1856</v>
      </c>
      <c r="D278" s="19" t="s">
        <v>1857</v>
      </c>
      <c r="E278" s="19" t="s">
        <v>1858</v>
      </c>
      <c r="F278" s="19" t="s">
        <v>1868</v>
      </c>
      <c r="G278" s="19" t="s">
        <v>1869</v>
      </c>
      <c r="H278" s="19">
        <v>20</v>
      </c>
      <c r="I278" s="19">
        <v>2295.08</v>
      </c>
      <c r="J278" s="19">
        <v>45901.6</v>
      </c>
    </row>
    <row r="279" ht="26.75" spans="1:10">
      <c r="A279" s="18">
        <v>45241</v>
      </c>
      <c r="B279" s="19" t="s">
        <v>1892</v>
      </c>
      <c r="C279" s="19" t="s">
        <v>1593</v>
      </c>
      <c r="D279" s="19" t="s">
        <v>1850</v>
      </c>
      <c r="E279" s="19" t="s">
        <v>1851</v>
      </c>
      <c r="F279" s="19" t="s">
        <v>1868</v>
      </c>
      <c r="G279" s="19" t="s">
        <v>1899</v>
      </c>
      <c r="H279" s="19">
        <v>20</v>
      </c>
      <c r="I279" s="19">
        <v>4970.33</v>
      </c>
      <c r="J279" s="19">
        <v>99406.6</v>
      </c>
    </row>
    <row r="280" ht="15.25" spans="1:10">
      <c r="A280" s="18">
        <v>45272</v>
      </c>
      <c r="B280" s="19" t="s">
        <v>1874</v>
      </c>
      <c r="C280" s="19" t="s">
        <v>1941</v>
      </c>
      <c r="D280" s="19" t="s">
        <v>1879</v>
      </c>
      <c r="E280" s="19" t="s">
        <v>1851</v>
      </c>
      <c r="F280" s="19" t="s">
        <v>1852</v>
      </c>
      <c r="G280" s="19" t="s">
        <v>1910</v>
      </c>
      <c r="H280" s="19">
        <v>12</v>
      </c>
      <c r="I280" s="19">
        <v>3939.5</v>
      </c>
      <c r="J280" s="19">
        <v>47274</v>
      </c>
    </row>
    <row r="281" ht="15.25" spans="1:10">
      <c r="A281" s="18" t="s">
        <v>1994</v>
      </c>
      <c r="B281" s="19" t="s">
        <v>1878</v>
      </c>
      <c r="C281" s="19" t="s">
        <v>1875</v>
      </c>
      <c r="D281" s="19" t="s">
        <v>1862</v>
      </c>
      <c r="E281" s="19" t="s">
        <v>1858</v>
      </c>
      <c r="F281" s="19" t="s">
        <v>1876</v>
      </c>
      <c r="G281" s="19" t="s">
        <v>1926</v>
      </c>
      <c r="H281" s="19">
        <v>15</v>
      </c>
      <c r="I281" s="19">
        <v>1450.75</v>
      </c>
      <c r="J281" s="19">
        <v>21761.25</v>
      </c>
    </row>
    <row r="282" ht="15.25" spans="1:10">
      <c r="A282" s="18">
        <v>45057</v>
      </c>
      <c r="B282" s="19" t="s">
        <v>1878</v>
      </c>
      <c r="C282" s="19" t="s">
        <v>1864</v>
      </c>
      <c r="D282" s="19" t="s">
        <v>1857</v>
      </c>
      <c r="E282" s="19" t="s">
        <v>1858</v>
      </c>
      <c r="F282" s="19" t="s">
        <v>1852</v>
      </c>
      <c r="G282" s="19" t="s">
        <v>1853</v>
      </c>
      <c r="H282" s="19">
        <v>8</v>
      </c>
      <c r="I282" s="19">
        <v>3279.33</v>
      </c>
      <c r="J282" s="19">
        <v>26234.64</v>
      </c>
    </row>
    <row r="283" ht="26.75" spans="1:10">
      <c r="A283" s="18" t="s">
        <v>2034</v>
      </c>
      <c r="B283" s="19" t="s">
        <v>1892</v>
      </c>
      <c r="C283" s="19" t="s">
        <v>1598</v>
      </c>
      <c r="D283" s="19" t="s">
        <v>1850</v>
      </c>
      <c r="E283" s="19" t="s">
        <v>1851</v>
      </c>
      <c r="F283" s="19" t="s">
        <v>1865</v>
      </c>
      <c r="G283" s="19" t="s">
        <v>1890</v>
      </c>
      <c r="H283" s="19">
        <v>7</v>
      </c>
      <c r="I283" s="19">
        <v>579.92</v>
      </c>
      <c r="J283" s="19">
        <v>4059.44</v>
      </c>
    </row>
    <row r="284" ht="15.25" spans="1:10">
      <c r="A284" s="18">
        <v>45048</v>
      </c>
      <c r="B284" s="19" t="s">
        <v>1878</v>
      </c>
      <c r="C284" s="19" t="s">
        <v>1864</v>
      </c>
      <c r="D284" s="19" t="s">
        <v>1857</v>
      </c>
      <c r="E284" s="19" t="s">
        <v>1858</v>
      </c>
      <c r="F284" s="19" t="s">
        <v>1876</v>
      </c>
      <c r="G284" s="19" t="s">
        <v>1877</v>
      </c>
      <c r="H284" s="19">
        <v>10</v>
      </c>
      <c r="I284" s="19">
        <v>2515.54</v>
      </c>
      <c r="J284" s="19">
        <v>25155.4</v>
      </c>
    </row>
    <row r="285" ht="26.75" spans="1:10">
      <c r="A285" s="18" t="s">
        <v>1986</v>
      </c>
      <c r="B285" s="19" t="s">
        <v>1867</v>
      </c>
      <c r="C285" s="19" t="s">
        <v>1598</v>
      </c>
      <c r="D285" s="19" t="s">
        <v>1850</v>
      </c>
      <c r="E285" s="19" t="s">
        <v>1851</v>
      </c>
      <c r="F285" s="19" t="s">
        <v>1868</v>
      </c>
      <c r="G285" s="19" t="s">
        <v>1899</v>
      </c>
      <c r="H285" s="19">
        <v>10</v>
      </c>
      <c r="I285" s="19">
        <v>2976.69</v>
      </c>
      <c r="J285" s="19">
        <v>29766.9</v>
      </c>
    </row>
    <row r="286" ht="15.25" spans="1:10">
      <c r="A286" s="18" t="s">
        <v>1904</v>
      </c>
      <c r="B286" s="19" t="s">
        <v>1867</v>
      </c>
      <c r="C286" s="19" t="s">
        <v>1856</v>
      </c>
      <c r="D286" s="19" t="s">
        <v>1857</v>
      </c>
      <c r="E286" s="19" t="s">
        <v>1858</v>
      </c>
      <c r="F286" s="19" t="s">
        <v>1868</v>
      </c>
      <c r="G286" s="19" t="s">
        <v>1917</v>
      </c>
      <c r="H286" s="19">
        <v>16</v>
      </c>
      <c r="I286" s="19">
        <v>4047.21</v>
      </c>
      <c r="J286" s="19">
        <v>64755.36</v>
      </c>
    </row>
    <row r="287" ht="15.25" spans="1:10">
      <c r="A287" s="18">
        <v>45203</v>
      </c>
      <c r="B287" s="19" t="s">
        <v>1871</v>
      </c>
      <c r="C287" s="19" t="s">
        <v>1898</v>
      </c>
      <c r="D287" s="19" t="s">
        <v>1879</v>
      </c>
      <c r="E287" s="19" t="s">
        <v>1851</v>
      </c>
      <c r="F287" s="19" t="s">
        <v>1868</v>
      </c>
      <c r="G287" s="19" t="s">
        <v>1907</v>
      </c>
      <c r="H287" s="19">
        <v>18</v>
      </c>
      <c r="I287" s="19">
        <v>2825.07</v>
      </c>
      <c r="J287" s="19">
        <v>50851.26</v>
      </c>
    </row>
    <row r="288" ht="15.25" spans="1:10">
      <c r="A288" s="18" t="s">
        <v>2028</v>
      </c>
      <c r="B288" s="19" t="s">
        <v>1874</v>
      </c>
      <c r="C288" s="19" t="s">
        <v>1626</v>
      </c>
      <c r="D288" s="19" t="s">
        <v>1857</v>
      </c>
      <c r="E288" s="19" t="s">
        <v>1858</v>
      </c>
      <c r="F288" s="19" t="s">
        <v>1865</v>
      </c>
      <c r="G288" s="19" t="s">
        <v>1920</v>
      </c>
      <c r="H288" s="19">
        <v>13</v>
      </c>
      <c r="I288" s="19">
        <v>1406.82</v>
      </c>
      <c r="J288" s="19">
        <v>18288.66</v>
      </c>
    </row>
    <row r="289" ht="26.75" spans="1:10">
      <c r="A289" s="18" t="s">
        <v>2035</v>
      </c>
      <c r="B289" s="19" t="s">
        <v>1902</v>
      </c>
      <c r="C289" s="19" t="s">
        <v>1849</v>
      </c>
      <c r="D289" s="19" t="s">
        <v>1850</v>
      </c>
      <c r="E289" s="19" t="s">
        <v>1851</v>
      </c>
      <c r="F289" s="19" t="s">
        <v>1859</v>
      </c>
      <c r="G289" s="19" t="s">
        <v>1947</v>
      </c>
      <c r="H289" s="19">
        <v>16</v>
      </c>
      <c r="I289" s="19">
        <v>1090.18</v>
      </c>
      <c r="J289" s="19">
        <v>17442.88</v>
      </c>
    </row>
    <row r="290" ht="15.25" spans="1:10">
      <c r="A290" s="18">
        <v>44987</v>
      </c>
      <c r="B290" s="19" t="s">
        <v>1889</v>
      </c>
      <c r="C290" s="19" t="s">
        <v>1589</v>
      </c>
      <c r="D290" s="19" t="s">
        <v>1884</v>
      </c>
      <c r="E290" s="19" t="s">
        <v>1895</v>
      </c>
      <c r="F290" s="19" t="s">
        <v>1876</v>
      </c>
      <c r="G290" s="19" t="s">
        <v>1926</v>
      </c>
      <c r="H290" s="19">
        <v>12</v>
      </c>
      <c r="I290" s="19">
        <v>3696.43</v>
      </c>
      <c r="J290" s="19">
        <v>44357.16</v>
      </c>
    </row>
    <row r="291" ht="15.25" spans="1:10">
      <c r="A291" s="18">
        <v>45180</v>
      </c>
      <c r="B291" s="19" t="s">
        <v>1867</v>
      </c>
      <c r="C291" s="19" t="s">
        <v>1906</v>
      </c>
      <c r="D291" s="19" t="s">
        <v>1862</v>
      </c>
      <c r="E291" s="19" t="s">
        <v>1858</v>
      </c>
      <c r="F291" s="19" t="s">
        <v>1876</v>
      </c>
      <c r="G291" s="19" t="s">
        <v>1926</v>
      </c>
      <c r="H291" s="19">
        <v>7</v>
      </c>
      <c r="I291" s="19">
        <v>4535.14</v>
      </c>
      <c r="J291" s="19">
        <v>31745.98</v>
      </c>
    </row>
    <row r="292" ht="15.25" spans="1:10">
      <c r="A292" s="18">
        <v>44968</v>
      </c>
      <c r="B292" s="19" t="s">
        <v>1871</v>
      </c>
      <c r="C292" s="19" t="s">
        <v>1856</v>
      </c>
      <c r="D292" s="19" t="s">
        <v>1857</v>
      </c>
      <c r="E292" s="19" t="s">
        <v>1858</v>
      </c>
      <c r="F292" s="19" t="s">
        <v>1868</v>
      </c>
      <c r="G292" s="19" t="s">
        <v>1917</v>
      </c>
      <c r="H292" s="19">
        <v>3</v>
      </c>
      <c r="I292" s="19">
        <v>4931.69</v>
      </c>
      <c r="J292" s="19">
        <v>14795.07</v>
      </c>
    </row>
    <row r="293" ht="15.25" spans="1:10">
      <c r="A293" s="18" t="s">
        <v>1885</v>
      </c>
      <c r="B293" s="19" t="s">
        <v>1902</v>
      </c>
      <c r="C293" s="19" t="s">
        <v>1903</v>
      </c>
      <c r="D293" s="19" t="s">
        <v>1884</v>
      </c>
      <c r="E293" s="19" t="s">
        <v>1895</v>
      </c>
      <c r="F293" s="19" t="s">
        <v>1868</v>
      </c>
      <c r="G293" s="19" t="s">
        <v>1869</v>
      </c>
      <c r="H293" s="19">
        <v>16</v>
      </c>
      <c r="I293" s="19">
        <v>3263.65</v>
      </c>
      <c r="J293" s="19">
        <v>52218.4</v>
      </c>
    </row>
    <row r="294" ht="26.75" spans="1:10">
      <c r="A294" s="18" t="s">
        <v>2036</v>
      </c>
      <c r="B294" s="19" t="s">
        <v>1861</v>
      </c>
      <c r="C294" s="19" t="s">
        <v>1593</v>
      </c>
      <c r="D294" s="19" t="s">
        <v>1850</v>
      </c>
      <c r="E294" s="19" t="s">
        <v>1851</v>
      </c>
      <c r="F294" s="19" t="s">
        <v>1859</v>
      </c>
      <c r="G294" s="19" t="s">
        <v>1922</v>
      </c>
      <c r="H294" s="19">
        <v>17</v>
      </c>
      <c r="I294" s="19">
        <v>4083.07</v>
      </c>
      <c r="J294" s="19">
        <v>69412.19</v>
      </c>
    </row>
    <row r="295" ht="26.75" spans="1:10">
      <c r="A295" s="18" t="s">
        <v>1925</v>
      </c>
      <c r="B295" s="19" t="s">
        <v>1878</v>
      </c>
      <c r="C295" s="19" t="s">
        <v>1598</v>
      </c>
      <c r="D295" s="19" t="s">
        <v>1850</v>
      </c>
      <c r="E295" s="19" t="s">
        <v>1851</v>
      </c>
      <c r="F295" s="19" t="s">
        <v>1859</v>
      </c>
      <c r="G295" s="19" t="s">
        <v>1860</v>
      </c>
      <c r="H295" s="19">
        <v>12</v>
      </c>
      <c r="I295" s="19">
        <v>528.69</v>
      </c>
      <c r="J295" s="19">
        <v>6344.28</v>
      </c>
    </row>
    <row r="296" ht="15.25" spans="1:10">
      <c r="A296" s="18">
        <v>45024</v>
      </c>
      <c r="B296" s="19" t="s">
        <v>1892</v>
      </c>
      <c r="C296" s="19" t="s">
        <v>1864</v>
      </c>
      <c r="D296" s="19" t="s">
        <v>1857</v>
      </c>
      <c r="E296" s="19" t="s">
        <v>1858</v>
      </c>
      <c r="F296" s="19" t="s">
        <v>1876</v>
      </c>
      <c r="G296" s="19" t="s">
        <v>1930</v>
      </c>
      <c r="H296" s="19">
        <v>8</v>
      </c>
      <c r="I296" s="19">
        <v>528.93</v>
      </c>
      <c r="J296" s="19">
        <v>4231.44</v>
      </c>
    </row>
    <row r="297" ht="26.75" spans="1:10">
      <c r="A297" s="18">
        <v>45268</v>
      </c>
      <c r="B297" s="19" t="s">
        <v>1848</v>
      </c>
      <c r="C297" s="19" t="s">
        <v>1593</v>
      </c>
      <c r="D297" s="19" t="s">
        <v>1850</v>
      </c>
      <c r="E297" s="19" t="s">
        <v>1851</v>
      </c>
      <c r="F297" s="19" t="s">
        <v>1868</v>
      </c>
      <c r="G297" s="19" t="s">
        <v>1869</v>
      </c>
      <c r="H297" s="19">
        <v>11</v>
      </c>
      <c r="I297" s="19">
        <v>1749.31</v>
      </c>
      <c r="J297" s="19">
        <v>19242.41</v>
      </c>
    </row>
    <row r="298" ht="26.75" spans="1:10">
      <c r="A298" s="18">
        <v>44969</v>
      </c>
      <c r="B298" s="19" t="s">
        <v>1848</v>
      </c>
      <c r="C298" s="19" t="s">
        <v>1849</v>
      </c>
      <c r="D298" s="19" t="s">
        <v>1850</v>
      </c>
      <c r="E298" s="19" t="s">
        <v>1851</v>
      </c>
      <c r="F298" s="19" t="s">
        <v>1859</v>
      </c>
      <c r="G298" s="19" t="s">
        <v>1860</v>
      </c>
      <c r="H298" s="19">
        <v>11</v>
      </c>
      <c r="I298" s="19">
        <v>2635.95</v>
      </c>
      <c r="J298" s="19">
        <v>28995.45</v>
      </c>
    </row>
    <row r="299" ht="26.75" spans="1:10">
      <c r="A299" s="18" t="s">
        <v>1976</v>
      </c>
      <c r="B299" s="19" t="s">
        <v>1874</v>
      </c>
      <c r="C299" s="19" t="s">
        <v>1849</v>
      </c>
      <c r="D299" s="19" t="s">
        <v>1850</v>
      </c>
      <c r="E299" s="19" t="s">
        <v>1851</v>
      </c>
      <c r="F299" s="19" t="s">
        <v>1868</v>
      </c>
      <c r="G299" s="19" t="s">
        <v>1869</v>
      </c>
      <c r="H299" s="19">
        <v>6</v>
      </c>
      <c r="I299" s="19">
        <v>2850.31</v>
      </c>
      <c r="J299" s="19">
        <v>17101.86</v>
      </c>
    </row>
    <row r="300" ht="15.25" spans="1:10">
      <c r="A300" s="18" t="s">
        <v>1983</v>
      </c>
      <c r="B300" s="19" t="s">
        <v>1902</v>
      </c>
      <c r="C300" s="19" t="s">
        <v>1602</v>
      </c>
      <c r="D300" s="19" t="s">
        <v>1862</v>
      </c>
      <c r="E300" s="19" t="s">
        <v>1858</v>
      </c>
      <c r="F300" s="19" t="s">
        <v>1876</v>
      </c>
      <c r="G300" s="19" t="s">
        <v>1883</v>
      </c>
      <c r="H300" s="19">
        <v>5</v>
      </c>
      <c r="I300" s="19">
        <v>1413.03</v>
      </c>
      <c r="J300" s="19">
        <v>7065.15</v>
      </c>
    </row>
    <row r="301" ht="26.75" spans="1:10">
      <c r="A301" s="18" t="s">
        <v>2037</v>
      </c>
      <c r="B301" s="19" t="s">
        <v>1871</v>
      </c>
      <c r="C301" s="19" t="s">
        <v>1598</v>
      </c>
      <c r="D301" s="19" t="s">
        <v>1850</v>
      </c>
      <c r="E301" s="19" t="s">
        <v>1851</v>
      </c>
      <c r="F301" s="19" t="s">
        <v>1876</v>
      </c>
      <c r="G301" s="19" t="s">
        <v>1926</v>
      </c>
      <c r="H301" s="19">
        <v>14</v>
      </c>
      <c r="I301" s="19">
        <v>4541.87</v>
      </c>
      <c r="J301" s="19">
        <v>63586.18</v>
      </c>
    </row>
    <row r="302" ht="15.25" spans="1:10">
      <c r="A302" s="18" t="s">
        <v>1990</v>
      </c>
      <c r="B302" s="19" t="s">
        <v>1871</v>
      </c>
      <c r="C302" s="19" t="s">
        <v>1894</v>
      </c>
      <c r="D302" s="19" t="s">
        <v>1884</v>
      </c>
      <c r="E302" s="19" t="s">
        <v>1895</v>
      </c>
      <c r="F302" s="19" t="s">
        <v>1865</v>
      </c>
      <c r="G302" s="19" t="s">
        <v>1890</v>
      </c>
      <c r="H302" s="19">
        <v>5</v>
      </c>
      <c r="I302" s="19">
        <v>3395.71</v>
      </c>
      <c r="J302" s="19">
        <v>16978.55</v>
      </c>
    </row>
    <row r="303" ht="15.25" spans="1:10">
      <c r="A303" s="18">
        <v>45118</v>
      </c>
      <c r="B303" s="19" t="s">
        <v>1867</v>
      </c>
      <c r="C303" s="19" t="s">
        <v>1610</v>
      </c>
      <c r="D303" s="19" t="s">
        <v>1879</v>
      </c>
      <c r="E303" s="19" t="s">
        <v>1851</v>
      </c>
      <c r="F303" s="19" t="s">
        <v>1859</v>
      </c>
      <c r="G303" s="19" t="s">
        <v>1922</v>
      </c>
      <c r="H303" s="19">
        <v>2</v>
      </c>
      <c r="I303" s="19">
        <v>4050.46</v>
      </c>
      <c r="J303" s="19">
        <v>8100.92</v>
      </c>
    </row>
    <row r="304" ht="15.25" spans="1:10">
      <c r="A304" s="18">
        <v>44993</v>
      </c>
      <c r="B304" s="19" t="s">
        <v>1889</v>
      </c>
      <c r="C304" s="19" t="s">
        <v>1941</v>
      </c>
      <c r="D304" s="19" t="s">
        <v>1879</v>
      </c>
      <c r="E304" s="19" t="s">
        <v>1851</v>
      </c>
      <c r="F304" s="19" t="s">
        <v>1865</v>
      </c>
      <c r="G304" s="19" t="s">
        <v>1866</v>
      </c>
      <c r="H304" s="19">
        <v>6</v>
      </c>
      <c r="I304" s="19">
        <v>3617.81</v>
      </c>
      <c r="J304" s="19">
        <v>21706.86</v>
      </c>
    </row>
    <row r="305" ht="15.25" spans="1:10">
      <c r="A305" s="18" t="s">
        <v>2038</v>
      </c>
      <c r="B305" s="19" t="s">
        <v>1867</v>
      </c>
      <c r="C305" s="19" t="s">
        <v>1856</v>
      </c>
      <c r="D305" s="19" t="s">
        <v>1857</v>
      </c>
      <c r="E305" s="19" t="s">
        <v>1858</v>
      </c>
      <c r="F305" s="19" t="s">
        <v>1868</v>
      </c>
      <c r="G305" s="19" t="s">
        <v>1899</v>
      </c>
      <c r="H305" s="19">
        <v>11</v>
      </c>
      <c r="I305" s="19">
        <v>1527.71</v>
      </c>
      <c r="J305" s="19">
        <v>16804.81</v>
      </c>
    </row>
    <row r="306" ht="15.25" spans="1:10">
      <c r="A306" s="18">
        <v>45079</v>
      </c>
      <c r="B306" s="19" t="s">
        <v>1889</v>
      </c>
      <c r="C306" s="19" t="s">
        <v>1589</v>
      </c>
      <c r="D306" s="19" t="s">
        <v>1884</v>
      </c>
      <c r="E306" s="19" t="s">
        <v>1895</v>
      </c>
      <c r="F306" s="19" t="s">
        <v>1876</v>
      </c>
      <c r="G306" s="19" t="s">
        <v>1930</v>
      </c>
      <c r="H306" s="19">
        <v>7</v>
      </c>
      <c r="I306" s="19">
        <v>1420.32</v>
      </c>
      <c r="J306" s="19">
        <v>9942.24</v>
      </c>
    </row>
    <row r="307" ht="15.25" spans="1:10">
      <c r="A307" s="18" t="s">
        <v>1888</v>
      </c>
      <c r="B307" s="19" t="s">
        <v>1871</v>
      </c>
      <c r="C307" s="19" t="s">
        <v>1864</v>
      </c>
      <c r="D307" s="19" t="s">
        <v>1857</v>
      </c>
      <c r="E307" s="19" t="s">
        <v>1858</v>
      </c>
      <c r="F307" s="19" t="s">
        <v>1876</v>
      </c>
      <c r="G307" s="19" t="s">
        <v>1877</v>
      </c>
      <c r="H307" s="19">
        <v>17</v>
      </c>
      <c r="I307" s="19">
        <v>1336.86</v>
      </c>
      <c r="J307" s="19">
        <v>22726.62</v>
      </c>
    </row>
    <row r="308" ht="15.25" spans="1:10">
      <c r="A308" s="18">
        <v>45200</v>
      </c>
      <c r="B308" s="19" t="s">
        <v>1848</v>
      </c>
      <c r="C308" s="19" t="s">
        <v>1941</v>
      </c>
      <c r="D308" s="19" t="s">
        <v>1879</v>
      </c>
      <c r="E308" s="19" t="s">
        <v>1851</v>
      </c>
      <c r="F308" s="19" t="s">
        <v>1865</v>
      </c>
      <c r="G308" s="19" t="s">
        <v>1866</v>
      </c>
      <c r="H308" s="19">
        <v>15</v>
      </c>
      <c r="I308" s="19">
        <v>359.4</v>
      </c>
      <c r="J308" s="19">
        <v>5391</v>
      </c>
    </row>
    <row r="309" ht="15.25" spans="1:10">
      <c r="A309" s="18" t="s">
        <v>1977</v>
      </c>
      <c r="B309" s="19" t="s">
        <v>1892</v>
      </c>
      <c r="C309" s="19" t="s">
        <v>1589</v>
      </c>
      <c r="D309" s="19" t="s">
        <v>1884</v>
      </c>
      <c r="E309" s="19" t="s">
        <v>1895</v>
      </c>
      <c r="F309" s="19" t="s">
        <v>1852</v>
      </c>
      <c r="G309" s="19" t="s">
        <v>1950</v>
      </c>
      <c r="H309" s="19">
        <v>6</v>
      </c>
      <c r="I309" s="19">
        <v>4109.02</v>
      </c>
      <c r="J309" s="19">
        <v>24654.12</v>
      </c>
    </row>
    <row r="310" ht="15.25" spans="1:10">
      <c r="A310" s="18">
        <v>45140</v>
      </c>
      <c r="B310" s="19" t="s">
        <v>1861</v>
      </c>
      <c r="C310" s="19" t="s">
        <v>1602</v>
      </c>
      <c r="D310" s="19" t="s">
        <v>1862</v>
      </c>
      <c r="E310" s="19" t="s">
        <v>1858</v>
      </c>
      <c r="F310" s="19" t="s">
        <v>1852</v>
      </c>
      <c r="G310" s="19" t="s">
        <v>1853</v>
      </c>
      <c r="H310" s="19">
        <v>12</v>
      </c>
      <c r="I310" s="19">
        <v>3700.23</v>
      </c>
      <c r="J310" s="19">
        <v>44402.76</v>
      </c>
    </row>
    <row r="311" ht="15.25" spans="1:10">
      <c r="A311" s="18" t="s">
        <v>2015</v>
      </c>
      <c r="B311" s="19" t="s">
        <v>1867</v>
      </c>
      <c r="C311" s="19" t="s">
        <v>1864</v>
      </c>
      <c r="D311" s="19" t="s">
        <v>1857</v>
      </c>
      <c r="E311" s="19" t="s">
        <v>1858</v>
      </c>
      <c r="F311" s="19" t="s">
        <v>1852</v>
      </c>
      <c r="G311" s="19" t="s">
        <v>1950</v>
      </c>
      <c r="H311" s="19">
        <v>5</v>
      </c>
      <c r="I311" s="19">
        <v>221.41</v>
      </c>
      <c r="J311" s="19">
        <v>1107.05</v>
      </c>
    </row>
    <row r="312" ht="15.25" spans="1:10">
      <c r="A312" s="18" t="s">
        <v>1969</v>
      </c>
      <c r="B312" s="19" t="s">
        <v>1892</v>
      </c>
      <c r="C312" s="19" t="s">
        <v>1906</v>
      </c>
      <c r="D312" s="19" t="s">
        <v>1862</v>
      </c>
      <c r="E312" s="19" t="s">
        <v>1858</v>
      </c>
      <c r="F312" s="19" t="s">
        <v>1865</v>
      </c>
      <c r="G312" s="19" t="s">
        <v>1866</v>
      </c>
      <c r="H312" s="19">
        <v>12</v>
      </c>
      <c r="I312" s="19">
        <v>4446.15</v>
      </c>
      <c r="J312" s="19">
        <v>53353.8</v>
      </c>
    </row>
    <row r="313" ht="15.25" spans="1:10">
      <c r="A313" s="18">
        <v>45145</v>
      </c>
      <c r="B313" s="19" t="s">
        <v>1871</v>
      </c>
      <c r="C313" s="19" t="s">
        <v>1906</v>
      </c>
      <c r="D313" s="19" t="s">
        <v>1862</v>
      </c>
      <c r="E313" s="19" t="s">
        <v>1858</v>
      </c>
      <c r="F313" s="19" t="s">
        <v>1868</v>
      </c>
      <c r="G313" s="19" t="s">
        <v>1869</v>
      </c>
      <c r="H313" s="19">
        <v>12</v>
      </c>
      <c r="I313" s="19">
        <v>2393.97</v>
      </c>
      <c r="J313" s="19">
        <v>28727.64</v>
      </c>
    </row>
    <row r="314" ht="15.25" spans="1:10">
      <c r="A314" s="18">
        <v>45266</v>
      </c>
      <c r="B314" s="19" t="s">
        <v>1874</v>
      </c>
      <c r="C314" s="19" t="s">
        <v>1894</v>
      </c>
      <c r="D314" s="19" t="s">
        <v>1884</v>
      </c>
      <c r="E314" s="19" t="s">
        <v>1895</v>
      </c>
      <c r="F314" s="19" t="s">
        <v>1868</v>
      </c>
      <c r="G314" s="19" t="s">
        <v>1907</v>
      </c>
      <c r="H314" s="19">
        <v>7</v>
      </c>
      <c r="I314" s="19">
        <v>256.57</v>
      </c>
      <c r="J314" s="19">
        <v>1795.99</v>
      </c>
    </row>
    <row r="315" ht="15.25" spans="1:10">
      <c r="A315" s="18" t="s">
        <v>2039</v>
      </c>
      <c r="B315" s="19" t="s">
        <v>1892</v>
      </c>
      <c r="C315" s="19" t="s">
        <v>1626</v>
      </c>
      <c r="D315" s="19" t="s">
        <v>1857</v>
      </c>
      <c r="E315" s="19" t="s">
        <v>1858</v>
      </c>
      <c r="F315" s="19" t="s">
        <v>1865</v>
      </c>
      <c r="G315" s="19" t="s">
        <v>1920</v>
      </c>
      <c r="H315" s="19">
        <v>9</v>
      </c>
      <c r="I315" s="19">
        <v>4218.36</v>
      </c>
      <c r="J315" s="19">
        <v>37965.24</v>
      </c>
    </row>
    <row r="316" ht="15.25" spans="1:10">
      <c r="A316" s="18" t="s">
        <v>1993</v>
      </c>
      <c r="B316" s="19" t="s">
        <v>1871</v>
      </c>
      <c r="C316" s="19" t="s">
        <v>1894</v>
      </c>
      <c r="D316" s="19" t="s">
        <v>1884</v>
      </c>
      <c r="E316" s="19" t="s">
        <v>1895</v>
      </c>
      <c r="F316" s="19" t="s">
        <v>1865</v>
      </c>
      <c r="G316" s="19" t="s">
        <v>1886</v>
      </c>
      <c r="H316" s="19">
        <v>8</v>
      </c>
      <c r="I316" s="19">
        <v>4930.67</v>
      </c>
      <c r="J316" s="19">
        <v>39445.36</v>
      </c>
    </row>
    <row r="317" ht="15.25" spans="1:10">
      <c r="A317" s="18" t="s">
        <v>2040</v>
      </c>
      <c r="B317" s="19" t="s">
        <v>1855</v>
      </c>
      <c r="C317" s="19" t="s">
        <v>1864</v>
      </c>
      <c r="D317" s="19" t="s">
        <v>1857</v>
      </c>
      <c r="E317" s="19" t="s">
        <v>1858</v>
      </c>
      <c r="F317" s="19" t="s">
        <v>1865</v>
      </c>
      <c r="G317" s="19" t="s">
        <v>1886</v>
      </c>
      <c r="H317" s="19">
        <v>2</v>
      </c>
      <c r="I317" s="19">
        <v>1264.68</v>
      </c>
      <c r="J317" s="19">
        <v>2529.36</v>
      </c>
    </row>
    <row r="318" ht="26.75" spans="1:10">
      <c r="A318" s="18">
        <v>45113</v>
      </c>
      <c r="B318" s="19" t="s">
        <v>1848</v>
      </c>
      <c r="C318" s="19" t="s">
        <v>1598</v>
      </c>
      <c r="D318" s="19" t="s">
        <v>1850</v>
      </c>
      <c r="E318" s="19" t="s">
        <v>1851</v>
      </c>
      <c r="F318" s="19" t="s">
        <v>1859</v>
      </c>
      <c r="G318" s="19" t="s">
        <v>1872</v>
      </c>
      <c r="H318" s="19">
        <v>16</v>
      </c>
      <c r="I318" s="19">
        <v>2192.74</v>
      </c>
      <c r="J318" s="19">
        <v>35083.84</v>
      </c>
    </row>
    <row r="319" ht="26.75" spans="1:10">
      <c r="A319" s="18" t="s">
        <v>1893</v>
      </c>
      <c r="B319" s="19" t="s">
        <v>1855</v>
      </c>
      <c r="C319" s="19" t="s">
        <v>1598</v>
      </c>
      <c r="D319" s="19" t="s">
        <v>1850</v>
      </c>
      <c r="E319" s="19" t="s">
        <v>1851</v>
      </c>
      <c r="F319" s="19" t="s">
        <v>1868</v>
      </c>
      <c r="G319" s="19" t="s">
        <v>1899</v>
      </c>
      <c r="H319" s="19">
        <v>14</v>
      </c>
      <c r="I319" s="19">
        <v>3943.42</v>
      </c>
      <c r="J319" s="19">
        <v>55207.88</v>
      </c>
    </row>
    <row r="320" ht="15.25" spans="1:10">
      <c r="A320" s="18">
        <v>44994</v>
      </c>
      <c r="B320" s="19" t="s">
        <v>1889</v>
      </c>
      <c r="C320" s="19" t="s">
        <v>1898</v>
      </c>
      <c r="D320" s="19" t="s">
        <v>1879</v>
      </c>
      <c r="E320" s="19" t="s">
        <v>1851</v>
      </c>
      <c r="F320" s="19" t="s">
        <v>1868</v>
      </c>
      <c r="G320" s="19" t="s">
        <v>1917</v>
      </c>
      <c r="H320" s="19">
        <v>11</v>
      </c>
      <c r="I320" s="19">
        <v>2951.18</v>
      </c>
      <c r="J320" s="19">
        <v>32462.98</v>
      </c>
    </row>
    <row r="321" ht="15.25" spans="1:10">
      <c r="A321" s="18" t="s">
        <v>2041</v>
      </c>
      <c r="B321" s="19" t="s">
        <v>1878</v>
      </c>
      <c r="C321" s="19" t="s">
        <v>1864</v>
      </c>
      <c r="D321" s="19" t="s">
        <v>1857</v>
      </c>
      <c r="E321" s="19" t="s">
        <v>1858</v>
      </c>
      <c r="F321" s="19" t="s">
        <v>1868</v>
      </c>
      <c r="G321" s="19" t="s">
        <v>1907</v>
      </c>
      <c r="H321" s="19">
        <v>11</v>
      </c>
      <c r="I321" s="19">
        <v>4325.83</v>
      </c>
      <c r="J321" s="19">
        <v>47584.13</v>
      </c>
    </row>
    <row r="322" ht="15.25" spans="1:10">
      <c r="A322" s="18" t="s">
        <v>2042</v>
      </c>
      <c r="B322" s="19" t="s">
        <v>1878</v>
      </c>
      <c r="C322" s="19" t="s">
        <v>1898</v>
      </c>
      <c r="D322" s="19" t="s">
        <v>1879</v>
      </c>
      <c r="E322" s="19" t="s">
        <v>1851</v>
      </c>
      <c r="F322" s="19" t="s">
        <v>1876</v>
      </c>
      <c r="G322" s="19" t="s">
        <v>1930</v>
      </c>
      <c r="H322" s="19">
        <v>2</v>
      </c>
      <c r="I322" s="19">
        <v>1417.87</v>
      </c>
      <c r="J322" s="19">
        <v>2835.74</v>
      </c>
    </row>
    <row r="323" ht="26.75" spans="1:10">
      <c r="A323" s="18" t="s">
        <v>2043</v>
      </c>
      <c r="B323" s="19" t="s">
        <v>1878</v>
      </c>
      <c r="C323" s="19" t="s">
        <v>1593</v>
      </c>
      <c r="D323" s="19" t="s">
        <v>1850</v>
      </c>
      <c r="E323" s="19" t="s">
        <v>1851</v>
      </c>
      <c r="F323" s="19" t="s">
        <v>1859</v>
      </c>
      <c r="G323" s="19" t="s">
        <v>1860</v>
      </c>
      <c r="H323" s="19">
        <v>13</v>
      </c>
      <c r="I323" s="19">
        <v>2511.64</v>
      </c>
      <c r="J323" s="19">
        <v>32651.32</v>
      </c>
    </row>
    <row r="324" ht="26.75" spans="1:10">
      <c r="A324" s="18">
        <v>44931</v>
      </c>
      <c r="B324" s="19" t="s">
        <v>1889</v>
      </c>
      <c r="C324" s="19" t="s">
        <v>1593</v>
      </c>
      <c r="D324" s="19" t="s">
        <v>1850</v>
      </c>
      <c r="E324" s="19" t="s">
        <v>1851</v>
      </c>
      <c r="F324" s="19" t="s">
        <v>1852</v>
      </c>
      <c r="G324" s="19" t="s">
        <v>1853</v>
      </c>
      <c r="H324" s="19">
        <v>7</v>
      </c>
      <c r="I324" s="19">
        <v>862.76</v>
      </c>
      <c r="J324" s="19">
        <v>6039.32</v>
      </c>
    </row>
    <row r="325" ht="15.25" spans="1:10">
      <c r="A325" s="18">
        <v>44936</v>
      </c>
      <c r="B325" s="19" t="s">
        <v>1855</v>
      </c>
      <c r="C325" s="19" t="s">
        <v>1875</v>
      </c>
      <c r="D325" s="19" t="s">
        <v>1862</v>
      </c>
      <c r="E325" s="19" t="s">
        <v>1858</v>
      </c>
      <c r="F325" s="19" t="s">
        <v>1865</v>
      </c>
      <c r="G325" s="19" t="s">
        <v>1920</v>
      </c>
      <c r="H325" s="19">
        <v>18</v>
      </c>
      <c r="I325" s="19">
        <v>1412.15</v>
      </c>
      <c r="J325" s="19">
        <v>25418.7</v>
      </c>
    </row>
    <row r="326" ht="15.25" spans="1:10">
      <c r="A326" s="18">
        <v>45261</v>
      </c>
      <c r="B326" s="19" t="s">
        <v>1889</v>
      </c>
      <c r="C326" s="19" t="s">
        <v>1941</v>
      </c>
      <c r="D326" s="19" t="s">
        <v>1879</v>
      </c>
      <c r="E326" s="19" t="s">
        <v>1851</v>
      </c>
      <c r="F326" s="19" t="s">
        <v>1859</v>
      </c>
      <c r="G326" s="19" t="s">
        <v>1860</v>
      </c>
      <c r="H326" s="19">
        <v>6</v>
      </c>
      <c r="I326" s="19">
        <v>3295.29</v>
      </c>
      <c r="J326" s="19">
        <v>19771.74</v>
      </c>
    </row>
    <row r="327" ht="15.25" spans="1:10">
      <c r="A327" s="18" t="s">
        <v>2044</v>
      </c>
      <c r="B327" s="19" t="s">
        <v>1902</v>
      </c>
      <c r="C327" s="19" t="s">
        <v>1856</v>
      </c>
      <c r="D327" s="19" t="s">
        <v>1857</v>
      </c>
      <c r="E327" s="19" t="s">
        <v>1858</v>
      </c>
      <c r="F327" s="19" t="s">
        <v>1859</v>
      </c>
      <c r="G327" s="19" t="s">
        <v>1922</v>
      </c>
      <c r="H327" s="19">
        <v>18</v>
      </c>
      <c r="I327" s="19">
        <v>4132.69</v>
      </c>
      <c r="J327" s="19">
        <v>74388.42</v>
      </c>
    </row>
    <row r="328" ht="15.25" spans="1:10">
      <c r="A328" s="18">
        <v>45179</v>
      </c>
      <c r="B328" s="19" t="s">
        <v>1861</v>
      </c>
      <c r="C328" s="19" t="s">
        <v>1864</v>
      </c>
      <c r="D328" s="19" t="s">
        <v>1857</v>
      </c>
      <c r="E328" s="19" t="s">
        <v>1858</v>
      </c>
      <c r="F328" s="19" t="s">
        <v>1876</v>
      </c>
      <c r="G328" s="19" t="s">
        <v>1926</v>
      </c>
      <c r="H328" s="19">
        <v>7</v>
      </c>
      <c r="I328" s="19">
        <v>1557.83</v>
      </c>
      <c r="J328" s="19">
        <v>10904.81</v>
      </c>
    </row>
    <row r="329" ht="15.25" spans="1:10">
      <c r="A329" s="18" t="s">
        <v>2045</v>
      </c>
      <c r="B329" s="19" t="s">
        <v>1892</v>
      </c>
      <c r="C329" s="19" t="s">
        <v>1894</v>
      </c>
      <c r="D329" s="19" t="s">
        <v>1884</v>
      </c>
      <c r="E329" s="19" t="s">
        <v>1895</v>
      </c>
      <c r="F329" s="19" t="s">
        <v>1859</v>
      </c>
      <c r="G329" s="19" t="s">
        <v>1872</v>
      </c>
      <c r="H329" s="19">
        <v>7</v>
      </c>
      <c r="I329" s="19">
        <v>4673.31</v>
      </c>
      <c r="J329" s="19">
        <v>32713.17</v>
      </c>
    </row>
    <row r="330" ht="26.75" spans="1:10">
      <c r="A330" s="18" t="s">
        <v>2008</v>
      </c>
      <c r="B330" s="19" t="s">
        <v>1861</v>
      </c>
      <c r="C330" s="19" t="s">
        <v>1593</v>
      </c>
      <c r="D330" s="19" t="s">
        <v>1850</v>
      </c>
      <c r="E330" s="19" t="s">
        <v>1851</v>
      </c>
      <c r="F330" s="19" t="s">
        <v>1868</v>
      </c>
      <c r="G330" s="19" t="s">
        <v>1917</v>
      </c>
      <c r="H330" s="19">
        <v>5</v>
      </c>
      <c r="I330" s="19">
        <v>3775.72</v>
      </c>
      <c r="J330" s="19">
        <v>18878.6</v>
      </c>
    </row>
    <row r="331" ht="26.75" spans="1:10">
      <c r="A331" s="18" t="s">
        <v>1942</v>
      </c>
      <c r="B331" s="19" t="s">
        <v>1889</v>
      </c>
      <c r="C331" s="19" t="s">
        <v>1593</v>
      </c>
      <c r="D331" s="19" t="s">
        <v>1850</v>
      </c>
      <c r="E331" s="19" t="s">
        <v>1851</v>
      </c>
      <c r="F331" s="19" t="s">
        <v>1852</v>
      </c>
      <c r="G331" s="19" t="s">
        <v>1910</v>
      </c>
      <c r="H331" s="19">
        <v>6</v>
      </c>
      <c r="I331" s="19">
        <v>3524.48</v>
      </c>
      <c r="J331" s="19">
        <v>21146.88</v>
      </c>
    </row>
    <row r="332" ht="15.25" spans="1:10">
      <c r="A332" s="18" t="s">
        <v>1997</v>
      </c>
      <c r="B332" s="19" t="s">
        <v>1867</v>
      </c>
      <c r="C332" s="19" t="s">
        <v>1898</v>
      </c>
      <c r="D332" s="19" t="s">
        <v>1879</v>
      </c>
      <c r="E332" s="19" t="s">
        <v>1851</v>
      </c>
      <c r="F332" s="19" t="s">
        <v>1876</v>
      </c>
      <c r="G332" s="19" t="s">
        <v>1883</v>
      </c>
      <c r="H332" s="19">
        <v>1</v>
      </c>
      <c r="I332" s="19">
        <v>2961.1</v>
      </c>
      <c r="J332" s="19">
        <v>2961.1</v>
      </c>
    </row>
    <row r="333" ht="15.25" spans="1:10">
      <c r="A333" s="18">
        <v>44930</v>
      </c>
      <c r="B333" s="19" t="s">
        <v>1861</v>
      </c>
      <c r="C333" s="19" t="s">
        <v>1602</v>
      </c>
      <c r="D333" s="19" t="s">
        <v>1862</v>
      </c>
      <c r="E333" s="19" t="s">
        <v>1858</v>
      </c>
      <c r="F333" s="19" t="s">
        <v>1859</v>
      </c>
      <c r="G333" s="19" t="s">
        <v>1947</v>
      </c>
      <c r="H333" s="19">
        <v>13</v>
      </c>
      <c r="I333" s="19">
        <v>513.06</v>
      </c>
      <c r="J333" s="19">
        <v>6669.78</v>
      </c>
    </row>
    <row r="334" ht="15.25" spans="1:10">
      <c r="A334" s="18" t="s">
        <v>2021</v>
      </c>
      <c r="B334" s="19" t="s">
        <v>1861</v>
      </c>
      <c r="C334" s="19" t="s">
        <v>1602</v>
      </c>
      <c r="D334" s="19" t="s">
        <v>1862</v>
      </c>
      <c r="E334" s="19" t="s">
        <v>1858</v>
      </c>
      <c r="F334" s="19" t="s">
        <v>1852</v>
      </c>
      <c r="G334" s="19" t="s">
        <v>1934</v>
      </c>
      <c r="H334" s="19">
        <v>3</v>
      </c>
      <c r="I334" s="19">
        <v>953.26</v>
      </c>
      <c r="J334" s="19">
        <v>2859.78</v>
      </c>
    </row>
    <row r="335" ht="15.25" spans="1:10">
      <c r="A335" s="18" t="s">
        <v>1988</v>
      </c>
      <c r="B335" s="19" t="s">
        <v>1848</v>
      </c>
      <c r="C335" s="19" t="s">
        <v>1903</v>
      </c>
      <c r="D335" s="19" t="s">
        <v>1884</v>
      </c>
      <c r="E335" s="19" t="s">
        <v>1895</v>
      </c>
      <c r="F335" s="19" t="s">
        <v>1859</v>
      </c>
      <c r="G335" s="19" t="s">
        <v>1872</v>
      </c>
      <c r="H335" s="19">
        <v>2</v>
      </c>
      <c r="I335" s="19">
        <v>1189.65</v>
      </c>
      <c r="J335" s="19">
        <v>2379.3</v>
      </c>
    </row>
    <row r="336" ht="15.25" spans="1:10">
      <c r="A336" s="18">
        <v>44933</v>
      </c>
      <c r="B336" s="19" t="s">
        <v>1892</v>
      </c>
      <c r="C336" s="19" t="s">
        <v>1602</v>
      </c>
      <c r="D336" s="19" t="s">
        <v>1862</v>
      </c>
      <c r="E336" s="19" t="s">
        <v>1858</v>
      </c>
      <c r="F336" s="19" t="s">
        <v>1859</v>
      </c>
      <c r="G336" s="19" t="s">
        <v>1872</v>
      </c>
      <c r="H336" s="19">
        <v>1</v>
      </c>
      <c r="I336" s="19">
        <v>1915.3</v>
      </c>
      <c r="J336" s="19">
        <v>1915.3</v>
      </c>
    </row>
    <row r="337" ht="15.25" spans="1:10">
      <c r="A337" s="18">
        <v>45178</v>
      </c>
      <c r="B337" s="19" t="s">
        <v>1889</v>
      </c>
      <c r="C337" s="19" t="s">
        <v>1626</v>
      </c>
      <c r="D337" s="19" t="s">
        <v>1857</v>
      </c>
      <c r="E337" s="19" t="s">
        <v>1858</v>
      </c>
      <c r="F337" s="19" t="s">
        <v>1859</v>
      </c>
      <c r="G337" s="19" t="s">
        <v>1922</v>
      </c>
      <c r="H337" s="19">
        <v>8</v>
      </c>
      <c r="I337" s="19">
        <v>3927.74</v>
      </c>
      <c r="J337" s="19">
        <v>31421.92</v>
      </c>
    </row>
    <row r="338" ht="15.25" spans="1:10">
      <c r="A338" s="18" t="s">
        <v>2036</v>
      </c>
      <c r="B338" s="19" t="s">
        <v>1902</v>
      </c>
      <c r="C338" s="19" t="s">
        <v>1589</v>
      </c>
      <c r="D338" s="19" t="s">
        <v>1884</v>
      </c>
      <c r="E338" s="19" t="s">
        <v>1895</v>
      </c>
      <c r="F338" s="19" t="s">
        <v>1865</v>
      </c>
      <c r="G338" s="19" t="s">
        <v>1920</v>
      </c>
      <c r="H338" s="19">
        <v>10</v>
      </c>
      <c r="I338" s="19">
        <v>2682.33</v>
      </c>
      <c r="J338" s="19">
        <v>26823.3</v>
      </c>
    </row>
    <row r="339" ht="15.25" spans="1:10">
      <c r="A339" s="18">
        <v>44995</v>
      </c>
      <c r="B339" s="19" t="s">
        <v>1892</v>
      </c>
      <c r="C339" s="19" t="s">
        <v>1864</v>
      </c>
      <c r="D339" s="19" t="s">
        <v>1857</v>
      </c>
      <c r="E339" s="19" t="s">
        <v>1858</v>
      </c>
      <c r="F339" s="19" t="s">
        <v>1876</v>
      </c>
      <c r="G339" s="19" t="s">
        <v>1926</v>
      </c>
      <c r="H339" s="19">
        <v>6</v>
      </c>
      <c r="I339" s="19">
        <v>4086.27</v>
      </c>
      <c r="J339" s="19">
        <v>24517.62</v>
      </c>
    </row>
    <row r="340" ht="15.25" spans="1:10">
      <c r="A340" s="18" t="s">
        <v>1951</v>
      </c>
      <c r="B340" s="19" t="s">
        <v>1892</v>
      </c>
      <c r="C340" s="19" t="s">
        <v>1864</v>
      </c>
      <c r="D340" s="19" t="s">
        <v>1857</v>
      </c>
      <c r="E340" s="19" t="s">
        <v>1858</v>
      </c>
      <c r="F340" s="19" t="s">
        <v>1876</v>
      </c>
      <c r="G340" s="19" t="s">
        <v>1877</v>
      </c>
      <c r="H340" s="19">
        <v>8</v>
      </c>
      <c r="I340" s="19">
        <v>827.02</v>
      </c>
      <c r="J340" s="19">
        <v>6616.16</v>
      </c>
    </row>
    <row r="341" ht="15.25" spans="1:10">
      <c r="A341" s="18">
        <v>45051</v>
      </c>
      <c r="B341" s="19" t="s">
        <v>1902</v>
      </c>
      <c r="C341" s="19" t="s">
        <v>1903</v>
      </c>
      <c r="D341" s="19" t="s">
        <v>1884</v>
      </c>
      <c r="E341" s="19" t="s">
        <v>1895</v>
      </c>
      <c r="F341" s="19" t="s">
        <v>1868</v>
      </c>
      <c r="G341" s="19" t="s">
        <v>1899</v>
      </c>
      <c r="H341" s="19">
        <v>14</v>
      </c>
      <c r="I341" s="19">
        <v>4728.44</v>
      </c>
      <c r="J341" s="19">
        <v>66198.16</v>
      </c>
    </row>
    <row r="342" ht="15.25" spans="1:10">
      <c r="A342" s="18" t="s">
        <v>2046</v>
      </c>
      <c r="B342" s="19" t="s">
        <v>1867</v>
      </c>
      <c r="C342" s="19" t="s">
        <v>1610</v>
      </c>
      <c r="D342" s="19" t="s">
        <v>1879</v>
      </c>
      <c r="E342" s="19" t="s">
        <v>1851</v>
      </c>
      <c r="F342" s="19" t="s">
        <v>1852</v>
      </c>
      <c r="G342" s="19" t="s">
        <v>1910</v>
      </c>
      <c r="H342" s="19">
        <v>11</v>
      </c>
      <c r="I342" s="19">
        <v>575.73</v>
      </c>
      <c r="J342" s="19">
        <v>6333.03</v>
      </c>
    </row>
    <row r="343" ht="26.75" spans="1:10">
      <c r="A343" s="18" t="s">
        <v>2047</v>
      </c>
      <c r="B343" s="19" t="s">
        <v>1861</v>
      </c>
      <c r="C343" s="19" t="s">
        <v>1598</v>
      </c>
      <c r="D343" s="19" t="s">
        <v>1850</v>
      </c>
      <c r="E343" s="19" t="s">
        <v>1851</v>
      </c>
      <c r="F343" s="19" t="s">
        <v>1852</v>
      </c>
      <c r="G343" s="19" t="s">
        <v>1910</v>
      </c>
      <c r="H343" s="19">
        <v>4</v>
      </c>
      <c r="I343" s="19">
        <v>578.35</v>
      </c>
      <c r="J343" s="19">
        <v>2313.4</v>
      </c>
    </row>
    <row r="344" ht="15.25" spans="1:10">
      <c r="A344" s="18" t="s">
        <v>2048</v>
      </c>
      <c r="B344" s="19" t="s">
        <v>1889</v>
      </c>
      <c r="C344" s="19" t="s">
        <v>1864</v>
      </c>
      <c r="D344" s="19" t="s">
        <v>1857</v>
      </c>
      <c r="E344" s="19" t="s">
        <v>1858</v>
      </c>
      <c r="F344" s="19" t="s">
        <v>1859</v>
      </c>
      <c r="G344" s="19" t="s">
        <v>1860</v>
      </c>
      <c r="H344" s="19">
        <v>8</v>
      </c>
      <c r="I344" s="19">
        <v>3043.72</v>
      </c>
      <c r="J344" s="19">
        <v>24349.76</v>
      </c>
    </row>
    <row r="345" ht="15.25" spans="1:10">
      <c r="A345" s="18" t="s">
        <v>2039</v>
      </c>
      <c r="B345" s="19" t="s">
        <v>1871</v>
      </c>
      <c r="C345" s="19" t="s">
        <v>1875</v>
      </c>
      <c r="D345" s="19" t="s">
        <v>1862</v>
      </c>
      <c r="E345" s="19" t="s">
        <v>1858</v>
      </c>
      <c r="F345" s="19" t="s">
        <v>1852</v>
      </c>
      <c r="G345" s="19" t="s">
        <v>1853</v>
      </c>
      <c r="H345" s="19">
        <v>10</v>
      </c>
      <c r="I345" s="19">
        <v>3339.72</v>
      </c>
      <c r="J345" s="19">
        <v>33397.2</v>
      </c>
    </row>
    <row r="346" ht="15.25" spans="1:10">
      <c r="A346" s="18">
        <v>45269</v>
      </c>
      <c r="B346" s="19" t="s">
        <v>1848</v>
      </c>
      <c r="C346" s="19" t="s">
        <v>1903</v>
      </c>
      <c r="D346" s="19" t="s">
        <v>1884</v>
      </c>
      <c r="E346" s="19" t="s">
        <v>1895</v>
      </c>
      <c r="F346" s="19" t="s">
        <v>1852</v>
      </c>
      <c r="G346" s="19" t="s">
        <v>1853</v>
      </c>
      <c r="H346" s="19">
        <v>7</v>
      </c>
      <c r="I346" s="19">
        <v>2286.4</v>
      </c>
      <c r="J346" s="19">
        <v>16004.8</v>
      </c>
    </row>
    <row r="347" ht="15.25" spans="1:10">
      <c r="A347" s="18" t="s">
        <v>1938</v>
      </c>
      <c r="B347" s="19" t="s">
        <v>1892</v>
      </c>
      <c r="C347" s="19" t="s">
        <v>1626</v>
      </c>
      <c r="D347" s="19" t="s">
        <v>1857</v>
      </c>
      <c r="E347" s="19" t="s">
        <v>1858</v>
      </c>
      <c r="F347" s="19" t="s">
        <v>1859</v>
      </c>
      <c r="G347" s="19" t="s">
        <v>1922</v>
      </c>
      <c r="H347" s="19">
        <v>6</v>
      </c>
      <c r="I347" s="19">
        <v>4862.26</v>
      </c>
      <c r="J347" s="19">
        <v>29173.56</v>
      </c>
    </row>
    <row r="348" ht="15.25" spans="1:10">
      <c r="A348" s="18" t="s">
        <v>2018</v>
      </c>
      <c r="B348" s="19" t="s">
        <v>1878</v>
      </c>
      <c r="C348" s="19" t="s">
        <v>1906</v>
      </c>
      <c r="D348" s="19" t="s">
        <v>1862</v>
      </c>
      <c r="E348" s="19" t="s">
        <v>1858</v>
      </c>
      <c r="F348" s="19" t="s">
        <v>1876</v>
      </c>
      <c r="G348" s="19" t="s">
        <v>1883</v>
      </c>
      <c r="H348" s="19">
        <v>6</v>
      </c>
      <c r="I348" s="19">
        <v>3470.44</v>
      </c>
      <c r="J348" s="19">
        <v>20822.64</v>
      </c>
    </row>
    <row r="349" ht="26.75" spans="1:10">
      <c r="A349" s="18" t="s">
        <v>2049</v>
      </c>
      <c r="B349" s="19" t="s">
        <v>1874</v>
      </c>
      <c r="C349" s="19" t="s">
        <v>1849</v>
      </c>
      <c r="D349" s="19" t="s">
        <v>1850</v>
      </c>
      <c r="E349" s="19" t="s">
        <v>1851</v>
      </c>
      <c r="F349" s="19" t="s">
        <v>1865</v>
      </c>
      <c r="G349" s="19" t="s">
        <v>1886</v>
      </c>
      <c r="H349" s="19">
        <v>5</v>
      </c>
      <c r="I349" s="19">
        <v>4175.13</v>
      </c>
      <c r="J349" s="19">
        <v>20875.65</v>
      </c>
    </row>
    <row r="350" ht="15.25" spans="1:10">
      <c r="A350" s="18">
        <v>45056</v>
      </c>
      <c r="B350" s="19" t="s">
        <v>1889</v>
      </c>
      <c r="C350" s="19" t="s">
        <v>1602</v>
      </c>
      <c r="D350" s="19" t="s">
        <v>1862</v>
      </c>
      <c r="E350" s="19" t="s">
        <v>1858</v>
      </c>
      <c r="F350" s="19" t="s">
        <v>1868</v>
      </c>
      <c r="G350" s="19" t="s">
        <v>1899</v>
      </c>
      <c r="H350" s="19">
        <v>16</v>
      </c>
      <c r="I350" s="19">
        <v>1880.67</v>
      </c>
      <c r="J350" s="19">
        <v>30090.72</v>
      </c>
    </row>
    <row r="351" ht="15.25" spans="1:10">
      <c r="A351" s="18">
        <v>45238</v>
      </c>
      <c r="B351" s="19" t="s">
        <v>1878</v>
      </c>
      <c r="C351" s="19" t="s">
        <v>1589</v>
      </c>
      <c r="D351" s="19" t="s">
        <v>1884</v>
      </c>
      <c r="E351" s="19" t="s">
        <v>1895</v>
      </c>
      <c r="F351" s="19" t="s">
        <v>1876</v>
      </c>
      <c r="G351" s="19" t="s">
        <v>1926</v>
      </c>
      <c r="H351" s="19">
        <v>7</v>
      </c>
      <c r="I351" s="19">
        <v>2187.71</v>
      </c>
      <c r="J351" s="19">
        <v>15313.97</v>
      </c>
    </row>
    <row r="352" ht="15.25" spans="1:10">
      <c r="A352" s="18" t="s">
        <v>1933</v>
      </c>
      <c r="B352" s="19" t="s">
        <v>1861</v>
      </c>
      <c r="C352" s="19" t="s">
        <v>1906</v>
      </c>
      <c r="D352" s="19" t="s">
        <v>1862</v>
      </c>
      <c r="E352" s="19" t="s">
        <v>1858</v>
      </c>
      <c r="F352" s="19" t="s">
        <v>1865</v>
      </c>
      <c r="G352" s="19" t="s">
        <v>1890</v>
      </c>
      <c r="H352" s="19">
        <v>14</v>
      </c>
      <c r="I352" s="19">
        <v>1024.22</v>
      </c>
      <c r="J352" s="19">
        <v>14339.08</v>
      </c>
    </row>
    <row r="353" ht="15.25" spans="1:10">
      <c r="A353" s="18" t="s">
        <v>1919</v>
      </c>
      <c r="B353" s="19" t="s">
        <v>1892</v>
      </c>
      <c r="C353" s="19" t="s">
        <v>1864</v>
      </c>
      <c r="D353" s="19" t="s">
        <v>1857</v>
      </c>
      <c r="E353" s="19" t="s">
        <v>1858</v>
      </c>
      <c r="F353" s="19" t="s">
        <v>1865</v>
      </c>
      <c r="G353" s="19" t="s">
        <v>1886</v>
      </c>
      <c r="H353" s="19">
        <v>17</v>
      </c>
      <c r="I353" s="19">
        <v>544.42</v>
      </c>
      <c r="J353" s="19">
        <v>9255.14</v>
      </c>
    </row>
    <row r="354" ht="26.75" spans="1:10">
      <c r="A354" s="18" t="s">
        <v>1963</v>
      </c>
      <c r="B354" s="19" t="s">
        <v>1871</v>
      </c>
      <c r="C354" s="19" t="s">
        <v>1593</v>
      </c>
      <c r="D354" s="19" t="s">
        <v>1850</v>
      </c>
      <c r="E354" s="19" t="s">
        <v>1851</v>
      </c>
      <c r="F354" s="19" t="s">
        <v>1859</v>
      </c>
      <c r="G354" s="19" t="s">
        <v>1922</v>
      </c>
      <c r="H354" s="19">
        <v>4</v>
      </c>
      <c r="I354" s="19">
        <v>942.96</v>
      </c>
      <c r="J354" s="19">
        <v>3771.84</v>
      </c>
    </row>
    <row r="355" ht="15.25" spans="1:10">
      <c r="A355" s="18">
        <v>45211</v>
      </c>
      <c r="B355" s="19" t="s">
        <v>1892</v>
      </c>
      <c r="C355" s="19" t="s">
        <v>1626</v>
      </c>
      <c r="D355" s="19" t="s">
        <v>1857</v>
      </c>
      <c r="E355" s="19" t="s">
        <v>1858</v>
      </c>
      <c r="F355" s="19" t="s">
        <v>1852</v>
      </c>
      <c r="G355" s="19" t="s">
        <v>1950</v>
      </c>
      <c r="H355" s="19">
        <v>12</v>
      </c>
      <c r="I355" s="19">
        <v>1799.38</v>
      </c>
      <c r="J355" s="19">
        <v>21592.56</v>
      </c>
    </row>
    <row r="356" ht="15.25" spans="1:10">
      <c r="A356" s="18" t="s">
        <v>1882</v>
      </c>
      <c r="B356" s="19" t="s">
        <v>1867</v>
      </c>
      <c r="C356" s="19" t="s">
        <v>1626</v>
      </c>
      <c r="D356" s="19" t="s">
        <v>1857</v>
      </c>
      <c r="E356" s="19" t="s">
        <v>1858</v>
      </c>
      <c r="F356" s="19" t="s">
        <v>1865</v>
      </c>
      <c r="G356" s="19" t="s">
        <v>1890</v>
      </c>
      <c r="H356" s="19">
        <v>11</v>
      </c>
      <c r="I356" s="19">
        <v>1634.39</v>
      </c>
      <c r="J356" s="19">
        <v>17978.29</v>
      </c>
    </row>
    <row r="357" ht="26.75" spans="1:10">
      <c r="A357" s="18">
        <v>45148</v>
      </c>
      <c r="B357" s="19" t="s">
        <v>1902</v>
      </c>
      <c r="C357" s="19" t="s">
        <v>1593</v>
      </c>
      <c r="D357" s="19" t="s">
        <v>1850</v>
      </c>
      <c r="E357" s="19" t="s">
        <v>1851</v>
      </c>
      <c r="F357" s="19" t="s">
        <v>1852</v>
      </c>
      <c r="G357" s="19" t="s">
        <v>1934</v>
      </c>
      <c r="H357" s="19">
        <v>3</v>
      </c>
      <c r="I357" s="19">
        <v>2950.28</v>
      </c>
      <c r="J357" s="19">
        <v>8850.84</v>
      </c>
    </row>
    <row r="358" ht="26.75" spans="1:10">
      <c r="A358" s="18" t="s">
        <v>2050</v>
      </c>
      <c r="B358" s="19" t="s">
        <v>1867</v>
      </c>
      <c r="C358" s="19" t="s">
        <v>1598</v>
      </c>
      <c r="D358" s="19" t="s">
        <v>1850</v>
      </c>
      <c r="E358" s="19" t="s">
        <v>1851</v>
      </c>
      <c r="F358" s="19" t="s">
        <v>1868</v>
      </c>
      <c r="G358" s="19" t="s">
        <v>1917</v>
      </c>
      <c r="H358" s="19">
        <v>10</v>
      </c>
      <c r="I358" s="19">
        <v>4788</v>
      </c>
      <c r="J358" s="19">
        <v>47880</v>
      </c>
    </row>
    <row r="359" ht="15.25" spans="1:10">
      <c r="A359" s="18" t="s">
        <v>1963</v>
      </c>
      <c r="B359" s="19" t="s">
        <v>1855</v>
      </c>
      <c r="C359" s="19" t="s">
        <v>1856</v>
      </c>
      <c r="D359" s="19" t="s">
        <v>1857</v>
      </c>
      <c r="E359" s="19" t="s">
        <v>1858</v>
      </c>
      <c r="F359" s="19" t="s">
        <v>1852</v>
      </c>
      <c r="G359" s="19" t="s">
        <v>1910</v>
      </c>
      <c r="H359" s="19">
        <v>8</v>
      </c>
      <c r="I359" s="19">
        <v>1807.67</v>
      </c>
      <c r="J359" s="19">
        <v>14461.36</v>
      </c>
    </row>
    <row r="360" ht="15.25" spans="1:10">
      <c r="A360" s="18">
        <v>44967</v>
      </c>
      <c r="B360" s="19" t="s">
        <v>1874</v>
      </c>
      <c r="C360" s="19" t="s">
        <v>1602</v>
      </c>
      <c r="D360" s="19" t="s">
        <v>1862</v>
      </c>
      <c r="E360" s="19" t="s">
        <v>1858</v>
      </c>
      <c r="F360" s="19" t="s">
        <v>1868</v>
      </c>
      <c r="G360" s="19" t="s">
        <v>1917</v>
      </c>
      <c r="H360" s="19">
        <v>19</v>
      </c>
      <c r="I360" s="19">
        <v>797.02</v>
      </c>
      <c r="J360" s="19">
        <v>15143.38</v>
      </c>
    </row>
    <row r="361" ht="15.25" spans="1:10">
      <c r="A361" s="18" t="s">
        <v>1989</v>
      </c>
      <c r="B361" s="19" t="s">
        <v>1855</v>
      </c>
      <c r="C361" s="19" t="s">
        <v>1856</v>
      </c>
      <c r="D361" s="19" t="s">
        <v>1857</v>
      </c>
      <c r="E361" s="19" t="s">
        <v>1858</v>
      </c>
      <c r="F361" s="19" t="s">
        <v>1876</v>
      </c>
      <c r="G361" s="19" t="s">
        <v>1926</v>
      </c>
      <c r="H361" s="19">
        <v>2</v>
      </c>
      <c r="I361" s="19">
        <v>1195.99</v>
      </c>
      <c r="J361" s="19">
        <v>2391.98</v>
      </c>
    </row>
    <row r="362" ht="15.25" spans="1:10">
      <c r="A362" s="18">
        <v>45082</v>
      </c>
      <c r="B362" s="19" t="s">
        <v>1889</v>
      </c>
      <c r="C362" s="19" t="s">
        <v>1898</v>
      </c>
      <c r="D362" s="19" t="s">
        <v>1879</v>
      </c>
      <c r="E362" s="19" t="s">
        <v>1851</v>
      </c>
      <c r="F362" s="19" t="s">
        <v>1865</v>
      </c>
      <c r="G362" s="19" t="s">
        <v>1920</v>
      </c>
      <c r="H362" s="19">
        <v>20</v>
      </c>
      <c r="I362" s="19">
        <v>2056.65</v>
      </c>
      <c r="J362" s="19">
        <v>41133</v>
      </c>
    </row>
    <row r="363" ht="15.25" spans="1:10">
      <c r="A363" s="18">
        <v>45019</v>
      </c>
      <c r="B363" s="19" t="s">
        <v>1889</v>
      </c>
      <c r="C363" s="19" t="s">
        <v>1626</v>
      </c>
      <c r="D363" s="19" t="s">
        <v>1857</v>
      </c>
      <c r="E363" s="19" t="s">
        <v>1858</v>
      </c>
      <c r="F363" s="19" t="s">
        <v>1852</v>
      </c>
      <c r="G363" s="19" t="s">
        <v>1950</v>
      </c>
      <c r="H363" s="19">
        <v>16</v>
      </c>
      <c r="I363" s="19">
        <v>4817.63</v>
      </c>
      <c r="J363" s="19">
        <v>77082.08</v>
      </c>
    </row>
    <row r="364" ht="15.25" spans="1:10">
      <c r="A364" s="18" t="s">
        <v>1965</v>
      </c>
      <c r="B364" s="19" t="s">
        <v>1855</v>
      </c>
      <c r="C364" s="19" t="s">
        <v>1875</v>
      </c>
      <c r="D364" s="19" t="s">
        <v>1862</v>
      </c>
      <c r="E364" s="19" t="s">
        <v>1858</v>
      </c>
      <c r="F364" s="19" t="s">
        <v>1865</v>
      </c>
      <c r="G364" s="19" t="s">
        <v>1890</v>
      </c>
      <c r="H364" s="19">
        <v>7</v>
      </c>
      <c r="I364" s="19">
        <v>4950.24</v>
      </c>
      <c r="J364" s="19">
        <v>34651.68</v>
      </c>
    </row>
    <row r="365" ht="26.75" spans="1:10">
      <c r="A365" s="18" t="s">
        <v>1954</v>
      </c>
      <c r="B365" s="19" t="s">
        <v>1889</v>
      </c>
      <c r="C365" s="19" t="s">
        <v>1593</v>
      </c>
      <c r="D365" s="19" t="s">
        <v>1850</v>
      </c>
      <c r="E365" s="19" t="s">
        <v>1851</v>
      </c>
      <c r="F365" s="19" t="s">
        <v>1865</v>
      </c>
      <c r="G365" s="19" t="s">
        <v>1890</v>
      </c>
      <c r="H365" s="19">
        <v>9</v>
      </c>
      <c r="I365" s="19">
        <v>2935.97</v>
      </c>
      <c r="J365" s="19">
        <v>26423.73</v>
      </c>
    </row>
    <row r="366" ht="15.25" spans="1:10">
      <c r="A366" s="18">
        <v>45181</v>
      </c>
      <c r="B366" s="19" t="s">
        <v>1902</v>
      </c>
      <c r="C366" s="19" t="s">
        <v>1941</v>
      </c>
      <c r="D366" s="19" t="s">
        <v>1879</v>
      </c>
      <c r="E366" s="19" t="s">
        <v>1851</v>
      </c>
      <c r="F366" s="19" t="s">
        <v>1868</v>
      </c>
      <c r="G366" s="19" t="s">
        <v>1869</v>
      </c>
      <c r="H366" s="19">
        <v>9</v>
      </c>
      <c r="I366" s="19">
        <v>3560.8</v>
      </c>
      <c r="J366" s="19">
        <v>32047.2</v>
      </c>
    </row>
    <row r="367" ht="15.25" spans="1:10">
      <c r="A367" s="18">
        <v>45141</v>
      </c>
      <c r="B367" s="19" t="s">
        <v>1902</v>
      </c>
      <c r="C367" s="19" t="s">
        <v>1898</v>
      </c>
      <c r="D367" s="19" t="s">
        <v>1879</v>
      </c>
      <c r="E367" s="19" t="s">
        <v>1851</v>
      </c>
      <c r="F367" s="19" t="s">
        <v>1859</v>
      </c>
      <c r="G367" s="19" t="s">
        <v>1947</v>
      </c>
      <c r="H367" s="19">
        <v>11</v>
      </c>
      <c r="I367" s="19">
        <v>4890.92</v>
      </c>
      <c r="J367" s="19">
        <v>53800.12</v>
      </c>
    </row>
    <row r="368" ht="15.25" spans="1:10">
      <c r="A368" s="18" t="s">
        <v>2017</v>
      </c>
      <c r="B368" s="19" t="s">
        <v>1871</v>
      </c>
      <c r="C368" s="19" t="s">
        <v>1875</v>
      </c>
      <c r="D368" s="19" t="s">
        <v>1862</v>
      </c>
      <c r="E368" s="19" t="s">
        <v>1858</v>
      </c>
      <c r="F368" s="19" t="s">
        <v>1865</v>
      </c>
      <c r="G368" s="19" t="s">
        <v>1866</v>
      </c>
      <c r="H368" s="19">
        <v>8</v>
      </c>
      <c r="I368" s="19">
        <v>4143.56</v>
      </c>
      <c r="J368" s="19">
        <v>33148.48</v>
      </c>
    </row>
    <row r="369" ht="15.25" spans="1:10">
      <c r="A369" s="18" t="s">
        <v>2051</v>
      </c>
      <c r="B369" s="19" t="s">
        <v>1892</v>
      </c>
      <c r="C369" s="19" t="s">
        <v>1626</v>
      </c>
      <c r="D369" s="19" t="s">
        <v>1857</v>
      </c>
      <c r="E369" s="19" t="s">
        <v>1858</v>
      </c>
      <c r="F369" s="19" t="s">
        <v>1868</v>
      </c>
      <c r="G369" s="19" t="s">
        <v>1917</v>
      </c>
      <c r="H369" s="19">
        <v>4</v>
      </c>
      <c r="I369" s="19">
        <v>2395.66</v>
      </c>
      <c r="J369" s="19">
        <v>9582.64</v>
      </c>
    </row>
    <row r="370" ht="15.25" spans="1:10">
      <c r="A370" s="18">
        <v>45177</v>
      </c>
      <c r="B370" s="19" t="s">
        <v>1871</v>
      </c>
      <c r="C370" s="19" t="s">
        <v>1941</v>
      </c>
      <c r="D370" s="19" t="s">
        <v>1879</v>
      </c>
      <c r="E370" s="19" t="s">
        <v>1851</v>
      </c>
      <c r="F370" s="19" t="s">
        <v>1865</v>
      </c>
      <c r="G370" s="19" t="s">
        <v>1886</v>
      </c>
      <c r="H370" s="19">
        <v>18</v>
      </c>
      <c r="I370" s="19">
        <v>1582.02</v>
      </c>
      <c r="J370" s="19">
        <v>28476.36</v>
      </c>
    </row>
    <row r="371" ht="15.25" spans="1:10">
      <c r="A371" s="18" t="s">
        <v>2052</v>
      </c>
      <c r="B371" s="19" t="s">
        <v>1848</v>
      </c>
      <c r="C371" s="19" t="s">
        <v>1898</v>
      </c>
      <c r="D371" s="19" t="s">
        <v>1879</v>
      </c>
      <c r="E371" s="19" t="s">
        <v>1851</v>
      </c>
      <c r="F371" s="19" t="s">
        <v>1865</v>
      </c>
      <c r="G371" s="19" t="s">
        <v>1890</v>
      </c>
      <c r="H371" s="19">
        <v>14</v>
      </c>
      <c r="I371" s="19">
        <v>3381.77</v>
      </c>
      <c r="J371" s="19">
        <v>47344.78</v>
      </c>
    </row>
    <row r="372" ht="15.25" spans="1:10">
      <c r="A372" s="18" t="s">
        <v>1940</v>
      </c>
      <c r="B372" s="19" t="s">
        <v>1902</v>
      </c>
      <c r="C372" s="19" t="s">
        <v>1602</v>
      </c>
      <c r="D372" s="19" t="s">
        <v>1862</v>
      </c>
      <c r="E372" s="19" t="s">
        <v>1858</v>
      </c>
      <c r="F372" s="19" t="s">
        <v>1859</v>
      </c>
      <c r="G372" s="19" t="s">
        <v>1872</v>
      </c>
      <c r="H372" s="19">
        <v>16</v>
      </c>
      <c r="I372" s="19">
        <v>2580.42</v>
      </c>
      <c r="J372" s="19">
        <v>41286.72</v>
      </c>
    </row>
    <row r="373" ht="15.25" spans="1:10">
      <c r="A373" s="18" t="s">
        <v>2049</v>
      </c>
      <c r="B373" s="19" t="s">
        <v>1878</v>
      </c>
      <c r="C373" s="19" t="s">
        <v>1941</v>
      </c>
      <c r="D373" s="19" t="s">
        <v>1879</v>
      </c>
      <c r="E373" s="19" t="s">
        <v>1851</v>
      </c>
      <c r="F373" s="19" t="s">
        <v>1865</v>
      </c>
      <c r="G373" s="19" t="s">
        <v>1890</v>
      </c>
      <c r="H373" s="19">
        <v>3</v>
      </c>
      <c r="I373" s="19">
        <v>3838.25</v>
      </c>
      <c r="J373" s="19">
        <v>11514.75</v>
      </c>
    </row>
    <row r="374" ht="15.25" spans="1:10">
      <c r="A374" s="18" t="s">
        <v>1972</v>
      </c>
      <c r="B374" s="19" t="s">
        <v>1878</v>
      </c>
      <c r="C374" s="19" t="s">
        <v>1626</v>
      </c>
      <c r="D374" s="19" t="s">
        <v>1857</v>
      </c>
      <c r="E374" s="19" t="s">
        <v>1858</v>
      </c>
      <c r="F374" s="19" t="s">
        <v>1868</v>
      </c>
      <c r="G374" s="19" t="s">
        <v>1899</v>
      </c>
      <c r="H374" s="19">
        <v>2</v>
      </c>
      <c r="I374" s="19">
        <v>591.6</v>
      </c>
      <c r="J374" s="19">
        <v>1183.2</v>
      </c>
    </row>
    <row r="375" ht="15.25" spans="1:10">
      <c r="A375" s="18" t="s">
        <v>2053</v>
      </c>
      <c r="B375" s="19" t="s">
        <v>1861</v>
      </c>
      <c r="C375" s="19" t="s">
        <v>1589</v>
      </c>
      <c r="D375" s="19" t="s">
        <v>1884</v>
      </c>
      <c r="E375" s="19" t="s">
        <v>1895</v>
      </c>
      <c r="F375" s="19" t="s">
        <v>1865</v>
      </c>
      <c r="G375" s="19" t="s">
        <v>1890</v>
      </c>
      <c r="H375" s="19">
        <v>1</v>
      </c>
      <c r="I375" s="19">
        <v>2709.05</v>
      </c>
      <c r="J375" s="19">
        <v>2709.05</v>
      </c>
    </row>
    <row r="376" ht="15.25" spans="1:10">
      <c r="A376" s="18">
        <v>45177</v>
      </c>
      <c r="B376" s="19" t="s">
        <v>1867</v>
      </c>
      <c r="C376" s="19" t="s">
        <v>1602</v>
      </c>
      <c r="D376" s="19" t="s">
        <v>1862</v>
      </c>
      <c r="E376" s="19" t="s">
        <v>1858</v>
      </c>
      <c r="F376" s="19" t="s">
        <v>1876</v>
      </c>
      <c r="G376" s="19" t="s">
        <v>1926</v>
      </c>
      <c r="H376" s="19">
        <v>5</v>
      </c>
      <c r="I376" s="19">
        <v>194.7</v>
      </c>
      <c r="J376" s="19">
        <v>973.5</v>
      </c>
    </row>
    <row r="377" ht="15.25" spans="1:10">
      <c r="A377" s="18" t="s">
        <v>2031</v>
      </c>
      <c r="B377" s="19" t="s">
        <v>1861</v>
      </c>
      <c r="C377" s="19" t="s">
        <v>1898</v>
      </c>
      <c r="D377" s="19" t="s">
        <v>1879</v>
      </c>
      <c r="E377" s="19" t="s">
        <v>1851</v>
      </c>
      <c r="F377" s="19" t="s">
        <v>1859</v>
      </c>
      <c r="G377" s="19" t="s">
        <v>1872</v>
      </c>
      <c r="H377" s="19">
        <v>4</v>
      </c>
      <c r="I377" s="19">
        <v>900.33</v>
      </c>
      <c r="J377" s="19">
        <v>3601.32</v>
      </c>
    </row>
    <row r="378" ht="15.25" spans="1:10">
      <c r="A378" s="18" t="s">
        <v>2054</v>
      </c>
      <c r="B378" s="19" t="s">
        <v>1871</v>
      </c>
      <c r="C378" s="19" t="s">
        <v>1864</v>
      </c>
      <c r="D378" s="19" t="s">
        <v>1857</v>
      </c>
      <c r="E378" s="19" t="s">
        <v>1858</v>
      </c>
      <c r="F378" s="19" t="s">
        <v>1868</v>
      </c>
      <c r="G378" s="19" t="s">
        <v>1869</v>
      </c>
      <c r="H378" s="19">
        <v>13</v>
      </c>
      <c r="I378" s="19">
        <v>3574.45</v>
      </c>
      <c r="J378" s="19">
        <v>46467.85</v>
      </c>
    </row>
    <row r="379" ht="15.25" spans="1:10">
      <c r="A379" s="18" t="s">
        <v>1961</v>
      </c>
      <c r="B379" s="19" t="s">
        <v>1855</v>
      </c>
      <c r="C379" s="19" t="s">
        <v>1894</v>
      </c>
      <c r="D379" s="19" t="s">
        <v>1884</v>
      </c>
      <c r="E379" s="19" t="s">
        <v>1895</v>
      </c>
      <c r="F379" s="19" t="s">
        <v>1876</v>
      </c>
      <c r="G379" s="19" t="s">
        <v>1877</v>
      </c>
      <c r="H379" s="19">
        <v>20</v>
      </c>
      <c r="I379" s="19">
        <v>1637.44</v>
      </c>
      <c r="J379" s="19">
        <v>32748.8</v>
      </c>
    </row>
    <row r="380" ht="15.25" spans="1:10">
      <c r="A380" s="18" t="s">
        <v>1980</v>
      </c>
      <c r="B380" s="19" t="s">
        <v>1861</v>
      </c>
      <c r="C380" s="19" t="s">
        <v>1906</v>
      </c>
      <c r="D380" s="19" t="s">
        <v>1862</v>
      </c>
      <c r="E380" s="19" t="s">
        <v>1858</v>
      </c>
      <c r="F380" s="19" t="s">
        <v>1852</v>
      </c>
      <c r="G380" s="19" t="s">
        <v>1934</v>
      </c>
      <c r="H380" s="19">
        <v>14</v>
      </c>
      <c r="I380" s="19">
        <v>3177.8</v>
      </c>
      <c r="J380" s="19">
        <v>44489.2</v>
      </c>
    </row>
    <row r="381" ht="15.25" spans="1:10">
      <c r="A381" s="18" t="s">
        <v>2032</v>
      </c>
      <c r="B381" s="19" t="s">
        <v>1874</v>
      </c>
      <c r="C381" s="19" t="s">
        <v>1875</v>
      </c>
      <c r="D381" s="19" t="s">
        <v>1862</v>
      </c>
      <c r="E381" s="19" t="s">
        <v>1858</v>
      </c>
      <c r="F381" s="19" t="s">
        <v>1876</v>
      </c>
      <c r="G381" s="19" t="s">
        <v>1883</v>
      </c>
      <c r="H381" s="19">
        <v>1</v>
      </c>
      <c r="I381" s="19">
        <v>3382.37</v>
      </c>
      <c r="J381" s="19">
        <v>3382.37</v>
      </c>
    </row>
    <row r="382" ht="15.25" spans="1:10">
      <c r="A382" s="18" t="s">
        <v>1946</v>
      </c>
      <c r="B382" s="19" t="s">
        <v>1848</v>
      </c>
      <c r="C382" s="19" t="s">
        <v>1894</v>
      </c>
      <c r="D382" s="19" t="s">
        <v>1884</v>
      </c>
      <c r="E382" s="19" t="s">
        <v>1895</v>
      </c>
      <c r="F382" s="19" t="s">
        <v>1859</v>
      </c>
      <c r="G382" s="19" t="s">
        <v>1947</v>
      </c>
      <c r="H382" s="19">
        <v>19</v>
      </c>
      <c r="I382" s="19">
        <v>2816.52</v>
      </c>
      <c r="J382" s="19">
        <v>53513.88</v>
      </c>
    </row>
    <row r="383" ht="15.25" spans="1:10">
      <c r="A383" s="18" t="s">
        <v>1893</v>
      </c>
      <c r="B383" s="19" t="s">
        <v>1848</v>
      </c>
      <c r="C383" s="19" t="s">
        <v>1589</v>
      </c>
      <c r="D383" s="19" t="s">
        <v>1884</v>
      </c>
      <c r="E383" s="19" t="s">
        <v>1895</v>
      </c>
      <c r="F383" s="19" t="s">
        <v>1868</v>
      </c>
      <c r="G383" s="19" t="s">
        <v>1907</v>
      </c>
      <c r="H383" s="19">
        <v>13</v>
      </c>
      <c r="I383" s="19">
        <v>3417.94</v>
      </c>
      <c r="J383" s="19">
        <v>44433.22</v>
      </c>
    </row>
    <row r="384" ht="15.25" spans="1:10">
      <c r="A384" s="18" t="s">
        <v>1870</v>
      </c>
      <c r="B384" s="19" t="s">
        <v>1848</v>
      </c>
      <c r="C384" s="19" t="s">
        <v>1875</v>
      </c>
      <c r="D384" s="19" t="s">
        <v>1862</v>
      </c>
      <c r="E384" s="19" t="s">
        <v>1858</v>
      </c>
      <c r="F384" s="19" t="s">
        <v>1865</v>
      </c>
      <c r="G384" s="19" t="s">
        <v>1920</v>
      </c>
      <c r="H384" s="19">
        <v>14</v>
      </c>
      <c r="I384" s="19">
        <v>917.55</v>
      </c>
      <c r="J384" s="19">
        <v>12845.7</v>
      </c>
    </row>
    <row r="385" ht="26.75" spans="1:10">
      <c r="A385" s="18">
        <v>45263</v>
      </c>
      <c r="B385" s="19" t="s">
        <v>1878</v>
      </c>
      <c r="C385" s="19" t="s">
        <v>1849</v>
      </c>
      <c r="D385" s="19" t="s">
        <v>1850</v>
      </c>
      <c r="E385" s="19" t="s">
        <v>1851</v>
      </c>
      <c r="F385" s="19" t="s">
        <v>1876</v>
      </c>
      <c r="G385" s="19" t="s">
        <v>1877</v>
      </c>
      <c r="H385" s="19">
        <v>1</v>
      </c>
      <c r="I385" s="19">
        <v>1598.87</v>
      </c>
      <c r="J385" s="19">
        <v>1598.87</v>
      </c>
    </row>
    <row r="386" ht="15.25" spans="1:10">
      <c r="A386" s="18">
        <v>44936</v>
      </c>
      <c r="B386" s="19" t="s">
        <v>1878</v>
      </c>
      <c r="C386" s="19" t="s">
        <v>1894</v>
      </c>
      <c r="D386" s="19" t="s">
        <v>1884</v>
      </c>
      <c r="E386" s="19" t="s">
        <v>1895</v>
      </c>
      <c r="F386" s="19" t="s">
        <v>1852</v>
      </c>
      <c r="G386" s="19" t="s">
        <v>1853</v>
      </c>
      <c r="H386" s="19">
        <v>7</v>
      </c>
      <c r="I386" s="19">
        <v>405.27</v>
      </c>
      <c r="J386" s="19">
        <v>2836.89</v>
      </c>
    </row>
    <row r="387" ht="26.75" spans="1:10">
      <c r="A387" s="18">
        <v>45270</v>
      </c>
      <c r="B387" s="19" t="s">
        <v>1878</v>
      </c>
      <c r="C387" s="19" t="s">
        <v>1593</v>
      </c>
      <c r="D387" s="19" t="s">
        <v>1850</v>
      </c>
      <c r="E387" s="19" t="s">
        <v>1851</v>
      </c>
      <c r="F387" s="19" t="s">
        <v>1868</v>
      </c>
      <c r="G387" s="19" t="s">
        <v>1899</v>
      </c>
      <c r="H387" s="19">
        <v>5</v>
      </c>
      <c r="I387" s="19">
        <v>2819.92</v>
      </c>
      <c r="J387" s="19">
        <v>14099.6</v>
      </c>
    </row>
    <row r="388" ht="15.25" spans="1:10">
      <c r="A388" s="18" t="s">
        <v>2055</v>
      </c>
      <c r="B388" s="19" t="s">
        <v>1861</v>
      </c>
      <c r="C388" s="19" t="s">
        <v>1875</v>
      </c>
      <c r="D388" s="19" t="s">
        <v>1862</v>
      </c>
      <c r="E388" s="19" t="s">
        <v>1858</v>
      </c>
      <c r="F388" s="19" t="s">
        <v>1876</v>
      </c>
      <c r="G388" s="19" t="s">
        <v>1877</v>
      </c>
      <c r="H388" s="19">
        <v>7</v>
      </c>
      <c r="I388" s="19">
        <v>4023.6</v>
      </c>
      <c r="J388" s="19">
        <v>28165.2</v>
      </c>
    </row>
    <row r="389" ht="15.25" spans="1:10">
      <c r="A389" s="18" t="s">
        <v>1933</v>
      </c>
      <c r="B389" s="19" t="s">
        <v>1867</v>
      </c>
      <c r="C389" s="19" t="s">
        <v>1626</v>
      </c>
      <c r="D389" s="19" t="s">
        <v>1857</v>
      </c>
      <c r="E389" s="19" t="s">
        <v>1858</v>
      </c>
      <c r="F389" s="19" t="s">
        <v>1868</v>
      </c>
      <c r="G389" s="19" t="s">
        <v>1899</v>
      </c>
      <c r="H389" s="19">
        <v>6</v>
      </c>
      <c r="I389" s="19">
        <v>4911.79</v>
      </c>
      <c r="J389" s="19">
        <v>29470.74</v>
      </c>
    </row>
    <row r="390" ht="15.25" spans="1:10">
      <c r="A390" s="18">
        <v>45210</v>
      </c>
      <c r="B390" s="19" t="s">
        <v>1874</v>
      </c>
      <c r="C390" s="19" t="s">
        <v>1906</v>
      </c>
      <c r="D390" s="19" t="s">
        <v>1862</v>
      </c>
      <c r="E390" s="19" t="s">
        <v>1858</v>
      </c>
      <c r="F390" s="19" t="s">
        <v>1852</v>
      </c>
      <c r="G390" s="19" t="s">
        <v>1910</v>
      </c>
      <c r="H390" s="19">
        <v>7</v>
      </c>
      <c r="I390" s="19">
        <v>2186.75</v>
      </c>
      <c r="J390" s="19">
        <v>15307.25</v>
      </c>
    </row>
    <row r="391" ht="15.25" spans="1:10">
      <c r="A391" s="18" t="s">
        <v>1942</v>
      </c>
      <c r="B391" s="19" t="s">
        <v>1902</v>
      </c>
      <c r="C391" s="19" t="s">
        <v>1894</v>
      </c>
      <c r="D391" s="19" t="s">
        <v>1884</v>
      </c>
      <c r="E391" s="19" t="s">
        <v>1895</v>
      </c>
      <c r="F391" s="19" t="s">
        <v>1859</v>
      </c>
      <c r="G391" s="19" t="s">
        <v>1860</v>
      </c>
      <c r="H391" s="19">
        <v>9</v>
      </c>
      <c r="I391" s="19">
        <v>2304.23</v>
      </c>
      <c r="J391" s="19">
        <v>20738.07</v>
      </c>
    </row>
    <row r="392" ht="26.75" spans="1:10">
      <c r="A392" s="18">
        <v>45021</v>
      </c>
      <c r="B392" s="19" t="s">
        <v>1874</v>
      </c>
      <c r="C392" s="19" t="s">
        <v>1593</v>
      </c>
      <c r="D392" s="19" t="s">
        <v>1850</v>
      </c>
      <c r="E392" s="19" t="s">
        <v>1851</v>
      </c>
      <c r="F392" s="19" t="s">
        <v>1876</v>
      </c>
      <c r="G392" s="19" t="s">
        <v>1883</v>
      </c>
      <c r="H392" s="19">
        <v>6</v>
      </c>
      <c r="I392" s="19">
        <v>2282.55</v>
      </c>
      <c r="J392" s="19">
        <v>13695.3</v>
      </c>
    </row>
    <row r="393" ht="15.25" spans="1:10">
      <c r="A393" s="18" t="s">
        <v>2031</v>
      </c>
      <c r="B393" s="19" t="s">
        <v>1867</v>
      </c>
      <c r="C393" s="19" t="s">
        <v>1610</v>
      </c>
      <c r="D393" s="19" t="s">
        <v>1879</v>
      </c>
      <c r="E393" s="19" t="s">
        <v>1851</v>
      </c>
      <c r="F393" s="19" t="s">
        <v>1876</v>
      </c>
      <c r="G393" s="19" t="s">
        <v>1926</v>
      </c>
      <c r="H393" s="19">
        <v>4</v>
      </c>
      <c r="I393" s="19">
        <v>4778.23</v>
      </c>
      <c r="J393" s="19">
        <v>19112.92</v>
      </c>
    </row>
    <row r="394" ht="15.25" spans="1:10">
      <c r="A394" s="18">
        <v>44931</v>
      </c>
      <c r="B394" s="19" t="s">
        <v>1878</v>
      </c>
      <c r="C394" s="19" t="s">
        <v>1856</v>
      </c>
      <c r="D394" s="19" t="s">
        <v>1857</v>
      </c>
      <c r="E394" s="19" t="s">
        <v>1858</v>
      </c>
      <c r="F394" s="19" t="s">
        <v>1865</v>
      </c>
      <c r="G394" s="19" t="s">
        <v>1890</v>
      </c>
      <c r="H394" s="19">
        <v>11</v>
      </c>
      <c r="I394" s="19">
        <v>1286.08</v>
      </c>
      <c r="J394" s="19">
        <v>14146.88</v>
      </c>
    </row>
    <row r="395" ht="26.75" spans="1:10">
      <c r="A395" s="18" t="s">
        <v>2056</v>
      </c>
      <c r="B395" s="19" t="s">
        <v>1889</v>
      </c>
      <c r="C395" s="19" t="s">
        <v>1598</v>
      </c>
      <c r="D395" s="19" t="s">
        <v>1850</v>
      </c>
      <c r="E395" s="19" t="s">
        <v>1851</v>
      </c>
      <c r="F395" s="19" t="s">
        <v>1876</v>
      </c>
      <c r="G395" s="19" t="s">
        <v>1930</v>
      </c>
      <c r="H395" s="19">
        <v>19</v>
      </c>
      <c r="I395" s="19">
        <v>1844.31</v>
      </c>
      <c r="J395" s="19">
        <v>35041.89</v>
      </c>
    </row>
    <row r="396" ht="15.25" spans="1:10">
      <c r="A396" s="18">
        <v>44969</v>
      </c>
      <c r="B396" s="19" t="s">
        <v>1889</v>
      </c>
      <c r="C396" s="19" t="s">
        <v>1610</v>
      </c>
      <c r="D396" s="19" t="s">
        <v>1879</v>
      </c>
      <c r="E396" s="19" t="s">
        <v>1851</v>
      </c>
      <c r="F396" s="19" t="s">
        <v>1865</v>
      </c>
      <c r="G396" s="19" t="s">
        <v>1866</v>
      </c>
      <c r="H396" s="19">
        <v>14</v>
      </c>
      <c r="I396" s="19">
        <v>148.43</v>
      </c>
      <c r="J396" s="19">
        <v>2078.02</v>
      </c>
    </row>
    <row r="397" ht="15.25" spans="1:10">
      <c r="A397" s="18">
        <v>45140</v>
      </c>
      <c r="B397" s="19" t="s">
        <v>1889</v>
      </c>
      <c r="C397" s="19" t="s">
        <v>1941</v>
      </c>
      <c r="D397" s="19" t="s">
        <v>1879</v>
      </c>
      <c r="E397" s="19" t="s">
        <v>1851</v>
      </c>
      <c r="F397" s="19" t="s">
        <v>1859</v>
      </c>
      <c r="G397" s="19" t="s">
        <v>1872</v>
      </c>
      <c r="H397" s="19">
        <v>3</v>
      </c>
      <c r="I397" s="19">
        <v>2502.81</v>
      </c>
      <c r="J397" s="19">
        <v>7508.43</v>
      </c>
    </row>
    <row r="398" ht="15.25" spans="1:10">
      <c r="A398" s="18">
        <v>45082</v>
      </c>
      <c r="B398" s="19" t="s">
        <v>1902</v>
      </c>
      <c r="C398" s="19" t="s">
        <v>1610</v>
      </c>
      <c r="D398" s="19" t="s">
        <v>1879</v>
      </c>
      <c r="E398" s="19" t="s">
        <v>1851</v>
      </c>
      <c r="F398" s="19" t="s">
        <v>1852</v>
      </c>
      <c r="G398" s="19" t="s">
        <v>1910</v>
      </c>
      <c r="H398" s="19">
        <v>7</v>
      </c>
      <c r="I398" s="19">
        <v>3721.37</v>
      </c>
      <c r="J398" s="19">
        <v>26049.59</v>
      </c>
    </row>
    <row r="399" ht="15.25" spans="1:10">
      <c r="A399" s="18" t="s">
        <v>2057</v>
      </c>
      <c r="B399" s="19" t="s">
        <v>1889</v>
      </c>
      <c r="C399" s="19" t="s">
        <v>1856</v>
      </c>
      <c r="D399" s="19" t="s">
        <v>1857</v>
      </c>
      <c r="E399" s="19" t="s">
        <v>1858</v>
      </c>
      <c r="F399" s="19" t="s">
        <v>1852</v>
      </c>
      <c r="G399" s="19" t="s">
        <v>1934</v>
      </c>
      <c r="H399" s="19">
        <v>2</v>
      </c>
      <c r="I399" s="19">
        <v>3719.83</v>
      </c>
      <c r="J399" s="19">
        <v>7439.66</v>
      </c>
    </row>
    <row r="400" ht="15.25" spans="1:10">
      <c r="A400" s="18">
        <v>45148</v>
      </c>
      <c r="B400" s="19" t="s">
        <v>1861</v>
      </c>
      <c r="C400" s="19" t="s">
        <v>1903</v>
      </c>
      <c r="D400" s="19" t="s">
        <v>1884</v>
      </c>
      <c r="E400" s="19" t="s">
        <v>1895</v>
      </c>
      <c r="F400" s="19" t="s">
        <v>1865</v>
      </c>
      <c r="G400" s="19" t="s">
        <v>1866</v>
      </c>
      <c r="H400" s="19">
        <v>19</v>
      </c>
      <c r="I400" s="19">
        <v>2862.47</v>
      </c>
      <c r="J400" s="19">
        <v>54386.93</v>
      </c>
    </row>
    <row r="401" ht="15.25" spans="1:10">
      <c r="A401" s="18" t="s">
        <v>1904</v>
      </c>
      <c r="B401" s="19" t="s">
        <v>1871</v>
      </c>
      <c r="C401" s="19" t="s">
        <v>1864</v>
      </c>
      <c r="D401" s="19" t="s">
        <v>1857</v>
      </c>
      <c r="E401" s="19" t="s">
        <v>1858</v>
      </c>
      <c r="F401" s="19" t="s">
        <v>1859</v>
      </c>
      <c r="G401" s="19" t="s">
        <v>1860</v>
      </c>
      <c r="H401" s="19">
        <v>5</v>
      </c>
      <c r="I401" s="19">
        <v>4715.05</v>
      </c>
      <c r="J401" s="19">
        <v>23575.25</v>
      </c>
    </row>
    <row r="402" ht="15.25" spans="1:10">
      <c r="A402" s="18" t="s">
        <v>2037</v>
      </c>
      <c r="B402" s="19" t="s">
        <v>1861</v>
      </c>
      <c r="C402" s="19" t="s">
        <v>1589</v>
      </c>
      <c r="D402" s="19" t="s">
        <v>1884</v>
      </c>
      <c r="E402" s="19" t="s">
        <v>1895</v>
      </c>
      <c r="F402" s="19" t="s">
        <v>1868</v>
      </c>
      <c r="G402" s="19" t="s">
        <v>1907</v>
      </c>
      <c r="H402" s="19">
        <v>11</v>
      </c>
      <c r="I402" s="19">
        <v>3314</v>
      </c>
      <c r="J402" s="19">
        <v>36454</v>
      </c>
    </row>
    <row r="403" ht="15.25" spans="1:10">
      <c r="A403" s="18">
        <v>45174</v>
      </c>
      <c r="B403" s="19" t="s">
        <v>1874</v>
      </c>
      <c r="C403" s="19" t="s">
        <v>1875</v>
      </c>
      <c r="D403" s="19" t="s">
        <v>1862</v>
      </c>
      <c r="E403" s="19" t="s">
        <v>1858</v>
      </c>
      <c r="F403" s="19" t="s">
        <v>1852</v>
      </c>
      <c r="G403" s="19" t="s">
        <v>1853</v>
      </c>
      <c r="H403" s="19">
        <v>3</v>
      </c>
      <c r="I403" s="19">
        <v>4146.75</v>
      </c>
      <c r="J403" s="19">
        <v>12440.25</v>
      </c>
    </row>
    <row r="404" ht="15.25" spans="1:10">
      <c r="A404" s="18">
        <v>45054</v>
      </c>
      <c r="B404" s="19" t="s">
        <v>1889</v>
      </c>
      <c r="C404" s="19" t="s">
        <v>1626</v>
      </c>
      <c r="D404" s="19" t="s">
        <v>1857</v>
      </c>
      <c r="E404" s="19" t="s">
        <v>1858</v>
      </c>
      <c r="F404" s="19" t="s">
        <v>1876</v>
      </c>
      <c r="G404" s="19" t="s">
        <v>1930</v>
      </c>
      <c r="H404" s="19">
        <v>4</v>
      </c>
      <c r="I404" s="19">
        <v>4062.52</v>
      </c>
      <c r="J404" s="19">
        <v>16250.08</v>
      </c>
    </row>
    <row r="405" ht="15.25" spans="1:10">
      <c r="A405" s="18">
        <v>45141</v>
      </c>
      <c r="B405" s="19" t="s">
        <v>1889</v>
      </c>
      <c r="C405" s="19" t="s">
        <v>1906</v>
      </c>
      <c r="D405" s="19" t="s">
        <v>1862</v>
      </c>
      <c r="E405" s="19" t="s">
        <v>1858</v>
      </c>
      <c r="F405" s="19" t="s">
        <v>1876</v>
      </c>
      <c r="G405" s="19" t="s">
        <v>1930</v>
      </c>
      <c r="H405" s="19">
        <v>4</v>
      </c>
      <c r="I405" s="19">
        <v>3022.21</v>
      </c>
      <c r="J405" s="19">
        <v>12088.84</v>
      </c>
    </row>
    <row r="406" ht="15.25" spans="1:10">
      <c r="A406" s="18">
        <v>45019</v>
      </c>
      <c r="B406" s="19" t="s">
        <v>1861</v>
      </c>
      <c r="C406" s="19" t="s">
        <v>1903</v>
      </c>
      <c r="D406" s="19" t="s">
        <v>1884</v>
      </c>
      <c r="E406" s="19" t="s">
        <v>1895</v>
      </c>
      <c r="F406" s="19" t="s">
        <v>1868</v>
      </c>
      <c r="G406" s="19" t="s">
        <v>1899</v>
      </c>
      <c r="H406" s="19">
        <v>7</v>
      </c>
      <c r="I406" s="19">
        <v>217.04</v>
      </c>
      <c r="J406" s="19">
        <v>1519.28</v>
      </c>
    </row>
    <row r="407" ht="15.25" spans="1:10">
      <c r="A407" s="18">
        <v>45115</v>
      </c>
      <c r="B407" s="19" t="s">
        <v>1889</v>
      </c>
      <c r="C407" s="19" t="s">
        <v>1906</v>
      </c>
      <c r="D407" s="19" t="s">
        <v>1862</v>
      </c>
      <c r="E407" s="19" t="s">
        <v>1858</v>
      </c>
      <c r="F407" s="19" t="s">
        <v>1868</v>
      </c>
      <c r="G407" s="19" t="s">
        <v>1899</v>
      </c>
      <c r="H407" s="19">
        <v>2</v>
      </c>
      <c r="I407" s="19">
        <v>4883.56</v>
      </c>
      <c r="J407" s="19">
        <v>9767.12</v>
      </c>
    </row>
    <row r="408" ht="15.25" spans="1:10">
      <c r="A408" s="18" t="s">
        <v>2058</v>
      </c>
      <c r="B408" s="19" t="s">
        <v>1902</v>
      </c>
      <c r="C408" s="19" t="s">
        <v>1941</v>
      </c>
      <c r="D408" s="19" t="s">
        <v>1879</v>
      </c>
      <c r="E408" s="19" t="s">
        <v>1851</v>
      </c>
      <c r="F408" s="19" t="s">
        <v>1876</v>
      </c>
      <c r="G408" s="19" t="s">
        <v>1926</v>
      </c>
      <c r="H408" s="19">
        <v>16</v>
      </c>
      <c r="I408" s="19">
        <v>2015.76</v>
      </c>
      <c r="J408" s="19">
        <v>32252.16</v>
      </c>
    </row>
    <row r="409" ht="15.25" spans="1:10">
      <c r="A409" s="18">
        <v>45236</v>
      </c>
      <c r="B409" s="19" t="s">
        <v>1892</v>
      </c>
      <c r="C409" s="19" t="s">
        <v>1602</v>
      </c>
      <c r="D409" s="19" t="s">
        <v>1862</v>
      </c>
      <c r="E409" s="19" t="s">
        <v>1858</v>
      </c>
      <c r="F409" s="19" t="s">
        <v>1868</v>
      </c>
      <c r="G409" s="19" t="s">
        <v>1869</v>
      </c>
      <c r="H409" s="19">
        <v>1</v>
      </c>
      <c r="I409" s="19">
        <v>2777.22</v>
      </c>
      <c r="J409" s="19">
        <v>2777.22</v>
      </c>
    </row>
    <row r="410" ht="15.25" spans="1:10">
      <c r="A410" s="18" t="s">
        <v>2006</v>
      </c>
      <c r="B410" s="19" t="s">
        <v>1855</v>
      </c>
      <c r="C410" s="19" t="s">
        <v>1602</v>
      </c>
      <c r="D410" s="19" t="s">
        <v>1862</v>
      </c>
      <c r="E410" s="19" t="s">
        <v>1858</v>
      </c>
      <c r="F410" s="19" t="s">
        <v>1852</v>
      </c>
      <c r="G410" s="19" t="s">
        <v>1910</v>
      </c>
      <c r="H410" s="19">
        <v>13</v>
      </c>
      <c r="I410" s="19">
        <v>4318.62</v>
      </c>
      <c r="J410" s="19">
        <v>56142.06</v>
      </c>
    </row>
    <row r="411" ht="26.75" spans="1:10">
      <c r="A411" s="18" t="s">
        <v>2059</v>
      </c>
      <c r="B411" s="19" t="s">
        <v>1902</v>
      </c>
      <c r="C411" s="19" t="s">
        <v>1849</v>
      </c>
      <c r="D411" s="19" t="s">
        <v>1850</v>
      </c>
      <c r="E411" s="19" t="s">
        <v>1851</v>
      </c>
      <c r="F411" s="19" t="s">
        <v>1876</v>
      </c>
      <c r="G411" s="19" t="s">
        <v>1926</v>
      </c>
      <c r="H411" s="19">
        <v>15</v>
      </c>
      <c r="I411" s="19">
        <v>3225.2</v>
      </c>
      <c r="J411" s="19">
        <v>48378</v>
      </c>
    </row>
    <row r="412" ht="26.75" spans="1:10">
      <c r="A412" s="18" t="s">
        <v>2048</v>
      </c>
      <c r="B412" s="19" t="s">
        <v>1874</v>
      </c>
      <c r="C412" s="19" t="s">
        <v>1849</v>
      </c>
      <c r="D412" s="19" t="s">
        <v>1850</v>
      </c>
      <c r="E412" s="19" t="s">
        <v>1851</v>
      </c>
      <c r="F412" s="19" t="s">
        <v>1876</v>
      </c>
      <c r="G412" s="19" t="s">
        <v>1926</v>
      </c>
      <c r="H412" s="19">
        <v>9</v>
      </c>
      <c r="I412" s="19">
        <v>631.99</v>
      </c>
      <c r="J412" s="19">
        <v>5687.91</v>
      </c>
    </row>
    <row r="413" ht="15.25" spans="1:10">
      <c r="A413" s="18">
        <v>45051</v>
      </c>
      <c r="B413" s="19" t="s">
        <v>1867</v>
      </c>
      <c r="C413" s="19" t="s">
        <v>1903</v>
      </c>
      <c r="D413" s="19" t="s">
        <v>1884</v>
      </c>
      <c r="E413" s="19" t="s">
        <v>1895</v>
      </c>
      <c r="F413" s="19" t="s">
        <v>1859</v>
      </c>
      <c r="G413" s="19" t="s">
        <v>1922</v>
      </c>
      <c r="H413" s="19">
        <v>16</v>
      </c>
      <c r="I413" s="19">
        <v>981</v>
      </c>
      <c r="J413" s="19">
        <v>15696</v>
      </c>
    </row>
    <row r="414" ht="15.25" spans="1:10">
      <c r="A414" s="18">
        <v>45266</v>
      </c>
      <c r="B414" s="19" t="s">
        <v>1892</v>
      </c>
      <c r="C414" s="19" t="s">
        <v>1610</v>
      </c>
      <c r="D414" s="19" t="s">
        <v>1879</v>
      </c>
      <c r="E414" s="19" t="s">
        <v>1851</v>
      </c>
      <c r="F414" s="19" t="s">
        <v>1876</v>
      </c>
      <c r="G414" s="19" t="s">
        <v>1883</v>
      </c>
      <c r="H414" s="19">
        <v>14</v>
      </c>
      <c r="I414" s="19">
        <v>1049.21</v>
      </c>
      <c r="J414" s="19">
        <v>14688.94</v>
      </c>
    </row>
    <row r="415" ht="15.25" spans="1:10">
      <c r="A415" s="18" t="s">
        <v>2057</v>
      </c>
      <c r="B415" s="19" t="s">
        <v>1902</v>
      </c>
      <c r="C415" s="19" t="s">
        <v>1856</v>
      </c>
      <c r="D415" s="19" t="s">
        <v>1857</v>
      </c>
      <c r="E415" s="19" t="s">
        <v>1858</v>
      </c>
      <c r="F415" s="19" t="s">
        <v>1852</v>
      </c>
      <c r="G415" s="19" t="s">
        <v>1853</v>
      </c>
      <c r="H415" s="19">
        <v>3</v>
      </c>
      <c r="I415" s="19">
        <v>3276.84</v>
      </c>
      <c r="J415" s="19">
        <v>9830.52</v>
      </c>
    </row>
    <row r="416" ht="26.75" spans="1:10">
      <c r="A416" s="18">
        <v>45207</v>
      </c>
      <c r="B416" s="19" t="s">
        <v>1867</v>
      </c>
      <c r="C416" s="19" t="s">
        <v>1593</v>
      </c>
      <c r="D416" s="19" t="s">
        <v>1850</v>
      </c>
      <c r="E416" s="19" t="s">
        <v>1851</v>
      </c>
      <c r="F416" s="19" t="s">
        <v>1876</v>
      </c>
      <c r="G416" s="19" t="s">
        <v>1877</v>
      </c>
      <c r="H416" s="19">
        <v>10</v>
      </c>
      <c r="I416" s="19">
        <v>1693.46</v>
      </c>
      <c r="J416" s="19">
        <v>16934.6</v>
      </c>
    </row>
    <row r="417" ht="15.25" spans="1:10">
      <c r="A417" s="18" t="s">
        <v>1998</v>
      </c>
      <c r="B417" s="19" t="s">
        <v>1892</v>
      </c>
      <c r="C417" s="19" t="s">
        <v>1589</v>
      </c>
      <c r="D417" s="19" t="s">
        <v>1884</v>
      </c>
      <c r="E417" s="19" t="s">
        <v>1895</v>
      </c>
      <c r="F417" s="19" t="s">
        <v>1859</v>
      </c>
      <c r="G417" s="19" t="s">
        <v>1922</v>
      </c>
      <c r="H417" s="19">
        <v>15</v>
      </c>
      <c r="I417" s="19">
        <v>1790.58</v>
      </c>
      <c r="J417" s="19">
        <v>26858.7</v>
      </c>
    </row>
    <row r="418" ht="15.25" spans="1:10">
      <c r="A418" s="18" t="s">
        <v>1986</v>
      </c>
      <c r="B418" s="19" t="s">
        <v>1871</v>
      </c>
      <c r="C418" s="19" t="s">
        <v>1610</v>
      </c>
      <c r="D418" s="19" t="s">
        <v>1879</v>
      </c>
      <c r="E418" s="19" t="s">
        <v>1851</v>
      </c>
      <c r="F418" s="19" t="s">
        <v>1852</v>
      </c>
      <c r="G418" s="19" t="s">
        <v>1910</v>
      </c>
      <c r="H418" s="19">
        <v>16</v>
      </c>
      <c r="I418" s="19">
        <v>1018.83</v>
      </c>
      <c r="J418" s="19">
        <v>16301.28</v>
      </c>
    </row>
    <row r="419" ht="15.25" spans="1:10">
      <c r="A419" s="18">
        <v>45109</v>
      </c>
      <c r="B419" s="19" t="s">
        <v>1874</v>
      </c>
      <c r="C419" s="19" t="s">
        <v>1906</v>
      </c>
      <c r="D419" s="19" t="s">
        <v>1862</v>
      </c>
      <c r="E419" s="19" t="s">
        <v>1858</v>
      </c>
      <c r="F419" s="19" t="s">
        <v>1876</v>
      </c>
      <c r="G419" s="19" t="s">
        <v>1930</v>
      </c>
      <c r="H419" s="19">
        <v>6</v>
      </c>
      <c r="I419" s="19">
        <v>1246.59</v>
      </c>
      <c r="J419" s="19">
        <v>7479.54</v>
      </c>
    </row>
    <row r="420" ht="15.25" spans="1:10">
      <c r="A420" s="18" t="s">
        <v>1915</v>
      </c>
      <c r="B420" s="19" t="s">
        <v>1889</v>
      </c>
      <c r="C420" s="19" t="s">
        <v>1856</v>
      </c>
      <c r="D420" s="19" t="s">
        <v>1857</v>
      </c>
      <c r="E420" s="19" t="s">
        <v>1858</v>
      </c>
      <c r="F420" s="19" t="s">
        <v>1868</v>
      </c>
      <c r="G420" s="19" t="s">
        <v>1907</v>
      </c>
      <c r="H420" s="19">
        <v>14</v>
      </c>
      <c r="I420" s="19">
        <v>859.79</v>
      </c>
      <c r="J420" s="19">
        <v>12037.06</v>
      </c>
    </row>
    <row r="421" ht="15.25" spans="1:10">
      <c r="A421" s="18">
        <v>45180</v>
      </c>
      <c r="B421" s="19" t="s">
        <v>1848</v>
      </c>
      <c r="C421" s="19" t="s">
        <v>1589</v>
      </c>
      <c r="D421" s="19" t="s">
        <v>1884</v>
      </c>
      <c r="E421" s="19" t="s">
        <v>1895</v>
      </c>
      <c r="F421" s="19" t="s">
        <v>1865</v>
      </c>
      <c r="G421" s="19" t="s">
        <v>1886</v>
      </c>
      <c r="H421" s="19">
        <v>12</v>
      </c>
      <c r="I421" s="19">
        <v>149.16</v>
      </c>
      <c r="J421" s="19">
        <v>1789.92</v>
      </c>
    </row>
    <row r="422" ht="26.75" spans="1:10">
      <c r="A422" s="18" t="s">
        <v>2060</v>
      </c>
      <c r="B422" s="19" t="s">
        <v>1871</v>
      </c>
      <c r="C422" s="19" t="s">
        <v>1849</v>
      </c>
      <c r="D422" s="19" t="s">
        <v>1850</v>
      </c>
      <c r="E422" s="19" t="s">
        <v>1851</v>
      </c>
      <c r="F422" s="19" t="s">
        <v>1852</v>
      </c>
      <c r="G422" s="19" t="s">
        <v>1910</v>
      </c>
      <c r="H422" s="19">
        <v>20</v>
      </c>
      <c r="I422" s="19">
        <v>1108.83</v>
      </c>
      <c r="J422" s="19">
        <v>22176.6</v>
      </c>
    </row>
    <row r="423" ht="15.25" spans="1:10">
      <c r="A423" s="18" t="s">
        <v>2008</v>
      </c>
      <c r="B423" s="19" t="s">
        <v>1874</v>
      </c>
      <c r="C423" s="19" t="s">
        <v>1602</v>
      </c>
      <c r="D423" s="19" t="s">
        <v>1862</v>
      </c>
      <c r="E423" s="19" t="s">
        <v>1858</v>
      </c>
      <c r="F423" s="19" t="s">
        <v>1852</v>
      </c>
      <c r="G423" s="19" t="s">
        <v>1950</v>
      </c>
      <c r="H423" s="19">
        <v>8</v>
      </c>
      <c r="I423" s="19">
        <v>3628.65</v>
      </c>
      <c r="J423" s="19">
        <v>29029.2</v>
      </c>
    </row>
    <row r="424" ht="15.25" spans="1:10">
      <c r="A424" s="18" t="s">
        <v>1870</v>
      </c>
      <c r="B424" s="19" t="s">
        <v>1848</v>
      </c>
      <c r="C424" s="19" t="s">
        <v>1610</v>
      </c>
      <c r="D424" s="19" t="s">
        <v>1879</v>
      </c>
      <c r="E424" s="19" t="s">
        <v>1851</v>
      </c>
      <c r="F424" s="19" t="s">
        <v>1865</v>
      </c>
      <c r="G424" s="19" t="s">
        <v>1886</v>
      </c>
      <c r="H424" s="19">
        <v>19</v>
      </c>
      <c r="I424" s="19">
        <v>1317.72</v>
      </c>
      <c r="J424" s="19">
        <v>25036.68</v>
      </c>
    </row>
    <row r="425" ht="15.25" spans="1:10">
      <c r="A425" s="18" t="s">
        <v>2061</v>
      </c>
      <c r="B425" s="19" t="s">
        <v>1871</v>
      </c>
      <c r="C425" s="19" t="s">
        <v>1903</v>
      </c>
      <c r="D425" s="19" t="s">
        <v>1884</v>
      </c>
      <c r="E425" s="19" t="s">
        <v>1895</v>
      </c>
      <c r="F425" s="19" t="s">
        <v>1865</v>
      </c>
      <c r="G425" s="19" t="s">
        <v>1920</v>
      </c>
      <c r="H425" s="19">
        <v>16</v>
      </c>
      <c r="I425" s="19">
        <v>2995.01</v>
      </c>
      <c r="J425" s="19">
        <v>47920.16</v>
      </c>
    </row>
    <row r="426" ht="26.75" spans="1:10">
      <c r="A426" s="18" t="s">
        <v>2039</v>
      </c>
      <c r="B426" s="19" t="s">
        <v>1874</v>
      </c>
      <c r="C426" s="19" t="s">
        <v>1598</v>
      </c>
      <c r="D426" s="19" t="s">
        <v>1850</v>
      </c>
      <c r="E426" s="19" t="s">
        <v>1851</v>
      </c>
      <c r="F426" s="19" t="s">
        <v>1852</v>
      </c>
      <c r="G426" s="19" t="s">
        <v>1950</v>
      </c>
      <c r="H426" s="19">
        <v>11</v>
      </c>
      <c r="I426" s="19">
        <v>2318.96</v>
      </c>
      <c r="J426" s="19">
        <v>25508.56</v>
      </c>
    </row>
    <row r="427" ht="15.25" spans="1:10">
      <c r="A427" s="18" t="s">
        <v>1919</v>
      </c>
      <c r="B427" s="19" t="s">
        <v>1861</v>
      </c>
      <c r="C427" s="19" t="s">
        <v>1875</v>
      </c>
      <c r="D427" s="19" t="s">
        <v>1862</v>
      </c>
      <c r="E427" s="19" t="s">
        <v>1858</v>
      </c>
      <c r="F427" s="19" t="s">
        <v>1868</v>
      </c>
      <c r="G427" s="19" t="s">
        <v>1907</v>
      </c>
      <c r="H427" s="19">
        <v>14</v>
      </c>
      <c r="I427" s="19">
        <v>4935.3</v>
      </c>
      <c r="J427" s="19">
        <v>69094.2</v>
      </c>
    </row>
    <row r="428" ht="15.25" spans="1:10">
      <c r="A428" s="18" t="s">
        <v>2062</v>
      </c>
      <c r="B428" s="19" t="s">
        <v>1892</v>
      </c>
      <c r="C428" s="19" t="s">
        <v>1906</v>
      </c>
      <c r="D428" s="19" t="s">
        <v>1862</v>
      </c>
      <c r="E428" s="19" t="s">
        <v>1858</v>
      </c>
      <c r="F428" s="19" t="s">
        <v>1852</v>
      </c>
      <c r="G428" s="19" t="s">
        <v>1910</v>
      </c>
      <c r="H428" s="19">
        <v>1</v>
      </c>
      <c r="I428" s="19">
        <v>1083.26</v>
      </c>
      <c r="J428" s="19">
        <v>1083.26</v>
      </c>
    </row>
    <row r="429" ht="15.25" spans="1:10">
      <c r="A429" s="18">
        <v>45056</v>
      </c>
      <c r="B429" s="19" t="s">
        <v>1889</v>
      </c>
      <c r="C429" s="19" t="s">
        <v>1864</v>
      </c>
      <c r="D429" s="19" t="s">
        <v>1857</v>
      </c>
      <c r="E429" s="19" t="s">
        <v>1858</v>
      </c>
      <c r="F429" s="19" t="s">
        <v>1852</v>
      </c>
      <c r="G429" s="19" t="s">
        <v>1910</v>
      </c>
      <c r="H429" s="19">
        <v>11</v>
      </c>
      <c r="I429" s="19">
        <v>1673.53</v>
      </c>
      <c r="J429" s="19">
        <v>18408.83</v>
      </c>
    </row>
    <row r="430" ht="15.25" spans="1:10">
      <c r="A430" s="18" t="s">
        <v>2012</v>
      </c>
      <c r="B430" s="19" t="s">
        <v>1867</v>
      </c>
      <c r="C430" s="19" t="s">
        <v>1610</v>
      </c>
      <c r="D430" s="19" t="s">
        <v>1879</v>
      </c>
      <c r="E430" s="19" t="s">
        <v>1851</v>
      </c>
      <c r="F430" s="19" t="s">
        <v>1876</v>
      </c>
      <c r="G430" s="19" t="s">
        <v>1926</v>
      </c>
      <c r="H430" s="19">
        <v>10</v>
      </c>
      <c r="I430" s="19">
        <v>3829.38</v>
      </c>
      <c r="J430" s="19">
        <v>38293.8</v>
      </c>
    </row>
    <row r="431" ht="15.25" spans="1:10">
      <c r="A431" s="18" t="s">
        <v>1933</v>
      </c>
      <c r="B431" s="19" t="s">
        <v>1889</v>
      </c>
      <c r="C431" s="19" t="s">
        <v>1602</v>
      </c>
      <c r="D431" s="19" t="s">
        <v>1862</v>
      </c>
      <c r="E431" s="19" t="s">
        <v>1858</v>
      </c>
      <c r="F431" s="19" t="s">
        <v>1865</v>
      </c>
      <c r="G431" s="19" t="s">
        <v>1866</v>
      </c>
      <c r="H431" s="19">
        <v>6</v>
      </c>
      <c r="I431" s="19">
        <v>470.36</v>
      </c>
      <c r="J431" s="19">
        <v>2822.16</v>
      </c>
    </row>
    <row r="432" ht="26.75" spans="1:10">
      <c r="A432" s="18" t="s">
        <v>1983</v>
      </c>
      <c r="B432" s="19" t="s">
        <v>1902</v>
      </c>
      <c r="C432" s="19" t="s">
        <v>1598</v>
      </c>
      <c r="D432" s="19" t="s">
        <v>1850</v>
      </c>
      <c r="E432" s="19" t="s">
        <v>1851</v>
      </c>
      <c r="F432" s="19" t="s">
        <v>1876</v>
      </c>
      <c r="G432" s="19" t="s">
        <v>1926</v>
      </c>
      <c r="H432" s="19">
        <v>12</v>
      </c>
      <c r="I432" s="19">
        <v>2489.14</v>
      </c>
      <c r="J432" s="19">
        <v>29869.68</v>
      </c>
    </row>
    <row r="433" ht="15.25" spans="1:10">
      <c r="A433" s="18" t="s">
        <v>2009</v>
      </c>
      <c r="B433" s="19" t="s">
        <v>1889</v>
      </c>
      <c r="C433" s="19" t="s">
        <v>1602</v>
      </c>
      <c r="D433" s="19" t="s">
        <v>1862</v>
      </c>
      <c r="E433" s="19" t="s">
        <v>1858</v>
      </c>
      <c r="F433" s="19" t="s">
        <v>1865</v>
      </c>
      <c r="G433" s="19" t="s">
        <v>1920</v>
      </c>
      <c r="H433" s="19">
        <v>14</v>
      </c>
      <c r="I433" s="19">
        <v>1729.16</v>
      </c>
      <c r="J433" s="19">
        <v>24208.24</v>
      </c>
    </row>
    <row r="434" ht="15.25" spans="1:10">
      <c r="A434" s="18" t="s">
        <v>2063</v>
      </c>
      <c r="B434" s="19" t="s">
        <v>1848</v>
      </c>
      <c r="C434" s="19" t="s">
        <v>1626</v>
      </c>
      <c r="D434" s="19" t="s">
        <v>1857</v>
      </c>
      <c r="E434" s="19" t="s">
        <v>1858</v>
      </c>
      <c r="F434" s="19" t="s">
        <v>1859</v>
      </c>
      <c r="G434" s="19" t="s">
        <v>1922</v>
      </c>
      <c r="H434" s="19">
        <v>2</v>
      </c>
      <c r="I434" s="19">
        <v>2789.92</v>
      </c>
      <c r="J434" s="19">
        <v>5579.84</v>
      </c>
    </row>
    <row r="435" ht="15.25" spans="1:10">
      <c r="A435" s="18" t="s">
        <v>1943</v>
      </c>
      <c r="B435" s="19" t="s">
        <v>1878</v>
      </c>
      <c r="C435" s="19" t="s">
        <v>1875</v>
      </c>
      <c r="D435" s="19" t="s">
        <v>1862</v>
      </c>
      <c r="E435" s="19" t="s">
        <v>1858</v>
      </c>
      <c r="F435" s="19" t="s">
        <v>1865</v>
      </c>
      <c r="G435" s="19" t="s">
        <v>1866</v>
      </c>
      <c r="H435" s="19">
        <v>17</v>
      </c>
      <c r="I435" s="19">
        <v>3244.79</v>
      </c>
      <c r="J435" s="19">
        <v>55161.43</v>
      </c>
    </row>
    <row r="436" ht="15.25" spans="1:10">
      <c r="A436" s="18" t="s">
        <v>1988</v>
      </c>
      <c r="B436" s="19" t="s">
        <v>1861</v>
      </c>
      <c r="C436" s="19" t="s">
        <v>1906</v>
      </c>
      <c r="D436" s="19" t="s">
        <v>1862</v>
      </c>
      <c r="E436" s="19" t="s">
        <v>1858</v>
      </c>
      <c r="F436" s="19" t="s">
        <v>1859</v>
      </c>
      <c r="G436" s="19" t="s">
        <v>1860</v>
      </c>
      <c r="H436" s="19">
        <v>20</v>
      </c>
      <c r="I436" s="19">
        <v>2155.17</v>
      </c>
      <c r="J436" s="19">
        <v>43103.4</v>
      </c>
    </row>
    <row r="437" ht="15.25" spans="1:10">
      <c r="A437" s="18">
        <v>45145</v>
      </c>
      <c r="B437" s="19" t="s">
        <v>1892</v>
      </c>
      <c r="C437" s="19" t="s">
        <v>1856</v>
      </c>
      <c r="D437" s="19" t="s">
        <v>1857</v>
      </c>
      <c r="E437" s="19" t="s">
        <v>1858</v>
      </c>
      <c r="F437" s="19" t="s">
        <v>1868</v>
      </c>
      <c r="G437" s="19" t="s">
        <v>1907</v>
      </c>
      <c r="H437" s="19">
        <v>13</v>
      </c>
      <c r="I437" s="19">
        <v>2526.2</v>
      </c>
      <c r="J437" s="19">
        <v>32840.6</v>
      </c>
    </row>
    <row r="438" ht="15.25" spans="1:10">
      <c r="A438" s="18" t="s">
        <v>1921</v>
      </c>
      <c r="B438" s="19" t="s">
        <v>1878</v>
      </c>
      <c r="C438" s="19" t="s">
        <v>1864</v>
      </c>
      <c r="D438" s="19" t="s">
        <v>1857</v>
      </c>
      <c r="E438" s="19" t="s">
        <v>1858</v>
      </c>
      <c r="F438" s="19" t="s">
        <v>1876</v>
      </c>
      <c r="G438" s="19" t="s">
        <v>1883</v>
      </c>
      <c r="H438" s="19">
        <v>11</v>
      </c>
      <c r="I438" s="19">
        <v>1995.21</v>
      </c>
      <c r="J438" s="19">
        <v>21947.31</v>
      </c>
    </row>
    <row r="439" ht="15.25" spans="1:10">
      <c r="A439" s="18">
        <v>45232</v>
      </c>
      <c r="B439" s="19" t="s">
        <v>1892</v>
      </c>
      <c r="C439" s="19" t="s">
        <v>1610</v>
      </c>
      <c r="D439" s="19" t="s">
        <v>1879</v>
      </c>
      <c r="E439" s="19" t="s">
        <v>1851</v>
      </c>
      <c r="F439" s="19" t="s">
        <v>1859</v>
      </c>
      <c r="G439" s="19" t="s">
        <v>1860</v>
      </c>
      <c r="H439" s="19">
        <v>4</v>
      </c>
      <c r="I439" s="19">
        <v>1139.74</v>
      </c>
      <c r="J439" s="19">
        <v>4558.96</v>
      </c>
    </row>
    <row r="440" ht="15.25" spans="1:10">
      <c r="A440" s="18" t="s">
        <v>2020</v>
      </c>
      <c r="B440" s="19" t="s">
        <v>1902</v>
      </c>
      <c r="C440" s="19" t="s">
        <v>1903</v>
      </c>
      <c r="D440" s="19" t="s">
        <v>1884</v>
      </c>
      <c r="E440" s="19" t="s">
        <v>1895</v>
      </c>
      <c r="F440" s="19" t="s">
        <v>1852</v>
      </c>
      <c r="G440" s="19" t="s">
        <v>1934</v>
      </c>
      <c r="H440" s="19">
        <v>4</v>
      </c>
      <c r="I440" s="19">
        <v>3015.93</v>
      </c>
      <c r="J440" s="19">
        <v>12063.72</v>
      </c>
    </row>
    <row r="441" ht="15.25" spans="1:10">
      <c r="A441" s="18">
        <v>45203</v>
      </c>
      <c r="B441" s="19" t="s">
        <v>1892</v>
      </c>
      <c r="C441" s="19" t="s">
        <v>1626</v>
      </c>
      <c r="D441" s="19" t="s">
        <v>1857</v>
      </c>
      <c r="E441" s="19" t="s">
        <v>1858</v>
      </c>
      <c r="F441" s="19" t="s">
        <v>1865</v>
      </c>
      <c r="G441" s="19" t="s">
        <v>1886</v>
      </c>
      <c r="H441" s="19">
        <v>4</v>
      </c>
      <c r="I441" s="19">
        <v>3831.39</v>
      </c>
      <c r="J441" s="19">
        <v>15325.56</v>
      </c>
    </row>
    <row r="442" ht="26.75" spans="1:10">
      <c r="A442" s="18" t="s">
        <v>1972</v>
      </c>
      <c r="B442" s="19" t="s">
        <v>1848</v>
      </c>
      <c r="C442" s="19" t="s">
        <v>1593</v>
      </c>
      <c r="D442" s="19" t="s">
        <v>1850</v>
      </c>
      <c r="E442" s="19" t="s">
        <v>1851</v>
      </c>
      <c r="F442" s="19" t="s">
        <v>1865</v>
      </c>
      <c r="G442" s="19" t="s">
        <v>1866</v>
      </c>
      <c r="H442" s="19">
        <v>7</v>
      </c>
      <c r="I442" s="19">
        <v>105.05</v>
      </c>
      <c r="J442" s="19">
        <v>735.35</v>
      </c>
    </row>
    <row r="443" ht="15.25" spans="1:10">
      <c r="A443" s="18">
        <v>44992</v>
      </c>
      <c r="B443" s="19" t="s">
        <v>1855</v>
      </c>
      <c r="C443" s="19" t="s">
        <v>1610</v>
      </c>
      <c r="D443" s="19" t="s">
        <v>1879</v>
      </c>
      <c r="E443" s="19" t="s">
        <v>1851</v>
      </c>
      <c r="F443" s="19" t="s">
        <v>1859</v>
      </c>
      <c r="G443" s="19" t="s">
        <v>1922</v>
      </c>
      <c r="H443" s="19">
        <v>11</v>
      </c>
      <c r="I443" s="19">
        <v>2416.18</v>
      </c>
      <c r="J443" s="19">
        <v>26577.98</v>
      </c>
    </row>
    <row r="444" ht="15.25" spans="1:10">
      <c r="A444" s="18" t="s">
        <v>2064</v>
      </c>
      <c r="B444" s="19" t="s">
        <v>1874</v>
      </c>
      <c r="C444" s="19" t="s">
        <v>1610</v>
      </c>
      <c r="D444" s="19" t="s">
        <v>1879</v>
      </c>
      <c r="E444" s="19" t="s">
        <v>1851</v>
      </c>
      <c r="F444" s="19" t="s">
        <v>1859</v>
      </c>
      <c r="G444" s="19" t="s">
        <v>1922</v>
      </c>
      <c r="H444" s="19">
        <v>1</v>
      </c>
      <c r="I444" s="19">
        <v>549.14</v>
      </c>
      <c r="J444" s="19">
        <v>549.14</v>
      </c>
    </row>
    <row r="445" ht="15.25" spans="1:10">
      <c r="A445" s="18" t="s">
        <v>1990</v>
      </c>
      <c r="B445" s="19" t="s">
        <v>1874</v>
      </c>
      <c r="C445" s="19" t="s">
        <v>1864</v>
      </c>
      <c r="D445" s="19" t="s">
        <v>1857</v>
      </c>
      <c r="E445" s="19" t="s">
        <v>1858</v>
      </c>
      <c r="F445" s="19" t="s">
        <v>1868</v>
      </c>
      <c r="G445" s="19" t="s">
        <v>1869</v>
      </c>
      <c r="H445" s="19">
        <v>10</v>
      </c>
      <c r="I445" s="19">
        <v>3771.5</v>
      </c>
      <c r="J445" s="19">
        <v>37715</v>
      </c>
    </row>
    <row r="446" ht="15.25" spans="1:10">
      <c r="A446" s="18" t="s">
        <v>2060</v>
      </c>
      <c r="B446" s="19" t="s">
        <v>1855</v>
      </c>
      <c r="C446" s="19" t="s">
        <v>1610</v>
      </c>
      <c r="D446" s="19" t="s">
        <v>1879</v>
      </c>
      <c r="E446" s="19" t="s">
        <v>1851</v>
      </c>
      <c r="F446" s="19" t="s">
        <v>1852</v>
      </c>
      <c r="G446" s="19" t="s">
        <v>1934</v>
      </c>
      <c r="H446" s="19">
        <v>13</v>
      </c>
      <c r="I446" s="19">
        <v>956.49</v>
      </c>
      <c r="J446" s="19">
        <v>12434.37</v>
      </c>
    </row>
    <row r="447" ht="15.25" spans="1:10">
      <c r="A447" s="18" t="s">
        <v>1974</v>
      </c>
      <c r="B447" s="19" t="s">
        <v>1861</v>
      </c>
      <c r="C447" s="19" t="s">
        <v>1602</v>
      </c>
      <c r="D447" s="19" t="s">
        <v>1862</v>
      </c>
      <c r="E447" s="19" t="s">
        <v>1858</v>
      </c>
      <c r="F447" s="19" t="s">
        <v>1852</v>
      </c>
      <c r="G447" s="19" t="s">
        <v>1910</v>
      </c>
      <c r="H447" s="19">
        <v>19</v>
      </c>
      <c r="I447" s="19">
        <v>3575.92</v>
      </c>
      <c r="J447" s="19">
        <v>67942.48</v>
      </c>
    </row>
    <row r="448" ht="15.25" spans="1:10">
      <c r="A448" s="18" t="s">
        <v>1949</v>
      </c>
      <c r="B448" s="19" t="s">
        <v>1892</v>
      </c>
      <c r="C448" s="19" t="s">
        <v>1898</v>
      </c>
      <c r="D448" s="19" t="s">
        <v>1879</v>
      </c>
      <c r="E448" s="19" t="s">
        <v>1851</v>
      </c>
      <c r="F448" s="19" t="s">
        <v>1876</v>
      </c>
      <c r="G448" s="19" t="s">
        <v>1926</v>
      </c>
      <c r="H448" s="19">
        <v>8</v>
      </c>
      <c r="I448" s="19">
        <v>3971.12</v>
      </c>
      <c r="J448" s="19">
        <v>31768.96</v>
      </c>
    </row>
    <row r="449" ht="15.25" spans="1:10">
      <c r="A449" s="18" t="s">
        <v>2048</v>
      </c>
      <c r="B449" s="19" t="s">
        <v>1871</v>
      </c>
      <c r="C449" s="19" t="s">
        <v>1864</v>
      </c>
      <c r="D449" s="19" t="s">
        <v>1857</v>
      </c>
      <c r="E449" s="19" t="s">
        <v>1858</v>
      </c>
      <c r="F449" s="19" t="s">
        <v>1865</v>
      </c>
      <c r="G449" s="19" t="s">
        <v>1890</v>
      </c>
      <c r="H449" s="19">
        <v>14</v>
      </c>
      <c r="I449" s="19">
        <v>3631.62</v>
      </c>
      <c r="J449" s="19">
        <v>50842.68</v>
      </c>
    </row>
    <row r="450" ht="26.75" spans="1:10">
      <c r="A450" s="18">
        <v>44931</v>
      </c>
      <c r="B450" s="19" t="s">
        <v>1889</v>
      </c>
      <c r="C450" s="19" t="s">
        <v>1849</v>
      </c>
      <c r="D450" s="19" t="s">
        <v>1850</v>
      </c>
      <c r="E450" s="19" t="s">
        <v>1851</v>
      </c>
      <c r="F450" s="19" t="s">
        <v>1852</v>
      </c>
      <c r="G450" s="19" t="s">
        <v>1910</v>
      </c>
      <c r="H450" s="19">
        <v>18</v>
      </c>
      <c r="I450" s="19">
        <v>2589.64</v>
      </c>
      <c r="J450" s="19">
        <v>46613.52</v>
      </c>
    </row>
    <row r="451" ht="15.25" spans="1:10">
      <c r="A451" s="18">
        <v>45025</v>
      </c>
      <c r="B451" s="19" t="s">
        <v>1871</v>
      </c>
      <c r="C451" s="19" t="s">
        <v>1898</v>
      </c>
      <c r="D451" s="19" t="s">
        <v>1879</v>
      </c>
      <c r="E451" s="19" t="s">
        <v>1851</v>
      </c>
      <c r="F451" s="19" t="s">
        <v>1868</v>
      </c>
      <c r="G451" s="19" t="s">
        <v>1907</v>
      </c>
      <c r="H451" s="19">
        <v>2</v>
      </c>
      <c r="I451" s="19">
        <v>2713.34</v>
      </c>
      <c r="J451" s="19">
        <v>5426.68</v>
      </c>
    </row>
    <row r="452" ht="15.25" spans="1:10">
      <c r="A452" s="18" t="s">
        <v>1960</v>
      </c>
      <c r="B452" s="19" t="s">
        <v>1874</v>
      </c>
      <c r="C452" s="19" t="s">
        <v>1602</v>
      </c>
      <c r="D452" s="19" t="s">
        <v>1862</v>
      </c>
      <c r="E452" s="19" t="s">
        <v>1858</v>
      </c>
      <c r="F452" s="19" t="s">
        <v>1859</v>
      </c>
      <c r="G452" s="19" t="s">
        <v>1860</v>
      </c>
      <c r="H452" s="19">
        <v>17</v>
      </c>
      <c r="I452" s="19">
        <v>1294.56</v>
      </c>
      <c r="J452" s="19">
        <v>22007.52</v>
      </c>
    </row>
    <row r="453" ht="15.25" spans="1:10">
      <c r="A453" s="18" t="s">
        <v>1952</v>
      </c>
      <c r="B453" s="19" t="s">
        <v>1871</v>
      </c>
      <c r="C453" s="19" t="s">
        <v>1589</v>
      </c>
      <c r="D453" s="19" t="s">
        <v>1884</v>
      </c>
      <c r="E453" s="19" t="s">
        <v>1895</v>
      </c>
      <c r="F453" s="19" t="s">
        <v>1859</v>
      </c>
      <c r="G453" s="19" t="s">
        <v>1860</v>
      </c>
      <c r="H453" s="19">
        <v>8</v>
      </c>
      <c r="I453" s="19">
        <v>1171.53</v>
      </c>
      <c r="J453" s="19">
        <v>9372.24</v>
      </c>
    </row>
    <row r="454" ht="15.25" spans="1:10">
      <c r="A454" s="18" t="s">
        <v>2005</v>
      </c>
      <c r="B454" s="19" t="s">
        <v>1889</v>
      </c>
      <c r="C454" s="19" t="s">
        <v>1894</v>
      </c>
      <c r="D454" s="19" t="s">
        <v>1884</v>
      </c>
      <c r="E454" s="19" t="s">
        <v>1895</v>
      </c>
      <c r="F454" s="19" t="s">
        <v>1865</v>
      </c>
      <c r="G454" s="19" t="s">
        <v>1920</v>
      </c>
      <c r="H454" s="19">
        <v>15</v>
      </c>
      <c r="I454" s="19">
        <v>4060.63</v>
      </c>
      <c r="J454" s="19">
        <v>60909.45</v>
      </c>
    </row>
    <row r="455" ht="26.75" spans="1:10">
      <c r="A455" s="18">
        <v>45264</v>
      </c>
      <c r="B455" s="19" t="s">
        <v>1874</v>
      </c>
      <c r="C455" s="19" t="s">
        <v>1849</v>
      </c>
      <c r="D455" s="19" t="s">
        <v>1850</v>
      </c>
      <c r="E455" s="19" t="s">
        <v>1851</v>
      </c>
      <c r="F455" s="19" t="s">
        <v>1868</v>
      </c>
      <c r="G455" s="19" t="s">
        <v>1869</v>
      </c>
      <c r="H455" s="19">
        <v>4</v>
      </c>
      <c r="I455" s="19">
        <v>442.23</v>
      </c>
      <c r="J455" s="19">
        <v>1768.92</v>
      </c>
    </row>
    <row r="456" ht="26.75" spans="1:10">
      <c r="A456" s="18" t="s">
        <v>1919</v>
      </c>
      <c r="B456" s="19" t="s">
        <v>1889</v>
      </c>
      <c r="C456" s="19" t="s">
        <v>1849</v>
      </c>
      <c r="D456" s="19" t="s">
        <v>1850</v>
      </c>
      <c r="E456" s="19" t="s">
        <v>1851</v>
      </c>
      <c r="F456" s="19" t="s">
        <v>1859</v>
      </c>
      <c r="G456" s="19" t="s">
        <v>1872</v>
      </c>
      <c r="H456" s="19">
        <v>5</v>
      </c>
      <c r="I456" s="19">
        <v>3725.36</v>
      </c>
      <c r="J456" s="19">
        <v>18626.8</v>
      </c>
    </row>
    <row r="457" ht="15.25" spans="1:10">
      <c r="A457" s="18" t="s">
        <v>2061</v>
      </c>
      <c r="B457" s="19" t="s">
        <v>1889</v>
      </c>
      <c r="C457" s="19" t="s">
        <v>1610</v>
      </c>
      <c r="D457" s="19" t="s">
        <v>1879</v>
      </c>
      <c r="E457" s="19" t="s">
        <v>1851</v>
      </c>
      <c r="F457" s="19" t="s">
        <v>1865</v>
      </c>
      <c r="G457" s="19" t="s">
        <v>1866</v>
      </c>
      <c r="H457" s="19">
        <v>20</v>
      </c>
      <c r="I457" s="19">
        <v>2974.89</v>
      </c>
      <c r="J457" s="19">
        <v>59497.8</v>
      </c>
    </row>
    <row r="458" ht="15.25" spans="1:10">
      <c r="A458" s="18">
        <v>44992</v>
      </c>
      <c r="B458" s="19" t="s">
        <v>1889</v>
      </c>
      <c r="C458" s="19" t="s">
        <v>1864</v>
      </c>
      <c r="D458" s="19" t="s">
        <v>1857</v>
      </c>
      <c r="E458" s="19" t="s">
        <v>1858</v>
      </c>
      <c r="F458" s="19" t="s">
        <v>1865</v>
      </c>
      <c r="G458" s="19" t="s">
        <v>1920</v>
      </c>
      <c r="H458" s="19">
        <v>1</v>
      </c>
      <c r="I458" s="19">
        <v>1717.6</v>
      </c>
      <c r="J458" s="19">
        <v>1717.6</v>
      </c>
    </row>
    <row r="459" ht="15.25" spans="1:10">
      <c r="A459" s="18">
        <v>45080</v>
      </c>
      <c r="B459" s="19" t="s">
        <v>1878</v>
      </c>
      <c r="C459" s="19" t="s">
        <v>1589</v>
      </c>
      <c r="D459" s="19" t="s">
        <v>1884</v>
      </c>
      <c r="E459" s="19" t="s">
        <v>1895</v>
      </c>
      <c r="F459" s="19" t="s">
        <v>1852</v>
      </c>
      <c r="G459" s="19" t="s">
        <v>1950</v>
      </c>
      <c r="H459" s="19">
        <v>5</v>
      </c>
      <c r="I459" s="19">
        <v>2849.56</v>
      </c>
      <c r="J459" s="19">
        <v>14247.8</v>
      </c>
    </row>
    <row r="460" ht="15.25" spans="1:10">
      <c r="A460" s="18" t="s">
        <v>1933</v>
      </c>
      <c r="B460" s="19" t="s">
        <v>1848</v>
      </c>
      <c r="C460" s="19" t="s">
        <v>1898</v>
      </c>
      <c r="D460" s="19" t="s">
        <v>1879</v>
      </c>
      <c r="E460" s="19" t="s">
        <v>1851</v>
      </c>
      <c r="F460" s="19" t="s">
        <v>1859</v>
      </c>
      <c r="G460" s="19" t="s">
        <v>1860</v>
      </c>
      <c r="H460" s="19">
        <v>18</v>
      </c>
      <c r="I460" s="19">
        <v>4150.77</v>
      </c>
      <c r="J460" s="19">
        <v>74713.86</v>
      </c>
    </row>
    <row r="461" ht="26.75" spans="1:10">
      <c r="A461" s="18" t="s">
        <v>2065</v>
      </c>
      <c r="B461" s="19" t="s">
        <v>1878</v>
      </c>
      <c r="C461" s="19" t="s">
        <v>1598</v>
      </c>
      <c r="D461" s="19" t="s">
        <v>1850</v>
      </c>
      <c r="E461" s="19" t="s">
        <v>1851</v>
      </c>
      <c r="F461" s="19" t="s">
        <v>1859</v>
      </c>
      <c r="G461" s="19" t="s">
        <v>1947</v>
      </c>
      <c r="H461" s="19">
        <v>18</v>
      </c>
      <c r="I461" s="19">
        <v>2490.14</v>
      </c>
      <c r="J461" s="19">
        <v>44822.52</v>
      </c>
    </row>
    <row r="462" ht="15.25" spans="1:10">
      <c r="A462" s="18" t="s">
        <v>1987</v>
      </c>
      <c r="B462" s="19" t="s">
        <v>1878</v>
      </c>
      <c r="C462" s="19" t="s">
        <v>1903</v>
      </c>
      <c r="D462" s="19" t="s">
        <v>1884</v>
      </c>
      <c r="E462" s="19" t="s">
        <v>1895</v>
      </c>
      <c r="F462" s="19" t="s">
        <v>1859</v>
      </c>
      <c r="G462" s="19" t="s">
        <v>1860</v>
      </c>
      <c r="H462" s="19">
        <v>17</v>
      </c>
      <c r="I462" s="19">
        <v>500.54</v>
      </c>
      <c r="J462" s="19">
        <v>8509.18</v>
      </c>
    </row>
    <row r="463" ht="15.25" spans="1:10">
      <c r="A463" s="18" t="s">
        <v>2066</v>
      </c>
      <c r="B463" s="19" t="s">
        <v>1902</v>
      </c>
      <c r="C463" s="19" t="s">
        <v>1894</v>
      </c>
      <c r="D463" s="19" t="s">
        <v>1884</v>
      </c>
      <c r="E463" s="19" t="s">
        <v>1895</v>
      </c>
      <c r="F463" s="19" t="s">
        <v>1876</v>
      </c>
      <c r="G463" s="19" t="s">
        <v>1926</v>
      </c>
      <c r="H463" s="19">
        <v>19</v>
      </c>
      <c r="I463" s="19">
        <v>1067.94</v>
      </c>
      <c r="J463" s="19">
        <v>20290.86</v>
      </c>
    </row>
    <row r="464" ht="15.25" spans="1:10">
      <c r="A464" s="18" t="s">
        <v>1971</v>
      </c>
      <c r="B464" s="19" t="s">
        <v>1902</v>
      </c>
      <c r="C464" s="19" t="s">
        <v>1906</v>
      </c>
      <c r="D464" s="19" t="s">
        <v>1862</v>
      </c>
      <c r="E464" s="19" t="s">
        <v>1858</v>
      </c>
      <c r="F464" s="19" t="s">
        <v>1868</v>
      </c>
      <c r="G464" s="19" t="s">
        <v>1907</v>
      </c>
      <c r="H464" s="19">
        <v>7</v>
      </c>
      <c r="I464" s="19">
        <v>2264.87</v>
      </c>
      <c r="J464" s="19">
        <v>15854.09</v>
      </c>
    </row>
    <row r="465" ht="15.25" spans="1:10">
      <c r="A465" s="18">
        <v>45262</v>
      </c>
      <c r="B465" s="19" t="s">
        <v>1855</v>
      </c>
      <c r="C465" s="19" t="s">
        <v>1903</v>
      </c>
      <c r="D465" s="19" t="s">
        <v>1884</v>
      </c>
      <c r="E465" s="19" t="s">
        <v>1895</v>
      </c>
      <c r="F465" s="19" t="s">
        <v>1868</v>
      </c>
      <c r="G465" s="19" t="s">
        <v>1899</v>
      </c>
      <c r="H465" s="19">
        <v>18</v>
      </c>
      <c r="I465" s="19">
        <v>2584.07</v>
      </c>
      <c r="J465" s="19">
        <v>46513.26</v>
      </c>
    </row>
    <row r="466" ht="15.25" spans="1:10">
      <c r="A466" s="18" t="s">
        <v>2066</v>
      </c>
      <c r="B466" s="19" t="s">
        <v>1902</v>
      </c>
      <c r="C466" s="19" t="s">
        <v>1602</v>
      </c>
      <c r="D466" s="19" t="s">
        <v>1862</v>
      </c>
      <c r="E466" s="19" t="s">
        <v>1858</v>
      </c>
      <c r="F466" s="19" t="s">
        <v>1859</v>
      </c>
      <c r="G466" s="19" t="s">
        <v>1922</v>
      </c>
      <c r="H466" s="19">
        <v>13</v>
      </c>
      <c r="I466" s="19">
        <v>4621.13</v>
      </c>
      <c r="J466" s="19">
        <v>60074.69</v>
      </c>
    </row>
    <row r="467" ht="15.25" spans="1:10">
      <c r="A467" s="18">
        <v>45269</v>
      </c>
      <c r="B467" s="19" t="s">
        <v>1855</v>
      </c>
      <c r="C467" s="19" t="s">
        <v>1903</v>
      </c>
      <c r="D467" s="19" t="s">
        <v>1884</v>
      </c>
      <c r="E467" s="19" t="s">
        <v>1895</v>
      </c>
      <c r="F467" s="19" t="s">
        <v>1868</v>
      </c>
      <c r="G467" s="19" t="s">
        <v>1869</v>
      </c>
      <c r="H467" s="19">
        <v>16</v>
      </c>
      <c r="I467" s="19">
        <v>4826.2</v>
      </c>
      <c r="J467" s="19">
        <v>77219.2</v>
      </c>
    </row>
    <row r="468" ht="15.25" spans="1:10">
      <c r="A468" s="18">
        <v>45052</v>
      </c>
      <c r="B468" s="19" t="s">
        <v>1871</v>
      </c>
      <c r="C468" s="19" t="s">
        <v>1875</v>
      </c>
      <c r="D468" s="19" t="s">
        <v>1862</v>
      </c>
      <c r="E468" s="19" t="s">
        <v>1858</v>
      </c>
      <c r="F468" s="19" t="s">
        <v>1876</v>
      </c>
      <c r="G468" s="19" t="s">
        <v>1883</v>
      </c>
      <c r="H468" s="19">
        <v>5</v>
      </c>
      <c r="I468" s="19">
        <v>4773.56</v>
      </c>
      <c r="J468" s="19">
        <v>23867.8</v>
      </c>
    </row>
    <row r="469" ht="15.25" spans="1:10">
      <c r="A469" s="18" t="s">
        <v>1969</v>
      </c>
      <c r="B469" s="19" t="s">
        <v>1902</v>
      </c>
      <c r="C469" s="19" t="s">
        <v>1864</v>
      </c>
      <c r="D469" s="19" t="s">
        <v>1857</v>
      </c>
      <c r="E469" s="19" t="s">
        <v>1858</v>
      </c>
      <c r="F469" s="19" t="s">
        <v>1868</v>
      </c>
      <c r="G469" s="19" t="s">
        <v>1907</v>
      </c>
      <c r="H469" s="19">
        <v>9</v>
      </c>
      <c r="I469" s="19">
        <v>3220.44</v>
      </c>
      <c r="J469" s="19">
        <v>28983.96</v>
      </c>
    </row>
    <row r="470" ht="15.25" spans="1:10">
      <c r="A470" s="18" t="s">
        <v>2034</v>
      </c>
      <c r="B470" s="19" t="s">
        <v>1902</v>
      </c>
      <c r="C470" s="19" t="s">
        <v>1626</v>
      </c>
      <c r="D470" s="19" t="s">
        <v>1857</v>
      </c>
      <c r="E470" s="19" t="s">
        <v>1858</v>
      </c>
      <c r="F470" s="19" t="s">
        <v>1868</v>
      </c>
      <c r="G470" s="19" t="s">
        <v>1899</v>
      </c>
      <c r="H470" s="19">
        <v>15</v>
      </c>
      <c r="I470" s="19">
        <v>4945.79</v>
      </c>
      <c r="J470" s="19">
        <v>74186.85</v>
      </c>
    </row>
    <row r="471" ht="15.25" spans="1:10">
      <c r="A471" s="18">
        <v>45140</v>
      </c>
      <c r="B471" s="19" t="s">
        <v>1867</v>
      </c>
      <c r="C471" s="19" t="s">
        <v>1856</v>
      </c>
      <c r="D471" s="19" t="s">
        <v>1857</v>
      </c>
      <c r="E471" s="19" t="s">
        <v>1858</v>
      </c>
      <c r="F471" s="19" t="s">
        <v>1865</v>
      </c>
      <c r="G471" s="19" t="s">
        <v>1920</v>
      </c>
      <c r="H471" s="19">
        <v>14</v>
      </c>
      <c r="I471" s="19">
        <v>2355.56</v>
      </c>
      <c r="J471" s="19">
        <v>32977.84</v>
      </c>
    </row>
    <row r="472" ht="15.25" spans="1:10">
      <c r="A472" s="18" t="s">
        <v>1911</v>
      </c>
      <c r="B472" s="19" t="s">
        <v>1855</v>
      </c>
      <c r="C472" s="19" t="s">
        <v>1610</v>
      </c>
      <c r="D472" s="19" t="s">
        <v>1879</v>
      </c>
      <c r="E472" s="19" t="s">
        <v>1851</v>
      </c>
      <c r="F472" s="19" t="s">
        <v>1865</v>
      </c>
      <c r="G472" s="19" t="s">
        <v>1886</v>
      </c>
      <c r="H472" s="19">
        <v>4</v>
      </c>
      <c r="I472" s="19">
        <v>4412.41</v>
      </c>
      <c r="J472" s="19">
        <v>17649.64</v>
      </c>
    </row>
    <row r="473" ht="15.25" spans="1:10">
      <c r="A473" s="18" t="s">
        <v>1985</v>
      </c>
      <c r="B473" s="19" t="s">
        <v>1889</v>
      </c>
      <c r="C473" s="19" t="s">
        <v>1894</v>
      </c>
      <c r="D473" s="19" t="s">
        <v>1884</v>
      </c>
      <c r="E473" s="19" t="s">
        <v>1895</v>
      </c>
      <c r="F473" s="19" t="s">
        <v>1859</v>
      </c>
      <c r="G473" s="19" t="s">
        <v>1922</v>
      </c>
      <c r="H473" s="19">
        <v>5</v>
      </c>
      <c r="I473" s="19">
        <v>355.6</v>
      </c>
      <c r="J473" s="19">
        <v>1778</v>
      </c>
    </row>
    <row r="474" ht="26.75" spans="1:10">
      <c r="A474" s="18" t="s">
        <v>2025</v>
      </c>
      <c r="B474" s="19" t="s">
        <v>1867</v>
      </c>
      <c r="C474" s="19" t="s">
        <v>1849</v>
      </c>
      <c r="D474" s="19" t="s">
        <v>1850</v>
      </c>
      <c r="E474" s="19" t="s">
        <v>1851</v>
      </c>
      <c r="F474" s="19" t="s">
        <v>1876</v>
      </c>
      <c r="G474" s="19" t="s">
        <v>1877</v>
      </c>
      <c r="H474" s="19">
        <v>12</v>
      </c>
      <c r="I474" s="19">
        <v>4405.19</v>
      </c>
      <c r="J474" s="19">
        <v>52862.28</v>
      </c>
    </row>
    <row r="475" ht="15.25" spans="1:10">
      <c r="A475" s="18" t="s">
        <v>2067</v>
      </c>
      <c r="B475" s="19" t="s">
        <v>1855</v>
      </c>
      <c r="C475" s="19" t="s">
        <v>1589</v>
      </c>
      <c r="D475" s="19" t="s">
        <v>1884</v>
      </c>
      <c r="E475" s="19" t="s">
        <v>1895</v>
      </c>
      <c r="F475" s="19" t="s">
        <v>1868</v>
      </c>
      <c r="G475" s="19" t="s">
        <v>1899</v>
      </c>
      <c r="H475" s="19">
        <v>9</v>
      </c>
      <c r="I475" s="19">
        <v>877.89</v>
      </c>
      <c r="J475" s="19">
        <v>7901.01</v>
      </c>
    </row>
    <row r="476" ht="15.25" spans="1:10">
      <c r="A476" s="18" t="s">
        <v>2068</v>
      </c>
      <c r="B476" s="19" t="s">
        <v>1855</v>
      </c>
      <c r="C476" s="19" t="s">
        <v>1941</v>
      </c>
      <c r="D476" s="19" t="s">
        <v>1879</v>
      </c>
      <c r="E476" s="19" t="s">
        <v>1851</v>
      </c>
      <c r="F476" s="19" t="s">
        <v>1865</v>
      </c>
      <c r="G476" s="19" t="s">
        <v>1886</v>
      </c>
      <c r="H476" s="19">
        <v>1</v>
      </c>
      <c r="I476" s="19">
        <v>2970.66</v>
      </c>
      <c r="J476" s="19">
        <v>2970.66</v>
      </c>
    </row>
    <row r="477" ht="26.75" spans="1:10">
      <c r="A477" s="18" t="s">
        <v>2061</v>
      </c>
      <c r="B477" s="19" t="s">
        <v>1878</v>
      </c>
      <c r="C477" s="19" t="s">
        <v>1849</v>
      </c>
      <c r="D477" s="19" t="s">
        <v>1850</v>
      </c>
      <c r="E477" s="19" t="s">
        <v>1851</v>
      </c>
      <c r="F477" s="19" t="s">
        <v>1852</v>
      </c>
      <c r="G477" s="19" t="s">
        <v>1934</v>
      </c>
      <c r="H477" s="19">
        <v>15</v>
      </c>
      <c r="I477" s="19">
        <v>3579.98</v>
      </c>
      <c r="J477" s="19">
        <v>53699.7</v>
      </c>
    </row>
    <row r="478" ht="15.25" spans="1:10">
      <c r="A478" s="18">
        <v>45056</v>
      </c>
      <c r="B478" s="19" t="s">
        <v>1902</v>
      </c>
      <c r="C478" s="19" t="s">
        <v>1941</v>
      </c>
      <c r="D478" s="19" t="s">
        <v>1879</v>
      </c>
      <c r="E478" s="19" t="s">
        <v>1851</v>
      </c>
      <c r="F478" s="19" t="s">
        <v>1876</v>
      </c>
      <c r="G478" s="19" t="s">
        <v>1883</v>
      </c>
      <c r="H478" s="19">
        <v>9</v>
      </c>
      <c r="I478" s="19">
        <v>1605.02</v>
      </c>
      <c r="J478" s="19">
        <v>14445.18</v>
      </c>
    </row>
    <row r="479" ht="15.25" spans="1:10">
      <c r="A479" s="18" t="s">
        <v>1984</v>
      </c>
      <c r="B479" s="19" t="s">
        <v>1848</v>
      </c>
      <c r="C479" s="19" t="s">
        <v>1626</v>
      </c>
      <c r="D479" s="19" t="s">
        <v>1857</v>
      </c>
      <c r="E479" s="19" t="s">
        <v>1858</v>
      </c>
      <c r="F479" s="19" t="s">
        <v>1876</v>
      </c>
      <c r="G479" s="19" t="s">
        <v>1877</v>
      </c>
      <c r="H479" s="19">
        <v>12</v>
      </c>
      <c r="I479" s="19">
        <v>1982.64</v>
      </c>
      <c r="J479" s="19">
        <v>23791.68</v>
      </c>
    </row>
    <row r="480" ht="15.25" spans="1:10">
      <c r="A480" s="18" t="s">
        <v>2069</v>
      </c>
      <c r="B480" s="19" t="s">
        <v>1892</v>
      </c>
      <c r="C480" s="19" t="s">
        <v>1941</v>
      </c>
      <c r="D480" s="19" t="s">
        <v>1879</v>
      </c>
      <c r="E480" s="19" t="s">
        <v>1851</v>
      </c>
      <c r="F480" s="19" t="s">
        <v>1859</v>
      </c>
      <c r="G480" s="19" t="s">
        <v>1947</v>
      </c>
      <c r="H480" s="19">
        <v>20</v>
      </c>
      <c r="I480" s="19">
        <v>3195.53</v>
      </c>
      <c r="J480" s="19">
        <v>63910.6</v>
      </c>
    </row>
    <row r="481" ht="15.25" spans="1:10">
      <c r="A481" s="18">
        <v>45176</v>
      </c>
      <c r="B481" s="19" t="s">
        <v>1902</v>
      </c>
      <c r="C481" s="19" t="s">
        <v>1610</v>
      </c>
      <c r="D481" s="19" t="s">
        <v>1879</v>
      </c>
      <c r="E481" s="19" t="s">
        <v>1851</v>
      </c>
      <c r="F481" s="19" t="s">
        <v>1868</v>
      </c>
      <c r="G481" s="19" t="s">
        <v>1907</v>
      </c>
      <c r="H481" s="19">
        <v>20</v>
      </c>
      <c r="I481" s="19">
        <v>1580.59</v>
      </c>
      <c r="J481" s="19">
        <v>31611.8</v>
      </c>
    </row>
    <row r="482" ht="15.25" spans="1:10">
      <c r="A482" s="18" t="s">
        <v>1994</v>
      </c>
      <c r="B482" s="19" t="s">
        <v>1867</v>
      </c>
      <c r="C482" s="19" t="s">
        <v>1906</v>
      </c>
      <c r="D482" s="19" t="s">
        <v>1862</v>
      </c>
      <c r="E482" s="19" t="s">
        <v>1858</v>
      </c>
      <c r="F482" s="19" t="s">
        <v>1876</v>
      </c>
      <c r="G482" s="19" t="s">
        <v>1926</v>
      </c>
      <c r="H482" s="19">
        <v>6</v>
      </c>
      <c r="I482" s="19">
        <v>809.57</v>
      </c>
      <c r="J482" s="19">
        <v>4857.42</v>
      </c>
    </row>
    <row r="483" ht="26.75" spans="1:10">
      <c r="A483" s="18" t="s">
        <v>2070</v>
      </c>
      <c r="B483" s="19" t="s">
        <v>1878</v>
      </c>
      <c r="C483" s="19" t="s">
        <v>1598</v>
      </c>
      <c r="D483" s="19" t="s">
        <v>1850</v>
      </c>
      <c r="E483" s="19" t="s">
        <v>1851</v>
      </c>
      <c r="F483" s="19" t="s">
        <v>1859</v>
      </c>
      <c r="G483" s="19" t="s">
        <v>1872</v>
      </c>
      <c r="H483" s="19">
        <v>6</v>
      </c>
      <c r="I483" s="19">
        <v>1221.52</v>
      </c>
      <c r="J483" s="19">
        <v>7329.12</v>
      </c>
    </row>
    <row r="484" ht="15.25" spans="1:10">
      <c r="A484" s="18">
        <v>45054</v>
      </c>
      <c r="B484" s="19" t="s">
        <v>1861</v>
      </c>
      <c r="C484" s="19" t="s">
        <v>1875</v>
      </c>
      <c r="D484" s="19" t="s">
        <v>1862</v>
      </c>
      <c r="E484" s="19" t="s">
        <v>1858</v>
      </c>
      <c r="F484" s="19" t="s">
        <v>1852</v>
      </c>
      <c r="G484" s="19" t="s">
        <v>1853</v>
      </c>
      <c r="H484" s="19">
        <v>4</v>
      </c>
      <c r="I484" s="19">
        <v>2457.5</v>
      </c>
      <c r="J484" s="19">
        <v>9830</v>
      </c>
    </row>
    <row r="485" ht="15.25" spans="1:10">
      <c r="A485" s="18">
        <v>45115</v>
      </c>
      <c r="B485" s="19" t="s">
        <v>1861</v>
      </c>
      <c r="C485" s="19" t="s">
        <v>1906</v>
      </c>
      <c r="D485" s="19" t="s">
        <v>1862</v>
      </c>
      <c r="E485" s="19" t="s">
        <v>1858</v>
      </c>
      <c r="F485" s="19" t="s">
        <v>1859</v>
      </c>
      <c r="G485" s="19" t="s">
        <v>1947</v>
      </c>
      <c r="H485" s="19">
        <v>12</v>
      </c>
      <c r="I485" s="19">
        <v>2820.88</v>
      </c>
      <c r="J485" s="19">
        <v>33850.56</v>
      </c>
    </row>
    <row r="486" ht="26.75" spans="1:10">
      <c r="A486" s="18">
        <v>45143</v>
      </c>
      <c r="B486" s="19" t="s">
        <v>1892</v>
      </c>
      <c r="C486" s="19" t="s">
        <v>1593</v>
      </c>
      <c r="D486" s="19" t="s">
        <v>1850</v>
      </c>
      <c r="E486" s="19" t="s">
        <v>1851</v>
      </c>
      <c r="F486" s="19" t="s">
        <v>1859</v>
      </c>
      <c r="G486" s="19" t="s">
        <v>1860</v>
      </c>
      <c r="H486" s="19">
        <v>10</v>
      </c>
      <c r="I486" s="19">
        <v>1512.64</v>
      </c>
      <c r="J486" s="19">
        <v>15126.4</v>
      </c>
    </row>
    <row r="487" ht="15.25" spans="1:10">
      <c r="A487" s="18" t="s">
        <v>2069</v>
      </c>
      <c r="B487" s="19" t="s">
        <v>1874</v>
      </c>
      <c r="C487" s="19" t="s">
        <v>1894</v>
      </c>
      <c r="D487" s="19" t="s">
        <v>1884</v>
      </c>
      <c r="E487" s="19" t="s">
        <v>1895</v>
      </c>
      <c r="F487" s="19" t="s">
        <v>1868</v>
      </c>
      <c r="G487" s="19" t="s">
        <v>1869</v>
      </c>
      <c r="H487" s="19">
        <v>5</v>
      </c>
      <c r="I487" s="19">
        <v>3199.14</v>
      </c>
      <c r="J487" s="19">
        <v>15995.7</v>
      </c>
    </row>
    <row r="488" ht="15.25" spans="1:10">
      <c r="A488" s="18" t="s">
        <v>2071</v>
      </c>
      <c r="B488" s="19" t="s">
        <v>1848</v>
      </c>
      <c r="C488" s="19" t="s">
        <v>1610</v>
      </c>
      <c r="D488" s="19" t="s">
        <v>1879</v>
      </c>
      <c r="E488" s="19" t="s">
        <v>1851</v>
      </c>
      <c r="F488" s="19" t="s">
        <v>1876</v>
      </c>
      <c r="G488" s="19" t="s">
        <v>1930</v>
      </c>
      <c r="H488" s="19">
        <v>11</v>
      </c>
      <c r="I488" s="19">
        <v>4315</v>
      </c>
      <c r="J488" s="19">
        <v>47465</v>
      </c>
    </row>
    <row r="489" ht="26.75" spans="1:10">
      <c r="A489" s="18">
        <v>45057</v>
      </c>
      <c r="B489" s="19" t="s">
        <v>1855</v>
      </c>
      <c r="C489" s="19" t="s">
        <v>1849</v>
      </c>
      <c r="D489" s="19" t="s">
        <v>1850</v>
      </c>
      <c r="E489" s="19" t="s">
        <v>1851</v>
      </c>
      <c r="F489" s="19" t="s">
        <v>1868</v>
      </c>
      <c r="G489" s="19" t="s">
        <v>1907</v>
      </c>
      <c r="H489" s="19">
        <v>9</v>
      </c>
      <c r="I489" s="19">
        <v>2118.17</v>
      </c>
      <c r="J489" s="19">
        <v>19063.53</v>
      </c>
    </row>
    <row r="490" ht="15.25" spans="1:10">
      <c r="A490" s="18">
        <v>45017</v>
      </c>
      <c r="B490" s="19" t="s">
        <v>1902</v>
      </c>
      <c r="C490" s="19" t="s">
        <v>1894</v>
      </c>
      <c r="D490" s="19" t="s">
        <v>1884</v>
      </c>
      <c r="E490" s="19" t="s">
        <v>1895</v>
      </c>
      <c r="F490" s="19" t="s">
        <v>1859</v>
      </c>
      <c r="G490" s="19" t="s">
        <v>1872</v>
      </c>
      <c r="H490" s="19">
        <v>18</v>
      </c>
      <c r="I490" s="19">
        <v>1042.99</v>
      </c>
      <c r="J490" s="19">
        <v>18773.82</v>
      </c>
    </row>
    <row r="491" ht="15.25" spans="1:10">
      <c r="A491" s="18" t="s">
        <v>1881</v>
      </c>
      <c r="B491" s="19" t="s">
        <v>1855</v>
      </c>
      <c r="C491" s="19" t="s">
        <v>1903</v>
      </c>
      <c r="D491" s="19" t="s">
        <v>1884</v>
      </c>
      <c r="E491" s="19" t="s">
        <v>1895</v>
      </c>
      <c r="F491" s="19" t="s">
        <v>1876</v>
      </c>
      <c r="G491" s="19" t="s">
        <v>1930</v>
      </c>
      <c r="H491" s="19">
        <v>6</v>
      </c>
      <c r="I491" s="19">
        <v>4707.38</v>
      </c>
      <c r="J491" s="19">
        <v>28244.28</v>
      </c>
    </row>
    <row r="492" ht="26.75" spans="1:10">
      <c r="A492" s="18" t="s">
        <v>2072</v>
      </c>
      <c r="B492" s="19" t="s">
        <v>1871</v>
      </c>
      <c r="C492" s="19" t="s">
        <v>1849</v>
      </c>
      <c r="D492" s="19" t="s">
        <v>1850</v>
      </c>
      <c r="E492" s="19" t="s">
        <v>1851</v>
      </c>
      <c r="F492" s="19" t="s">
        <v>1868</v>
      </c>
      <c r="G492" s="19" t="s">
        <v>1907</v>
      </c>
      <c r="H492" s="19">
        <v>8</v>
      </c>
      <c r="I492" s="19">
        <v>360.87</v>
      </c>
      <c r="J492" s="19">
        <v>2886.96</v>
      </c>
    </row>
    <row r="493" ht="15.25" spans="1:10">
      <c r="A493" s="18">
        <v>45140</v>
      </c>
      <c r="B493" s="19" t="s">
        <v>1867</v>
      </c>
      <c r="C493" s="19" t="s">
        <v>1626</v>
      </c>
      <c r="D493" s="19" t="s">
        <v>1857</v>
      </c>
      <c r="E493" s="19" t="s">
        <v>1858</v>
      </c>
      <c r="F493" s="19" t="s">
        <v>1859</v>
      </c>
      <c r="G493" s="19" t="s">
        <v>1922</v>
      </c>
      <c r="H493" s="19">
        <v>12</v>
      </c>
      <c r="I493" s="19">
        <v>2519.65</v>
      </c>
      <c r="J493" s="19">
        <v>30235.8</v>
      </c>
    </row>
    <row r="494" ht="15.25" spans="1:10">
      <c r="A494" s="18">
        <v>45176</v>
      </c>
      <c r="B494" s="19" t="s">
        <v>1861</v>
      </c>
      <c r="C494" s="19" t="s">
        <v>1894</v>
      </c>
      <c r="D494" s="19" t="s">
        <v>1884</v>
      </c>
      <c r="E494" s="19" t="s">
        <v>1895</v>
      </c>
      <c r="F494" s="19" t="s">
        <v>1859</v>
      </c>
      <c r="G494" s="19" t="s">
        <v>1872</v>
      </c>
      <c r="H494" s="19">
        <v>7</v>
      </c>
      <c r="I494" s="19">
        <v>2861.67</v>
      </c>
      <c r="J494" s="19">
        <v>20031.69</v>
      </c>
    </row>
    <row r="495" ht="15.25" spans="1:10">
      <c r="A495" s="18" t="s">
        <v>1999</v>
      </c>
      <c r="B495" s="19" t="s">
        <v>1861</v>
      </c>
      <c r="C495" s="19" t="s">
        <v>1589</v>
      </c>
      <c r="D495" s="19" t="s">
        <v>1884</v>
      </c>
      <c r="E495" s="19" t="s">
        <v>1895</v>
      </c>
      <c r="F495" s="19" t="s">
        <v>1868</v>
      </c>
      <c r="G495" s="19" t="s">
        <v>1899</v>
      </c>
      <c r="H495" s="19">
        <v>11</v>
      </c>
      <c r="I495" s="19">
        <v>4896.83</v>
      </c>
      <c r="J495" s="19">
        <v>53865.13</v>
      </c>
    </row>
    <row r="496" ht="15.25" spans="1:10">
      <c r="A496" s="18" t="s">
        <v>2066</v>
      </c>
      <c r="B496" s="19" t="s">
        <v>1855</v>
      </c>
      <c r="C496" s="19" t="s">
        <v>1610</v>
      </c>
      <c r="D496" s="19" t="s">
        <v>1879</v>
      </c>
      <c r="E496" s="19" t="s">
        <v>1851</v>
      </c>
      <c r="F496" s="19" t="s">
        <v>1876</v>
      </c>
      <c r="G496" s="19" t="s">
        <v>1883</v>
      </c>
      <c r="H496" s="19">
        <v>15</v>
      </c>
      <c r="I496" s="19">
        <v>4180.61</v>
      </c>
      <c r="J496" s="19">
        <v>62709.15</v>
      </c>
    </row>
    <row r="497" ht="15.25" spans="1:10">
      <c r="A497" s="18">
        <v>45242</v>
      </c>
      <c r="B497" s="19" t="s">
        <v>1874</v>
      </c>
      <c r="C497" s="19" t="s">
        <v>1903</v>
      </c>
      <c r="D497" s="19" t="s">
        <v>1884</v>
      </c>
      <c r="E497" s="19" t="s">
        <v>1895</v>
      </c>
      <c r="F497" s="19" t="s">
        <v>1868</v>
      </c>
      <c r="G497" s="19" t="s">
        <v>1869</v>
      </c>
      <c r="H497" s="19">
        <v>2</v>
      </c>
      <c r="I497" s="19">
        <v>3747.71</v>
      </c>
      <c r="J497" s="19">
        <v>7495.42</v>
      </c>
    </row>
    <row r="498" ht="15.25" spans="1:10">
      <c r="A498" s="18" t="s">
        <v>2073</v>
      </c>
      <c r="B498" s="19" t="s">
        <v>1892</v>
      </c>
      <c r="C498" s="19" t="s">
        <v>1903</v>
      </c>
      <c r="D498" s="19" t="s">
        <v>1884</v>
      </c>
      <c r="E498" s="19" t="s">
        <v>1895</v>
      </c>
      <c r="F498" s="19" t="s">
        <v>1859</v>
      </c>
      <c r="G498" s="19" t="s">
        <v>1922</v>
      </c>
      <c r="H498" s="19">
        <v>3</v>
      </c>
      <c r="I498" s="19">
        <v>2792.38</v>
      </c>
      <c r="J498" s="19">
        <v>8377.14</v>
      </c>
    </row>
    <row r="499" ht="26.75" spans="1:10">
      <c r="A499" s="18">
        <v>45028</v>
      </c>
      <c r="B499" s="19" t="s">
        <v>1871</v>
      </c>
      <c r="C499" s="19" t="s">
        <v>1593</v>
      </c>
      <c r="D499" s="19" t="s">
        <v>1850</v>
      </c>
      <c r="E499" s="19" t="s">
        <v>1851</v>
      </c>
      <c r="F499" s="19" t="s">
        <v>1876</v>
      </c>
      <c r="G499" s="19" t="s">
        <v>1883</v>
      </c>
      <c r="H499" s="19">
        <v>17</v>
      </c>
      <c r="I499" s="19">
        <v>683.31</v>
      </c>
      <c r="J499" s="19">
        <v>11616.27</v>
      </c>
    </row>
    <row r="500" ht="15.25" spans="1:10">
      <c r="A500" s="18">
        <v>44986</v>
      </c>
      <c r="B500" s="19" t="s">
        <v>1874</v>
      </c>
      <c r="C500" s="19" t="s">
        <v>1589</v>
      </c>
      <c r="D500" s="19" t="s">
        <v>1884</v>
      </c>
      <c r="E500" s="19" t="s">
        <v>1895</v>
      </c>
      <c r="F500" s="19" t="s">
        <v>1865</v>
      </c>
      <c r="G500" s="19" t="s">
        <v>1890</v>
      </c>
      <c r="H500" s="19">
        <v>20</v>
      </c>
      <c r="I500" s="19">
        <v>3463.6</v>
      </c>
      <c r="J500" s="19">
        <v>69272</v>
      </c>
    </row>
    <row r="501" ht="15.25" spans="1:10">
      <c r="A501" s="18" t="s">
        <v>2074</v>
      </c>
      <c r="B501" s="19" t="s">
        <v>1867</v>
      </c>
      <c r="C501" s="19" t="s">
        <v>1875</v>
      </c>
      <c r="D501" s="19" t="s">
        <v>1862</v>
      </c>
      <c r="E501" s="19" t="s">
        <v>1858</v>
      </c>
      <c r="F501" s="19" t="s">
        <v>1859</v>
      </c>
      <c r="G501" s="19" t="s">
        <v>1947</v>
      </c>
      <c r="H501" s="19">
        <v>9</v>
      </c>
      <c r="I501" s="19">
        <v>1609.98</v>
      </c>
      <c r="J501" s="19">
        <v>14489.82</v>
      </c>
    </row>
    <row r="502" ht="26.75" spans="1:10">
      <c r="A502" s="18">
        <v>45084</v>
      </c>
      <c r="B502" s="19" t="s">
        <v>1855</v>
      </c>
      <c r="C502" s="19" t="s">
        <v>1593</v>
      </c>
      <c r="D502" s="19" t="s">
        <v>1850</v>
      </c>
      <c r="E502" s="19" t="s">
        <v>1851</v>
      </c>
      <c r="F502" s="19" t="s">
        <v>1859</v>
      </c>
      <c r="G502" s="19" t="s">
        <v>1922</v>
      </c>
      <c r="H502" s="19">
        <v>4</v>
      </c>
      <c r="I502" s="19">
        <v>2836.34</v>
      </c>
      <c r="J502" s="19">
        <v>11345.36</v>
      </c>
    </row>
    <row r="503" ht="15.25" spans="1:10">
      <c r="A503" s="18" t="s">
        <v>1974</v>
      </c>
      <c r="B503" s="19" t="s">
        <v>1889</v>
      </c>
      <c r="C503" s="19" t="s">
        <v>1610</v>
      </c>
      <c r="D503" s="19" t="s">
        <v>1879</v>
      </c>
      <c r="E503" s="19" t="s">
        <v>1851</v>
      </c>
      <c r="F503" s="19" t="s">
        <v>1876</v>
      </c>
      <c r="G503" s="19" t="s">
        <v>1926</v>
      </c>
      <c r="H503" s="19">
        <v>18</v>
      </c>
      <c r="I503" s="19">
        <v>3238.98</v>
      </c>
      <c r="J503" s="19">
        <v>58301.64</v>
      </c>
    </row>
    <row r="504" ht="15.25" spans="1:10">
      <c r="A504" s="18" t="s">
        <v>2022</v>
      </c>
      <c r="B504" s="19" t="s">
        <v>1867</v>
      </c>
      <c r="C504" s="19" t="s">
        <v>1875</v>
      </c>
      <c r="D504" s="19" t="s">
        <v>1862</v>
      </c>
      <c r="E504" s="19" t="s">
        <v>1858</v>
      </c>
      <c r="F504" s="19" t="s">
        <v>1852</v>
      </c>
      <c r="G504" s="19" t="s">
        <v>1934</v>
      </c>
      <c r="H504" s="19">
        <v>20</v>
      </c>
      <c r="I504" s="19">
        <v>2791.25</v>
      </c>
      <c r="J504" s="19">
        <v>55825</v>
      </c>
    </row>
    <row r="505" ht="15.25" spans="1:10">
      <c r="A505" s="18" t="s">
        <v>2063</v>
      </c>
      <c r="B505" s="19" t="s">
        <v>1855</v>
      </c>
      <c r="C505" s="19" t="s">
        <v>1898</v>
      </c>
      <c r="D505" s="19" t="s">
        <v>1879</v>
      </c>
      <c r="E505" s="19" t="s">
        <v>1851</v>
      </c>
      <c r="F505" s="19" t="s">
        <v>1865</v>
      </c>
      <c r="G505" s="19" t="s">
        <v>1866</v>
      </c>
      <c r="H505" s="19">
        <v>1</v>
      </c>
      <c r="I505" s="19">
        <v>3165.04</v>
      </c>
      <c r="J505" s="19">
        <v>3165.04</v>
      </c>
    </row>
    <row r="506" ht="26.75" spans="1:10">
      <c r="A506" s="18">
        <v>45117</v>
      </c>
      <c r="B506" s="19" t="s">
        <v>1855</v>
      </c>
      <c r="C506" s="19" t="s">
        <v>1849</v>
      </c>
      <c r="D506" s="19" t="s">
        <v>1850</v>
      </c>
      <c r="E506" s="19" t="s">
        <v>1851</v>
      </c>
      <c r="F506" s="19" t="s">
        <v>1859</v>
      </c>
      <c r="G506" s="19" t="s">
        <v>1860</v>
      </c>
      <c r="H506" s="19">
        <v>14</v>
      </c>
      <c r="I506" s="19">
        <v>3414.59</v>
      </c>
      <c r="J506" s="19">
        <v>47804.26</v>
      </c>
    </row>
    <row r="507" ht="26.75" spans="1:10">
      <c r="A507" s="18">
        <v>45240</v>
      </c>
      <c r="B507" s="19" t="s">
        <v>1878</v>
      </c>
      <c r="C507" s="19" t="s">
        <v>1598</v>
      </c>
      <c r="D507" s="19" t="s">
        <v>1850</v>
      </c>
      <c r="E507" s="19" t="s">
        <v>1851</v>
      </c>
      <c r="F507" s="19" t="s">
        <v>1876</v>
      </c>
      <c r="G507" s="19" t="s">
        <v>1926</v>
      </c>
      <c r="H507" s="19">
        <v>4</v>
      </c>
      <c r="I507" s="19">
        <v>3896.69</v>
      </c>
      <c r="J507" s="19">
        <v>15586.76</v>
      </c>
    </row>
    <row r="508" ht="15.25" spans="1:10">
      <c r="A508" s="18" t="s">
        <v>2075</v>
      </c>
      <c r="B508" s="19" t="s">
        <v>1867</v>
      </c>
      <c r="C508" s="19" t="s">
        <v>1864</v>
      </c>
      <c r="D508" s="19" t="s">
        <v>1857</v>
      </c>
      <c r="E508" s="19" t="s">
        <v>1858</v>
      </c>
      <c r="F508" s="19" t="s">
        <v>1865</v>
      </c>
      <c r="G508" s="19" t="s">
        <v>1920</v>
      </c>
      <c r="H508" s="19">
        <v>5</v>
      </c>
      <c r="I508" s="19">
        <v>2024.36</v>
      </c>
      <c r="J508" s="19">
        <v>10121.8</v>
      </c>
    </row>
    <row r="509" ht="15.25" spans="1:10">
      <c r="A509" s="18">
        <v>45207</v>
      </c>
      <c r="B509" s="19" t="s">
        <v>1871</v>
      </c>
      <c r="C509" s="19" t="s">
        <v>1894</v>
      </c>
      <c r="D509" s="19" t="s">
        <v>1884</v>
      </c>
      <c r="E509" s="19" t="s">
        <v>1895</v>
      </c>
      <c r="F509" s="19" t="s">
        <v>1865</v>
      </c>
      <c r="G509" s="19" t="s">
        <v>1866</v>
      </c>
      <c r="H509" s="19">
        <v>17</v>
      </c>
      <c r="I509" s="19">
        <v>102.62</v>
      </c>
      <c r="J509" s="19">
        <v>1744.54</v>
      </c>
    </row>
    <row r="510" ht="15.25" spans="1:10">
      <c r="A510" s="18" t="s">
        <v>2076</v>
      </c>
      <c r="B510" s="19" t="s">
        <v>1867</v>
      </c>
      <c r="C510" s="19" t="s">
        <v>1898</v>
      </c>
      <c r="D510" s="19" t="s">
        <v>1879</v>
      </c>
      <c r="E510" s="19" t="s">
        <v>1851</v>
      </c>
      <c r="F510" s="19" t="s">
        <v>1859</v>
      </c>
      <c r="G510" s="19" t="s">
        <v>1860</v>
      </c>
      <c r="H510" s="19">
        <v>7</v>
      </c>
      <c r="I510" s="19">
        <v>146.52</v>
      </c>
      <c r="J510" s="19">
        <v>1025.64</v>
      </c>
    </row>
    <row r="511" ht="15.25" spans="1:10">
      <c r="A511" s="18" t="s">
        <v>2077</v>
      </c>
      <c r="B511" s="19" t="s">
        <v>1871</v>
      </c>
      <c r="C511" s="19" t="s">
        <v>1894</v>
      </c>
      <c r="D511" s="19" t="s">
        <v>1884</v>
      </c>
      <c r="E511" s="19" t="s">
        <v>1895</v>
      </c>
      <c r="F511" s="19" t="s">
        <v>1852</v>
      </c>
      <c r="G511" s="19" t="s">
        <v>1934</v>
      </c>
      <c r="H511" s="19">
        <v>2</v>
      </c>
      <c r="I511" s="19">
        <v>4248</v>
      </c>
      <c r="J511" s="19">
        <v>8496</v>
      </c>
    </row>
    <row r="512" ht="26.75" spans="1:10">
      <c r="A512" s="18">
        <v>44929</v>
      </c>
      <c r="B512" s="19" t="s">
        <v>1902</v>
      </c>
      <c r="C512" s="19" t="s">
        <v>1849</v>
      </c>
      <c r="D512" s="19" t="s">
        <v>1850</v>
      </c>
      <c r="E512" s="19" t="s">
        <v>1851</v>
      </c>
      <c r="F512" s="19" t="s">
        <v>1865</v>
      </c>
      <c r="G512" s="19" t="s">
        <v>1866</v>
      </c>
      <c r="H512" s="19">
        <v>8</v>
      </c>
      <c r="I512" s="19">
        <v>3075.58</v>
      </c>
      <c r="J512" s="19">
        <v>24604.64</v>
      </c>
    </row>
    <row r="513" ht="15.25" spans="1:10">
      <c r="A513" s="18" t="s">
        <v>2076</v>
      </c>
      <c r="B513" s="19" t="s">
        <v>1874</v>
      </c>
      <c r="C513" s="19" t="s">
        <v>1589</v>
      </c>
      <c r="D513" s="19" t="s">
        <v>1884</v>
      </c>
      <c r="E513" s="19" t="s">
        <v>1895</v>
      </c>
      <c r="F513" s="19" t="s">
        <v>1868</v>
      </c>
      <c r="G513" s="19" t="s">
        <v>1869</v>
      </c>
      <c r="H513" s="19">
        <v>13</v>
      </c>
      <c r="I513" s="19">
        <v>1246.14</v>
      </c>
      <c r="J513" s="19">
        <v>16199.82</v>
      </c>
    </row>
    <row r="514" ht="15.25" spans="1:10">
      <c r="A514" s="18">
        <v>44966</v>
      </c>
      <c r="B514" s="19" t="s">
        <v>1892</v>
      </c>
      <c r="C514" s="19" t="s">
        <v>1856</v>
      </c>
      <c r="D514" s="19" t="s">
        <v>1857</v>
      </c>
      <c r="E514" s="19" t="s">
        <v>1858</v>
      </c>
      <c r="F514" s="19" t="s">
        <v>1876</v>
      </c>
      <c r="G514" s="19" t="s">
        <v>1877</v>
      </c>
      <c r="H514" s="19">
        <v>16</v>
      </c>
      <c r="I514" s="19">
        <v>3942.95</v>
      </c>
      <c r="J514" s="19">
        <v>63087.2</v>
      </c>
    </row>
    <row r="515" ht="15.25" spans="1:10">
      <c r="A515" s="18">
        <v>45233</v>
      </c>
      <c r="B515" s="19" t="s">
        <v>1902</v>
      </c>
      <c r="C515" s="19" t="s">
        <v>1589</v>
      </c>
      <c r="D515" s="19" t="s">
        <v>1884</v>
      </c>
      <c r="E515" s="19" t="s">
        <v>1895</v>
      </c>
      <c r="F515" s="19" t="s">
        <v>1859</v>
      </c>
      <c r="G515" s="19" t="s">
        <v>1947</v>
      </c>
      <c r="H515" s="19">
        <v>1</v>
      </c>
      <c r="I515" s="19">
        <v>936.56</v>
      </c>
      <c r="J515" s="19">
        <v>936.56</v>
      </c>
    </row>
    <row r="516" ht="15.25" spans="1:10">
      <c r="A516" s="18" t="s">
        <v>1997</v>
      </c>
      <c r="B516" s="19" t="s">
        <v>1878</v>
      </c>
      <c r="C516" s="19" t="s">
        <v>1894</v>
      </c>
      <c r="D516" s="19" t="s">
        <v>1884</v>
      </c>
      <c r="E516" s="19" t="s">
        <v>1895</v>
      </c>
      <c r="F516" s="19" t="s">
        <v>1865</v>
      </c>
      <c r="G516" s="19" t="s">
        <v>1866</v>
      </c>
      <c r="H516" s="19">
        <v>7</v>
      </c>
      <c r="I516" s="19">
        <v>1628.68</v>
      </c>
      <c r="J516" s="19">
        <v>11400.76</v>
      </c>
    </row>
    <row r="517" ht="15.25" spans="1:10">
      <c r="A517" s="18" t="s">
        <v>2078</v>
      </c>
      <c r="B517" s="19" t="s">
        <v>1889</v>
      </c>
      <c r="C517" s="19" t="s">
        <v>1898</v>
      </c>
      <c r="D517" s="19" t="s">
        <v>1879</v>
      </c>
      <c r="E517" s="19" t="s">
        <v>1851</v>
      </c>
      <c r="F517" s="19" t="s">
        <v>1859</v>
      </c>
      <c r="G517" s="19" t="s">
        <v>1872</v>
      </c>
      <c r="H517" s="19">
        <v>10</v>
      </c>
      <c r="I517" s="19">
        <v>3400.28</v>
      </c>
      <c r="J517" s="19">
        <v>34002.8</v>
      </c>
    </row>
    <row r="518" ht="15.25" spans="1:10">
      <c r="A518" s="18">
        <v>45081</v>
      </c>
      <c r="B518" s="19" t="s">
        <v>1871</v>
      </c>
      <c r="C518" s="19" t="s">
        <v>1906</v>
      </c>
      <c r="D518" s="19" t="s">
        <v>1862</v>
      </c>
      <c r="E518" s="19" t="s">
        <v>1858</v>
      </c>
      <c r="F518" s="19" t="s">
        <v>1859</v>
      </c>
      <c r="G518" s="19" t="s">
        <v>1922</v>
      </c>
      <c r="H518" s="19">
        <v>18</v>
      </c>
      <c r="I518" s="19">
        <v>2722.99</v>
      </c>
      <c r="J518" s="19">
        <v>49013.82</v>
      </c>
    </row>
    <row r="519" ht="15.25" spans="1:10">
      <c r="A519" s="18">
        <v>45082</v>
      </c>
      <c r="B519" s="19" t="s">
        <v>1861</v>
      </c>
      <c r="C519" s="19" t="s">
        <v>1602</v>
      </c>
      <c r="D519" s="19" t="s">
        <v>1862</v>
      </c>
      <c r="E519" s="19" t="s">
        <v>1858</v>
      </c>
      <c r="F519" s="19" t="s">
        <v>1868</v>
      </c>
      <c r="G519" s="19" t="s">
        <v>1907</v>
      </c>
      <c r="H519" s="19">
        <v>8</v>
      </c>
      <c r="I519" s="19">
        <v>4612.53</v>
      </c>
      <c r="J519" s="19">
        <v>36900.24</v>
      </c>
    </row>
    <row r="520" ht="26.75" spans="1:10">
      <c r="A520" s="18" t="s">
        <v>2079</v>
      </c>
      <c r="B520" s="19" t="s">
        <v>1871</v>
      </c>
      <c r="C520" s="19" t="s">
        <v>1849</v>
      </c>
      <c r="D520" s="19" t="s">
        <v>1850</v>
      </c>
      <c r="E520" s="19" t="s">
        <v>1851</v>
      </c>
      <c r="F520" s="19" t="s">
        <v>1868</v>
      </c>
      <c r="G520" s="19" t="s">
        <v>1869</v>
      </c>
      <c r="H520" s="19">
        <v>13</v>
      </c>
      <c r="I520" s="19">
        <v>2040.1</v>
      </c>
      <c r="J520" s="19">
        <v>26521.3</v>
      </c>
    </row>
    <row r="521" ht="15.25" spans="1:10">
      <c r="A521" s="18" t="s">
        <v>1885</v>
      </c>
      <c r="B521" s="19" t="s">
        <v>1874</v>
      </c>
      <c r="C521" s="19" t="s">
        <v>1906</v>
      </c>
      <c r="D521" s="19" t="s">
        <v>1862</v>
      </c>
      <c r="E521" s="19" t="s">
        <v>1858</v>
      </c>
      <c r="F521" s="19" t="s">
        <v>1876</v>
      </c>
      <c r="G521" s="19" t="s">
        <v>1930</v>
      </c>
      <c r="H521" s="19">
        <v>17</v>
      </c>
      <c r="I521" s="19">
        <v>1122.98</v>
      </c>
      <c r="J521" s="19">
        <v>19090.66</v>
      </c>
    </row>
    <row r="522" ht="26.75" spans="1:10">
      <c r="A522" s="18">
        <v>45027</v>
      </c>
      <c r="B522" s="19" t="s">
        <v>1867</v>
      </c>
      <c r="C522" s="19" t="s">
        <v>1849</v>
      </c>
      <c r="D522" s="19" t="s">
        <v>1850</v>
      </c>
      <c r="E522" s="19" t="s">
        <v>1851</v>
      </c>
      <c r="F522" s="19" t="s">
        <v>1868</v>
      </c>
      <c r="G522" s="19" t="s">
        <v>1869</v>
      </c>
      <c r="H522" s="19">
        <v>16</v>
      </c>
      <c r="I522" s="19">
        <v>2458.6</v>
      </c>
      <c r="J522" s="19">
        <v>39337.6</v>
      </c>
    </row>
    <row r="523" ht="26.75" spans="1:10">
      <c r="A523" s="18" t="s">
        <v>2080</v>
      </c>
      <c r="B523" s="19" t="s">
        <v>1902</v>
      </c>
      <c r="C523" s="19" t="s">
        <v>1849</v>
      </c>
      <c r="D523" s="19" t="s">
        <v>1850</v>
      </c>
      <c r="E523" s="19" t="s">
        <v>1851</v>
      </c>
      <c r="F523" s="19" t="s">
        <v>1852</v>
      </c>
      <c r="G523" s="19" t="s">
        <v>1910</v>
      </c>
      <c r="H523" s="19">
        <v>9</v>
      </c>
      <c r="I523" s="19">
        <v>3195.18</v>
      </c>
      <c r="J523" s="19">
        <v>28756.62</v>
      </c>
    </row>
    <row r="524" ht="15.25" spans="1:10">
      <c r="A524" s="18">
        <v>45026</v>
      </c>
      <c r="B524" s="19" t="s">
        <v>1867</v>
      </c>
      <c r="C524" s="19" t="s">
        <v>1856</v>
      </c>
      <c r="D524" s="19" t="s">
        <v>1857</v>
      </c>
      <c r="E524" s="19" t="s">
        <v>1858</v>
      </c>
      <c r="F524" s="19" t="s">
        <v>1852</v>
      </c>
      <c r="G524" s="19" t="s">
        <v>1934</v>
      </c>
      <c r="H524" s="19">
        <v>3</v>
      </c>
      <c r="I524" s="19">
        <v>384.96</v>
      </c>
      <c r="J524" s="19">
        <v>1154.88</v>
      </c>
    </row>
    <row r="525" ht="26.75" spans="1:10">
      <c r="A525" s="18" t="s">
        <v>2081</v>
      </c>
      <c r="B525" s="19" t="s">
        <v>1878</v>
      </c>
      <c r="C525" s="19" t="s">
        <v>1849</v>
      </c>
      <c r="D525" s="19" t="s">
        <v>1850</v>
      </c>
      <c r="E525" s="19" t="s">
        <v>1851</v>
      </c>
      <c r="F525" s="19" t="s">
        <v>1868</v>
      </c>
      <c r="G525" s="19" t="s">
        <v>1899</v>
      </c>
      <c r="H525" s="19">
        <v>4</v>
      </c>
      <c r="I525" s="19">
        <v>3714.59</v>
      </c>
      <c r="J525" s="19">
        <v>14858.36</v>
      </c>
    </row>
    <row r="526" ht="15.25" spans="1:10">
      <c r="A526" s="18" t="s">
        <v>2082</v>
      </c>
      <c r="B526" s="19" t="s">
        <v>1902</v>
      </c>
      <c r="C526" s="19" t="s">
        <v>1602</v>
      </c>
      <c r="D526" s="19" t="s">
        <v>1862</v>
      </c>
      <c r="E526" s="19" t="s">
        <v>1858</v>
      </c>
      <c r="F526" s="19" t="s">
        <v>1868</v>
      </c>
      <c r="G526" s="19" t="s">
        <v>1917</v>
      </c>
      <c r="H526" s="19">
        <v>9</v>
      </c>
      <c r="I526" s="19">
        <v>1765.86</v>
      </c>
      <c r="J526" s="19">
        <v>15892.74</v>
      </c>
    </row>
    <row r="527" ht="15.25" spans="1:10">
      <c r="A527" s="18">
        <v>45114</v>
      </c>
      <c r="B527" s="19" t="s">
        <v>1848</v>
      </c>
      <c r="C527" s="19" t="s">
        <v>1610</v>
      </c>
      <c r="D527" s="19" t="s">
        <v>1879</v>
      </c>
      <c r="E527" s="19" t="s">
        <v>1851</v>
      </c>
      <c r="F527" s="19" t="s">
        <v>1868</v>
      </c>
      <c r="G527" s="19" t="s">
        <v>1899</v>
      </c>
      <c r="H527" s="19">
        <v>8</v>
      </c>
      <c r="I527" s="19">
        <v>3069.86</v>
      </c>
      <c r="J527" s="19">
        <v>24558.88</v>
      </c>
    </row>
    <row r="528" ht="15.25" spans="1:10">
      <c r="A528" s="18" t="s">
        <v>2009</v>
      </c>
      <c r="B528" s="19" t="s">
        <v>1889</v>
      </c>
      <c r="C528" s="19" t="s">
        <v>1903</v>
      </c>
      <c r="D528" s="19" t="s">
        <v>1884</v>
      </c>
      <c r="E528" s="19" t="s">
        <v>1895</v>
      </c>
      <c r="F528" s="19" t="s">
        <v>1852</v>
      </c>
      <c r="G528" s="19" t="s">
        <v>1853</v>
      </c>
      <c r="H528" s="19">
        <v>9</v>
      </c>
      <c r="I528" s="19">
        <v>1720.47</v>
      </c>
      <c r="J528" s="19">
        <v>15484.23</v>
      </c>
    </row>
    <row r="529" ht="15.25" spans="1:10">
      <c r="A529" s="18" t="s">
        <v>2083</v>
      </c>
      <c r="B529" s="19" t="s">
        <v>1871</v>
      </c>
      <c r="C529" s="19" t="s">
        <v>1875</v>
      </c>
      <c r="D529" s="19" t="s">
        <v>1862</v>
      </c>
      <c r="E529" s="19" t="s">
        <v>1858</v>
      </c>
      <c r="F529" s="19" t="s">
        <v>1865</v>
      </c>
      <c r="G529" s="19" t="s">
        <v>1886</v>
      </c>
      <c r="H529" s="19">
        <v>7</v>
      </c>
      <c r="I529" s="19">
        <v>3416.74</v>
      </c>
      <c r="J529" s="19">
        <v>23917.18</v>
      </c>
    </row>
    <row r="530" ht="15.25" spans="1:10">
      <c r="A530" s="18" t="s">
        <v>2040</v>
      </c>
      <c r="B530" s="19" t="s">
        <v>1889</v>
      </c>
      <c r="C530" s="19" t="s">
        <v>1875</v>
      </c>
      <c r="D530" s="19" t="s">
        <v>1862</v>
      </c>
      <c r="E530" s="19" t="s">
        <v>1858</v>
      </c>
      <c r="F530" s="19" t="s">
        <v>1852</v>
      </c>
      <c r="G530" s="19" t="s">
        <v>1853</v>
      </c>
      <c r="H530" s="19">
        <v>7</v>
      </c>
      <c r="I530" s="19">
        <v>4741.12</v>
      </c>
      <c r="J530" s="19">
        <v>33187.84</v>
      </c>
    </row>
    <row r="531" ht="15.25" spans="1:10">
      <c r="A531" s="18">
        <v>45205</v>
      </c>
      <c r="B531" s="19" t="s">
        <v>1892</v>
      </c>
      <c r="C531" s="19" t="s">
        <v>1903</v>
      </c>
      <c r="D531" s="19" t="s">
        <v>1884</v>
      </c>
      <c r="E531" s="19" t="s">
        <v>1895</v>
      </c>
      <c r="F531" s="19" t="s">
        <v>1865</v>
      </c>
      <c r="G531" s="19" t="s">
        <v>1890</v>
      </c>
      <c r="H531" s="19">
        <v>20</v>
      </c>
      <c r="I531" s="19">
        <v>2721.24</v>
      </c>
      <c r="J531" s="19">
        <v>54424.8</v>
      </c>
    </row>
    <row r="532" ht="15.25" spans="1:10">
      <c r="A532" s="18" t="s">
        <v>2084</v>
      </c>
      <c r="B532" s="19" t="s">
        <v>1878</v>
      </c>
      <c r="C532" s="19" t="s">
        <v>1610</v>
      </c>
      <c r="D532" s="19" t="s">
        <v>1879</v>
      </c>
      <c r="E532" s="19" t="s">
        <v>1851</v>
      </c>
      <c r="F532" s="19" t="s">
        <v>1876</v>
      </c>
      <c r="G532" s="19" t="s">
        <v>1883</v>
      </c>
      <c r="H532" s="19">
        <v>4</v>
      </c>
      <c r="I532" s="19">
        <v>3751.49</v>
      </c>
      <c r="J532" s="19">
        <v>15005.96</v>
      </c>
    </row>
    <row r="533" ht="15.25" spans="1:10">
      <c r="A533" s="18" t="s">
        <v>1885</v>
      </c>
      <c r="B533" s="19" t="s">
        <v>1902</v>
      </c>
      <c r="C533" s="19" t="s">
        <v>1906</v>
      </c>
      <c r="D533" s="19" t="s">
        <v>1862</v>
      </c>
      <c r="E533" s="19" t="s">
        <v>1858</v>
      </c>
      <c r="F533" s="19" t="s">
        <v>1865</v>
      </c>
      <c r="G533" s="19" t="s">
        <v>1920</v>
      </c>
      <c r="H533" s="19">
        <v>19</v>
      </c>
      <c r="I533" s="19">
        <v>4513.6</v>
      </c>
      <c r="J533" s="19">
        <v>85758.4</v>
      </c>
    </row>
    <row r="534" ht="15.25" spans="1:10">
      <c r="A534" s="18">
        <v>45231</v>
      </c>
      <c r="B534" s="19" t="s">
        <v>1892</v>
      </c>
      <c r="C534" s="19" t="s">
        <v>1856</v>
      </c>
      <c r="D534" s="19" t="s">
        <v>1857</v>
      </c>
      <c r="E534" s="19" t="s">
        <v>1858</v>
      </c>
      <c r="F534" s="19" t="s">
        <v>1852</v>
      </c>
      <c r="G534" s="19" t="s">
        <v>1950</v>
      </c>
      <c r="H534" s="19">
        <v>11</v>
      </c>
      <c r="I534" s="19">
        <v>3514.12</v>
      </c>
      <c r="J534" s="19">
        <v>38655.32</v>
      </c>
    </row>
    <row r="535" ht="15.25" spans="1:10">
      <c r="A535" s="18" t="s">
        <v>2077</v>
      </c>
      <c r="B535" s="19" t="s">
        <v>1889</v>
      </c>
      <c r="C535" s="19" t="s">
        <v>1875</v>
      </c>
      <c r="D535" s="19" t="s">
        <v>1862</v>
      </c>
      <c r="E535" s="19" t="s">
        <v>1858</v>
      </c>
      <c r="F535" s="19" t="s">
        <v>1852</v>
      </c>
      <c r="G535" s="19" t="s">
        <v>1910</v>
      </c>
      <c r="H535" s="19">
        <v>13</v>
      </c>
      <c r="I535" s="19">
        <v>2109.15</v>
      </c>
      <c r="J535" s="19">
        <v>27418.95</v>
      </c>
    </row>
    <row r="536" ht="15.25" spans="1:10">
      <c r="A536" s="18" t="s">
        <v>2076</v>
      </c>
      <c r="B536" s="19" t="s">
        <v>1855</v>
      </c>
      <c r="C536" s="19" t="s">
        <v>1856</v>
      </c>
      <c r="D536" s="19" t="s">
        <v>1857</v>
      </c>
      <c r="E536" s="19" t="s">
        <v>1858</v>
      </c>
      <c r="F536" s="19" t="s">
        <v>1865</v>
      </c>
      <c r="G536" s="19" t="s">
        <v>1886</v>
      </c>
      <c r="H536" s="19">
        <v>16</v>
      </c>
      <c r="I536" s="19">
        <v>4090.26</v>
      </c>
      <c r="J536" s="19">
        <v>65444.16</v>
      </c>
    </row>
    <row r="537" ht="15.25" spans="1:10">
      <c r="A537" s="18" t="s">
        <v>2085</v>
      </c>
      <c r="B537" s="19" t="s">
        <v>1861</v>
      </c>
      <c r="C537" s="19" t="s">
        <v>1941</v>
      </c>
      <c r="D537" s="19" t="s">
        <v>1879</v>
      </c>
      <c r="E537" s="19" t="s">
        <v>1851</v>
      </c>
      <c r="F537" s="19" t="s">
        <v>1865</v>
      </c>
      <c r="G537" s="19" t="s">
        <v>1890</v>
      </c>
      <c r="H537" s="19">
        <v>12</v>
      </c>
      <c r="I537" s="19">
        <v>219.32</v>
      </c>
      <c r="J537" s="19">
        <v>2631.84</v>
      </c>
    </row>
    <row r="538" ht="15.25" spans="1:10">
      <c r="A538" s="18" t="s">
        <v>1911</v>
      </c>
      <c r="B538" s="19" t="s">
        <v>1848</v>
      </c>
      <c r="C538" s="19" t="s">
        <v>1903</v>
      </c>
      <c r="D538" s="19" t="s">
        <v>1884</v>
      </c>
      <c r="E538" s="19" t="s">
        <v>1895</v>
      </c>
      <c r="F538" s="19" t="s">
        <v>1859</v>
      </c>
      <c r="G538" s="19" t="s">
        <v>1922</v>
      </c>
      <c r="H538" s="19">
        <v>14</v>
      </c>
      <c r="I538" s="19">
        <v>264.77</v>
      </c>
      <c r="J538" s="19">
        <v>3706.78</v>
      </c>
    </row>
    <row r="539" ht="15.25" spans="1:10">
      <c r="A539" s="18">
        <v>44931</v>
      </c>
      <c r="B539" s="19" t="s">
        <v>1892</v>
      </c>
      <c r="C539" s="19" t="s">
        <v>1864</v>
      </c>
      <c r="D539" s="19" t="s">
        <v>1857</v>
      </c>
      <c r="E539" s="19" t="s">
        <v>1858</v>
      </c>
      <c r="F539" s="19" t="s">
        <v>1865</v>
      </c>
      <c r="G539" s="19" t="s">
        <v>1890</v>
      </c>
      <c r="H539" s="19">
        <v>9</v>
      </c>
      <c r="I539" s="19">
        <v>2624.88</v>
      </c>
      <c r="J539" s="19">
        <v>23623.92</v>
      </c>
    </row>
    <row r="540" ht="15.25" spans="1:10">
      <c r="A540" s="18">
        <v>45022</v>
      </c>
      <c r="B540" s="19" t="s">
        <v>1874</v>
      </c>
      <c r="C540" s="19" t="s">
        <v>1898</v>
      </c>
      <c r="D540" s="19" t="s">
        <v>1879</v>
      </c>
      <c r="E540" s="19" t="s">
        <v>1851</v>
      </c>
      <c r="F540" s="19" t="s">
        <v>1852</v>
      </c>
      <c r="G540" s="19" t="s">
        <v>1934</v>
      </c>
      <c r="H540" s="19">
        <v>15</v>
      </c>
      <c r="I540" s="19">
        <v>1063.88</v>
      </c>
      <c r="J540" s="19">
        <v>15958.2</v>
      </c>
    </row>
    <row r="541" ht="15.25" spans="1:10">
      <c r="A541" s="18" t="s">
        <v>2081</v>
      </c>
      <c r="B541" s="19" t="s">
        <v>1892</v>
      </c>
      <c r="C541" s="19" t="s">
        <v>1626</v>
      </c>
      <c r="D541" s="19" t="s">
        <v>1857</v>
      </c>
      <c r="E541" s="19" t="s">
        <v>1858</v>
      </c>
      <c r="F541" s="19" t="s">
        <v>1865</v>
      </c>
      <c r="G541" s="19" t="s">
        <v>1890</v>
      </c>
      <c r="H541" s="19">
        <v>2</v>
      </c>
      <c r="I541" s="19">
        <v>4277.9</v>
      </c>
      <c r="J541" s="19">
        <v>8555.8</v>
      </c>
    </row>
    <row r="542" ht="15.25" spans="1:10">
      <c r="A542" s="18" t="s">
        <v>2086</v>
      </c>
      <c r="B542" s="19" t="s">
        <v>1848</v>
      </c>
      <c r="C542" s="19" t="s">
        <v>1610</v>
      </c>
      <c r="D542" s="19" t="s">
        <v>1879</v>
      </c>
      <c r="E542" s="19" t="s">
        <v>1851</v>
      </c>
      <c r="F542" s="19" t="s">
        <v>1865</v>
      </c>
      <c r="G542" s="19" t="s">
        <v>1920</v>
      </c>
      <c r="H542" s="19">
        <v>13</v>
      </c>
      <c r="I542" s="19">
        <v>1762.69</v>
      </c>
      <c r="J542" s="19">
        <v>22914.97</v>
      </c>
    </row>
    <row r="543" ht="15.25" spans="1:10">
      <c r="A543" s="18" t="s">
        <v>1946</v>
      </c>
      <c r="B543" s="19" t="s">
        <v>1871</v>
      </c>
      <c r="C543" s="19" t="s">
        <v>1875</v>
      </c>
      <c r="D543" s="19" t="s">
        <v>1862</v>
      </c>
      <c r="E543" s="19" t="s">
        <v>1858</v>
      </c>
      <c r="F543" s="19" t="s">
        <v>1865</v>
      </c>
      <c r="G543" s="19" t="s">
        <v>1920</v>
      </c>
      <c r="H543" s="19">
        <v>6</v>
      </c>
      <c r="I543" s="19">
        <v>2069.96</v>
      </c>
      <c r="J543" s="19">
        <v>12419.76</v>
      </c>
    </row>
    <row r="544" ht="15.25" spans="1:10">
      <c r="A544" s="18" t="s">
        <v>2073</v>
      </c>
      <c r="B544" s="19" t="s">
        <v>1855</v>
      </c>
      <c r="C544" s="19" t="s">
        <v>1589</v>
      </c>
      <c r="D544" s="19" t="s">
        <v>1884</v>
      </c>
      <c r="E544" s="19" t="s">
        <v>1895</v>
      </c>
      <c r="F544" s="19" t="s">
        <v>1865</v>
      </c>
      <c r="G544" s="19" t="s">
        <v>1890</v>
      </c>
      <c r="H544" s="19">
        <v>19</v>
      </c>
      <c r="I544" s="19">
        <v>3822.54</v>
      </c>
      <c r="J544" s="19">
        <v>72628.26</v>
      </c>
    </row>
    <row r="545" ht="15.25" spans="1:10">
      <c r="A545" s="18">
        <v>45087</v>
      </c>
      <c r="B545" s="19" t="s">
        <v>1855</v>
      </c>
      <c r="C545" s="19" t="s">
        <v>1589</v>
      </c>
      <c r="D545" s="19" t="s">
        <v>1884</v>
      </c>
      <c r="E545" s="19" t="s">
        <v>1895</v>
      </c>
      <c r="F545" s="19" t="s">
        <v>1868</v>
      </c>
      <c r="G545" s="19" t="s">
        <v>1907</v>
      </c>
      <c r="H545" s="19">
        <v>16</v>
      </c>
      <c r="I545" s="19">
        <v>242.23</v>
      </c>
      <c r="J545" s="19">
        <v>3875.68</v>
      </c>
    </row>
    <row r="546" ht="15.25" spans="1:10">
      <c r="A546" s="18" t="s">
        <v>2049</v>
      </c>
      <c r="B546" s="19" t="s">
        <v>1874</v>
      </c>
      <c r="C546" s="19" t="s">
        <v>1898</v>
      </c>
      <c r="D546" s="19" t="s">
        <v>1879</v>
      </c>
      <c r="E546" s="19" t="s">
        <v>1851</v>
      </c>
      <c r="F546" s="19" t="s">
        <v>1859</v>
      </c>
      <c r="G546" s="19" t="s">
        <v>1872</v>
      </c>
      <c r="H546" s="19">
        <v>12</v>
      </c>
      <c r="I546" s="19">
        <v>2290.76</v>
      </c>
      <c r="J546" s="19">
        <v>27489.12</v>
      </c>
    </row>
    <row r="547" ht="26.75" spans="1:10">
      <c r="A547" s="18" t="s">
        <v>2068</v>
      </c>
      <c r="B547" s="19" t="s">
        <v>1902</v>
      </c>
      <c r="C547" s="19" t="s">
        <v>1593</v>
      </c>
      <c r="D547" s="19" t="s">
        <v>1850</v>
      </c>
      <c r="E547" s="19" t="s">
        <v>1851</v>
      </c>
      <c r="F547" s="19" t="s">
        <v>1865</v>
      </c>
      <c r="G547" s="19" t="s">
        <v>1890</v>
      </c>
      <c r="H547" s="19">
        <v>18</v>
      </c>
      <c r="I547" s="19">
        <v>1957.78</v>
      </c>
      <c r="J547" s="19">
        <v>35240.04</v>
      </c>
    </row>
    <row r="548" ht="26.75" spans="1:10">
      <c r="A548" s="18">
        <v>45088</v>
      </c>
      <c r="B548" s="19" t="s">
        <v>1889</v>
      </c>
      <c r="C548" s="19" t="s">
        <v>1593</v>
      </c>
      <c r="D548" s="19" t="s">
        <v>1850</v>
      </c>
      <c r="E548" s="19" t="s">
        <v>1851</v>
      </c>
      <c r="F548" s="19" t="s">
        <v>1859</v>
      </c>
      <c r="G548" s="19" t="s">
        <v>1947</v>
      </c>
      <c r="H548" s="19">
        <v>1</v>
      </c>
      <c r="I548" s="19">
        <v>4370.57</v>
      </c>
      <c r="J548" s="19">
        <v>4370.57</v>
      </c>
    </row>
    <row r="549" ht="15.25" spans="1:10">
      <c r="A549" s="18" t="s">
        <v>2079</v>
      </c>
      <c r="B549" s="19" t="s">
        <v>1871</v>
      </c>
      <c r="C549" s="19" t="s">
        <v>1589</v>
      </c>
      <c r="D549" s="19" t="s">
        <v>1884</v>
      </c>
      <c r="E549" s="19" t="s">
        <v>1895</v>
      </c>
      <c r="F549" s="19" t="s">
        <v>1868</v>
      </c>
      <c r="G549" s="19" t="s">
        <v>1899</v>
      </c>
      <c r="H549" s="19">
        <v>3</v>
      </c>
      <c r="I549" s="19">
        <v>1894.71</v>
      </c>
      <c r="J549" s="19">
        <v>5684.13</v>
      </c>
    </row>
    <row r="550" ht="15.25" spans="1:10">
      <c r="A550" s="18">
        <v>45271</v>
      </c>
      <c r="B550" s="19" t="s">
        <v>1861</v>
      </c>
      <c r="C550" s="19" t="s">
        <v>1898</v>
      </c>
      <c r="D550" s="19" t="s">
        <v>1879</v>
      </c>
      <c r="E550" s="19" t="s">
        <v>1851</v>
      </c>
      <c r="F550" s="19" t="s">
        <v>1868</v>
      </c>
      <c r="G550" s="19" t="s">
        <v>1917</v>
      </c>
      <c r="H550" s="19">
        <v>14</v>
      </c>
      <c r="I550" s="19">
        <v>367.1</v>
      </c>
      <c r="J550" s="19">
        <v>5139.4</v>
      </c>
    </row>
    <row r="551" ht="15.25" spans="1:10">
      <c r="A551" s="18" t="s">
        <v>2084</v>
      </c>
      <c r="B551" s="19" t="s">
        <v>1867</v>
      </c>
      <c r="C551" s="19" t="s">
        <v>1941</v>
      </c>
      <c r="D551" s="19" t="s">
        <v>1879</v>
      </c>
      <c r="E551" s="19" t="s">
        <v>1851</v>
      </c>
      <c r="F551" s="19" t="s">
        <v>1876</v>
      </c>
      <c r="G551" s="19" t="s">
        <v>1877</v>
      </c>
      <c r="H551" s="19">
        <v>10</v>
      </c>
      <c r="I551" s="19">
        <v>4678.49</v>
      </c>
      <c r="J551" s="19">
        <v>46784.9</v>
      </c>
    </row>
    <row r="552" ht="15.25" spans="1:10">
      <c r="A552" s="18">
        <v>45201</v>
      </c>
      <c r="B552" s="19" t="s">
        <v>1855</v>
      </c>
      <c r="C552" s="19" t="s">
        <v>1903</v>
      </c>
      <c r="D552" s="19" t="s">
        <v>1884</v>
      </c>
      <c r="E552" s="19" t="s">
        <v>1895</v>
      </c>
      <c r="F552" s="19" t="s">
        <v>1868</v>
      </c>
      <c r="G552" s="19" t="s">
        <v>1907</v>
      </c>
      <c r="H552" s="19">
        <v>12</v>
      </c>
      <c r="I552" s="19">
        <v>1020.42</v>
      </c>
      <c r="J552" s="19">
        <v>12245.04</v>
      </c>
    </row>
    <row r="553" ht="15.25" spans="1:10">
      <c r="A553" s="18" t="s">
        <v>2079</v>
      </c>
      <c r="B553" s="19" t="s">
        <v>1871</v>
      </c>
      <c r="C553" s="19" t="s">
        <v>1602</v>
      </c>
      <c r="D553" s="19" t="s">
        <v>1862</v>
      </c>
      <c r="E553" s="19" t="s">
        <v>1858</v>
      </c>
      <c r="F553" s="19" t="s">
        <v>1876</v>
      </c>
      <c r="G553" s="19" t="s">
        <v>1883</v>
      </c>
      <c r="H553" s="19">
        <v>15</v>
      </c>
      <c r="I553" s="19">
        <v>1669.04</v>
      </c>
      <c r="J553" s="19">
        <v>25035.6</v>
      </c>
    </row>
    <row r="554" ht="26.75" spans="1:10">
      <c r="A554" s="18" t="s">
        <v>2040</v>
      </c>
      <c r="B554" s="19" t="s">
        <v>1892</v>
      </c>
      <c r="C554" s="19" t="s">
        <v>1598</v>
      </c>
      <c r="D554" s="19" t="s">
        <v>1850</v>
      </c>
      <c r="E554" s="19" t="s">
        <v>1851</v>
      </c>
      <c r="F554" s="19" t="s">
        <v>1859</v>
      </c>
      <c r="G554" s="19" t="s">
        <v>1947</v>
      </c>
      <c r="H554" s="19">
        <v>18</v>
      </c>
      <c r="I554" s="19">
        <v>138.01</v>
      </c>
      <c r="J554" s="19">
        <v>2484.18</v>
      </c>
    </row>
    <row r="555" ht="15.25" spans="1:10">
      <c r="A555" s="18" t="s">
        <v>2078</v>
      </c>
      <c r="B555" s="19" t="s">
        <v>1892</v>
      </c>
      <c r="C555" s="19" t="s">
        <v>1610</v>
      </c>
      <c r="D555" s="19" t="s">
        <v>1879</v>
      </c>
      <c r="E555" s="19" t="s">
        <v>1851</v>
      </c>
      <c r="F555" s="19" t="s">
        <v>1859</v>
      </c>
      <c r="G555" s="19" t="s">
        <v>1860</v>
      </c>
      <c r="H555" s="19">
        <v>6</v>
      </c>
      <c r="I555" s="19">
        <v>3847.76</v>
      </c>
      <c r="J555" s="19">
        <v>23086.56</v>
      </c>
    </row>
    <row r="556" ht="26.75" spans="1:10">
      <c r="A556" s="18">
        <v>45177</v>
      </c>
      <c r="B556" s="19" t="s">
        <v>1889</v>
      </c>
      <c r="C556" s="19" t="s">
        <v>1593</v>
      </c>
      <c r="D556" s="19" t="s">
        <v>1850</v>
      </c>
      <c r="E556" s="19" t="s">
        <v>1851</v>
      </c>
      <c r="F556" s="19" t="s">
        <v>1868</v>
      </c>
      <c r="G556" s="19" t="s">
        <v>1869</v>
      </c>
      <c r="H556" s="19">
        <v>4</v>
      </c>
      <c r="I556" s="19">
        <v>3246.52</v>
      </c>
      <c r="J556" s="19">
        <v>12986.08</v>
      </c>
    </row>
    <row r="557" ht="15.25" spans="1:10">
      <c r="A557" s="18" t="s">
        <v>1974</v>
      </c>
      <c r="B557" s="19" t="s">
        <v>1902</v>
      </c>
      <c r="C557" s="19" t="s">
        <v>1589</v>
      </c>
      <c r="D557" s="19" t="s">
        <v>1884</v>
      </c>
      <c r="E557" s="19" t="s">
        <v>1895</v>
      </c>
      <c r="F557" s="19" t="s">
        <v>1859</v>
      </c>
      <c r="G557" s="19" t="s">
        <v>1922</v>
      </c>
      <c r="H557" s="19">
        <v>14</v>
      </c>
      <c r="I557" s="19">
        <v>569.91</v>
      </c>
      <c r="J557" s="19">
        <v>7978.74</v>
      </c>
    </row>
    <row r="558" ht="15.25" spans="1:10">
      <c r="A558" s="18">
        <v>45261</v>
      </c>
      <c r="B558" s="19" t="s">
        <v>1878</v>
      </c>
      <c r="C558" s="19" t="s">
        <v>1626</v>
      </c>
      <c r="D558" s="19" t="s">
        <v>1857</v>
      </c>
      <c r="E558" s="19" t="s">
        <v>1858</v>
      </c>
      <c r="F558" s="19" t="s">
        <v>1876</v>
      </c>
      <c r="G558" s="19" t="s">
        <v>1883</v>
      </c>
      <c r="H558" s="19">
        <v>15</v>
      </c>
      <c r="I558" s="19">
        <v>4316.17</v>
      </c>
      <c r="J558" s="19">
        <v>64742.55</v>
      </c>
    </row>
    <row r="559" ht="15.25" spans="1:10">
      <c r="A559" s="18" t="s">
        <v>2043</v>
      </c>
      <c r="B559" s="19" t="s">
        <v>1855</v>
      </c>
      <c r="C559" s="19" t="s">
        <v>1626</v>
      </c>
      <c r="D559" s="19" t="s">
        <v>1857</v>
      </c>
      <c r="E559" s="19" t="s">
        <v>1858</v>
      </c>
      <c r="F559" s="19" t="s">
        <v>1865</v>
      </c>
      <c r="G559" s="19" t="s">
        <v>1866</v>
      </c>
      <c r="H559" s="19">
        <v>17</v>
      </c>
      <c r="I559" s="19">
        <v>2209.62</v>
      </c>
      <c r="J559" s="19">
        <v>37563.54</v>
      </c>
    </row>
    <row r="560" ht="15.25" spans="1:10">
      <c r="A560" s="18">
        <v>45117</v>
      </c>
      <c r="B560" s="19" t="s">
        <v>1878</v>
      </c>
      <c r="C560" s="19" t="s">
        <v>1894</v>
      </c>
      <c r="D560" s="19" t="s">
        <v>1884</v>
      </c>
      <c r="E560" s="19" t="s">
        <v>1895</v>
      </c>
      <c r="F560" s="19" t="s">
        <v>1852</v>
      </c>
      <c r="G560" s="19" t="s">
        <v>1934</v>
      </c>
      <c r="H560" s="19">
        <v>16</v>
      </c>
      <c r="I560" s="19">
        <v>3296.61</v>
      </c>
      <c r="J560" s="19">
        <v>52745.76</v>
      </c>
    </row>
    <row r="561" ht="15.25" spans="1:10">
      <c r="A561" s="18">
        <v>44932</v>
      </c>
      <c r="B561" s="19" t="s">
        <v>1848</v>
      </c>
      <c r="C561" s="19" t="s">
        <v>1589</v>
      </c>
      <c r="D561" s="19" t="s">
        <v>1884</v>
      </c>
      <c r="E561" s="19" t="s">
        <v>1895</v>
      </c>
      <c r="F561" s="19" t="s">
        <v>1852</v>
      </c>
      <c r="G561" s="19" t="s">
        <v>1853</v>
      </c>
      <c r="H561" s="19">
        <v>13</v>
      </c>
      <c r="I561" s="19">
        <v>523.83</v>
      </c>
      <c r="J561" s="19">
        <v>6809.79</v>
      </c>
    </row>
    <row r="562" ht="15.25" spans="1:10">
      <c r="A562" s="18" t="s">
        <v>2027</v>
      </c>
      <c r="B562" s="19" t="s">
        <v>1871</v>
      </c>
      <c r="C562" s="19" t="s">
        <v>1602</v>
      </c>
      <c r="D562" s="19" t="s">
        <v>1862</v>
      </c>
      <c r="E562" s="19" t="s">
        <v>1858</v>
      </c>
      <c r="F562" s="19" t="s">
        <v>1876</v>
      </c>
      <c r="G562" s="19" t="s">
        <v>1883</v>
      </c>
      <c r="H562" s="19">
        <v>3</v>
      </c>
      <c r="I562" s="19">
        <v>916.53</v>
      </c>
      <c r="J562" s="19">
        <v>2749.59</v>
      </c>
    </row>
    <row r="563" ht="26.75" spans="1:10">
      <c r="A563" s="18">
        <v>45266</v>
      </c>
      <c r="B563" s="19" t="s">
        <v>1848</v>
      </c>
      <c r="C563" s="19" t="s">
        <v>1598</v>
      </c>
      <c r="D563" s="19" t="s">
        <v>1850</v>
      </c>
      <c r="E563" s="19" t="s">
        <v>1851</v>
      </c>
      <c r="F563" s="19" t="s">
        <v>1865</v>
      </c>
      <c r="G563" s="19" t="s">
        <v>1890</v>
      </c>
      <c r="H563" s="19">
        <v>13</v>
      </c>
      <c r="I563" s="19">
        <v>1836.55</v>
      </c>
      <c r="J563" s="19">
        <v>23875.15</v>
      </c>
    </row>
    <row r="564" ht="15.25" spans="1:10">
      <c r="A564" s="18" t="s">
        <v>2042</v>
      </c>
      <c r="B564" s="19" t="s">
        <v>1867</v>
      </c>
      <c r="C564" s="19" t="s">
        <v>1903</v>
      </c>
      <c r="D564" s="19" t="s">
        <v>1884</v>
      </c>
      <c r="E564" s="19" t="s">
        <v>1895</v>
      </c>
      <c r="F564" s="19" t="s">
        <v>1865</v>
      </c>
      <c r="G564" s="19" t="s">
        <v>1866</v>
      </c>
      <c r="H564" s="19">
        <v>19</v>
      </c>
      <c r="I564" s="19">
        <v>2253.92</v>
      </c>
      <c r="J564" s="19">
        <v>42824.48</v>
      </c>
    </row>
    <row r="565" ht="26.75" spans="1:10">
      <c r="A565" s="18" t="s">
        <v>2087</v>
      </c>
      <c r="B565" s="19" t="s">
        <v>1867</v>
      </c>
      <c r="C565" s="19" t="s">
        <v>1598</v>
      </c>
      <c r="D565" s="19" t="s">
        <v>1850</v>
      </c>
      <c r="E565" s="19" t="s">
        <v>1851</v>
      </c>
      <c r="F565" s="19" t="s">
        <v>1852</v>
      </c>
      <c r="G565" s="19" t="s">
        <v>1853</v>
      </c>
      <c r="H565" s="19">
        <v>13</v>
      </c>
      <c r="I565" s="19">
        <v>3617.07</v>
      </c>
      <c r="J565" s="19">
        <v>47021.91</v>
      </c>
    </row>
    <row r="566" ht="15.25" spans="1:10">
      <c r="A566" s="18" t="s">
        <v>2088</v>
      </c>
      <c r="B566" s="19" t="s">
        <v>1889</v>
      </c>
      <c r="C566" s="19" t="s">
        <v>1875</v>
      </c>
      <c r="D566" s="19" t="s">
        <v>1862</v>
      </c>
      <c r="E566" s="19" t="s">
        <v>1858</v>
      </c>
      <c r="F566" s="19" t="s">
        <v>1868</v>
      </c>
      <c r="G566" s="19" t="s">
        <v>1917</v>
      </c>
      <c r="H566" s="19">
        <v>5</v>
      </c>
      <c r="I566" s="19">
        <v>417.76</v>
      </c>
      <c r="J566" s="19">
        <v>2088.8</v>
      </c>
    </row>
    <row r="567" ht="26.75" spans="1:10">
      <c r="A567" s="18">
        <v>45144</v>
      </c>
      <c r="B567" s="19" t="s">
        <v>1855</v>
      </c>
      <c r="C567" s="19" t="s">
        <v>1849</v>
      </c>
      <c r="D567" s="19" t="s">
        <v>1850</v>
      </c>
      <c r="E567" s="19" t="s">
        <v>1851</v>
      </c>
      <c r="F567" s="19" t="s">
        <v>1876</v>
      </c>
      <c r="G567" s="19" t="s">
        <v>1877</v>
      </c>
      <c r="H567" s="19">
        <v>11</v>
      </c>
      <c r="I567" s="19">
        <v>864.29</v>
      </c>
      <c r="J567" s="19">
        <v>9507.19</v>
      </c>
    </row>
    <row r="568" ht="15.25" spans="1:10">
      <c r="A568" s="18" t="s">
        <v>2089</v>
      </c>
      <c r="B568" s="19" t="s">
        <v>1871</v>
      </c>
      <c r="C568" s="19" t="s">
        <v>1894</v>
      </c>
      <c r="D568" s="19" t="s">
        <v>1884</v>
      </c>
      <c r="E568" s="19" t="s">
        <v>1895</v>
      </c>
      <c r="F568" s="19" t="s">
        <v>1876</v>
      </c>
      <c r="G568" s="19" t="s">
        <v>1877</v>
      </c>
      <c r="H568" s="19">
        <v>19</v>
      </c>
      <c r="I568" s="19">
        <v>2006.79</v>
      </c>
      <c r="J568" s="19">
        <v>38129.01</v>
      </c>
    </row>
    <row r="569" ht="15.25" spans="1:10">
      <c r="A569" s="18" t="s">
        <v>1980</v>
      </c>
      <c r="B569" s="19" t="s">
        <v>1855</v>
      </c>
      <c r="C569" s="19" t="s">
        <v>1610</v>
      </c>
      <c r="D569" s="19" t="s">
        <v>1879</v>
      </c>
      <c r="E569" s="19" t="s">
        <v>1851</v>
      </c>
      <c r="F569" s="19" t="s">
        <v>1868</v>
      </c>
      <c r="G569" s="19" t="s">
        <v>1907</v>
      </c>
      <c r="H569" s="19">
        <v>1</v>
      </c>
      <c r="I569" s="19">
        <v>403.2</v>
      </c>
      <c r="J569" s="19">
        <v>403.2</v>
      </c>
    </row>
    <row r="570" ht="26.75" spans="1:10">
      <c r="A570" s="18" t="s">
        <v>1881</v>
      </c>
      <c r="B570" s="19" t="s">
        <v>1892</v>
      </c>
      <c r="C570" s="19" t="s">
        <v>1598</v>
      </c>
      <c r="D570" s="19" t="s">
        <v>1850</v>
      </c>
      <c r="E570" s="19" t="s">
        <v>1851</v>
      </c>
      <c r="F570" s="19" t="s">
        <v>1852</v>
      </c>
      <c r="G570" s="19" t="s">
        <v>1950</v>
      </c>
      <c r="H570" s="19">
        <v>7</v>
      </c>
      <c r="I570" s="19">
        <v>2846.83</v>
      </c>
      <c r="J570" s="19">
        <v>19927.81</v>
      </c>
    </row>
    <row r="571" ht="15.25" spans="1:10">
      <c r="A571" s="18" t="s">
        <v>1988</v>
      </c>
      <c r="B571" s="19" t="s">
        <v>1848</v>
      </c>
      <c r="C571" s="19" t="s">
        <v>1626</v>
      </c>
      <c r="D571" s="19" t="s">
        <v>1857</v>
      </c>
      <c r="E571" s="19" t="s">
        <v>1858</v>
      </c>
      <c r="F571" s="19" t="s">
        <v>1865</v>
      </c>
      <c r="G571" s="19" t="s">
        <v>1866</v>
      </c>
      <c r="H571" s="19">
        <v>5</v>
      </c>
      <c r="I571" s="19">
        <v>850.9</v>
      </c>
      <c r="J571" s="19">
        <v>4254.5</v>
      </c>
    </row>
    <row r="572" ht="15.25" spans="1:10">
      <c r="A572" s="18" t="s">
        <v>2059</v>
      </c>
      <c r="B572" s="19" t="s">
        <v>1874</v>
      </c>
      <c r="C572" s="19" t="s">
        <v>1894</v>
      </c>
      <c r="D572" s="19" t="s">
        <v>1884</v>
      </c>
      <c r="E572" s="19" t="s">
        <v>1895</v>
      </c>
      <c r="F572" s="19" t="s">
        <v>1876</v>
      </c>
      <c r="G572" s="19" t="s">
        <v>1926</v>
      </c>
      <c r="H572" s="19">
        <v>16</v>
      </c>
      <c r="I572" s="19">
        <v>3337.15</v>
      </c>
      <c r="J572" s="19">
        <v>53394.4</v>
      </c>
    </row>
    <row r="573" ht="15.25" spans="1:10">
      <c r="A573" s="18" t="s">
        <v>2090</v>
      </c>
      <c r="B573" s="19" t="s">
        <v>1874</v>
      </c>
      <c r="C573" s="19" t="s">
        <v>1602</v>
      </c>
      <c r="D573" s="19" t="s">
        <v>1862</v>
      </c>
      <c r="E573" s="19" t="s">
        <v>1858</v>
      </c>
      <c r="F573" s="19" t="s">
        <v>1865</v>
      </c>
      <c r="G573" s="19" t="s">
        <v>1886</v>
      </c>
      <c r="H573" s="19">
        <v>15</v>
      </c>
      <c r="I573" s="19">
        <v>1299.55</v>
      </c>
      <c r="J573" s="19">
        <v>19493.25</v>
      </c>
    </row>
    <row r="574" ht="15.25" spans="1:10">
      <c r="A574" s="18" t="s">
        <v>1946</v>
      </c>
      <c r="B574" s="19" t="s">
        <v>1874</v>
      </c>
      <c r="C574" s="19" t="s">
        <v>1602</v>
      </c>
      <c r="D574" s="19" t="s">
        <v>1862</v>
      </c>
      <c r="E574" s="19" t="s">
        <v>1858</v>
      </c>
      <c r="F574" s="19" t="s">
        <v>1868</v>
      </c>
      <c r="G574" s="19" t="s">
        <v>1907</v>
      </c>
      <c r="H574" s="19">
        <v>7</v>
      </c>
      <c r="I574" s="19">
        <v>4898.57</v>
      </c>
      <c r="J574" s="19">
        <v>34289.99</v>
      </c>
    </row>
    <row r="575" ht="15.25" spans="1:10">
      <c r="A575" s="18">
        <v>45109</v>
      </c>
      <c r="B575" s="19" t="s">
        <v>1848</v>
      </c>
      <c r="C575" s="19" t="s">
        <v>1856</v>
      </c>
      <c r="D575" s="19" t="s">
        <v>1857</v>
      </c>
      <c r="E575" s="19" t="s">
        <v>1858</v>
      </c>
      <c r="F575" s="19" t="s">
        <v>1865</v>
      </c>
      <c r="G575" s="19" t="s">
        <v>1920</v>
      </c>
      <c r="H575" s="19">
        <v>11</v>
      </c>
      <c r="I575" s="19">
        <v>2471.65</v>
      </c>
      <c r="J575" s="19">
        <v>27188.15</v>
      </c>
    </row>
    <row r="576" ht="15.25" spans="1:10">
      <c r="A576" s="18" t="s">
        <v>1938</v>
      </c>
      <c r="B576" s="19" t="s">
        <v>1874</v>
      </c>
      <c r="C576" s="19" t="s">
        <v>1864</v>
      </c>
      <c r="D576" s="19" t="s">
        <v>1857</v>
      </c>
      <c r="E576" s="19" t="s">
        <v>1858</v>
      </c>
      <c r="F576" s="19" t="s">
        <v>1859</v>
      </c>
      <c r="G576" s="19" t="s">
        <v>1872</v>
      </c>
      <c r="H576" s="19">
        <v>2</v>
      </c>
      <c r="I576" s="19">
        <v>1125.53</v>
      </c>
      <c r="J576" s="19">
        <v>2251.06</v>
      </c>
    </row>
    <row r="577" ht="15.25" spans="1:10">
      <c r="A577" s="18">
        <v>44966</v>
      </c>
      <c r="B577" s="19" t="s">
        <v>1861</v>
      </c>
      <c r="C577" s="19" t="s">
        <v>1610</v>
      </c>
      <c r="D577" s="19" t="s">
        <v>1879</v>
      </c>
      <c r="E577" s="19" t="s">
        <v>1851</v>
      </c>
      <c r="F577" s="19" t="s">
        <v>1852</v>
      </c>
      <c r="G577" s="19" t="s">
        <v>1853</v>
      </c>
      <c r="H577" s="19">
        <v>13</v>
      </c>
      <c r="I577" s="19">
        <v>2835.8</v>
      </c>
      <c r="J577" s="19">
        <v>36865.4</v>
      </c>
    </row>
    <row r="578" ht="15.25" spans="1:10">
      <c r="A578" s="18">
        <v>45234</v>
      </c>
      <c r="B578" s="19" t="s">
        <v>1878</v>
      </c>
      <c r="C578" s="19" t="s">
        <v>1602</v>
      </c>
      <c r="D578" s="19" t="s">
        <v>1862</v>
      </c>
      <c r="E578" s="19" t="s">
        <v>1858</v>
      </c>
      <c r="F578" s="19" t="s">
        <v>1868</v>
      </c>
      <c r="G578" s="19" t="s">
        <v>1907</v>
      </c>
      <c r="H578" s="19">
        <v>17</v>
      </c>
      <c r="I578" s="19">
        <v>3973.87</v>
      </c>
      <c r="J578" s="19">
        <v>67555.79</v>
      </c>
    </row>
    <row r="579" ht="26.75" spans="1:10">
      <c r="A579" s="18">
        <v>45261</v>
      </c>
      <c r="B579" s="19" t="s">
        <v>1861</v>
      </c>
      <c r="C579" s="19" t="s">
        <v>1598</v>
      </c>
      <c r="D579" s="19" t="s">
        <v>1850</v>
      </c>
      <c r="E579" s="19" t="s">
        <v>1851</v>
      </c>
      <c r="F579" s="19" t="s">
        <v>1876</v>
      </c>
      <c r="G579" s="19" t="s">
        <v>1930</v>
      </c>
      <c r="H579" s="19">
        <v>4</v>
      </c>
      <c r="I579" s="19">
        <v>1998.26</v>
      </c>
      <c r="J579" s="19">
        <v>7993.04</v>
      </c>
    </row>
    <row r="580" ht="15.25" spans="1:10">
      <c r="A580" s="18">
        <v>45148</v>
      </c>
      <c r="B580" s="19" t="s">
        <v>1871</v>
      </c>
      <c r="C580" s="19" t="s">
        <v>1875</v>
      </c>
      <c r="D580" s="19" t="s">
        <v>1862</v>
      </c>
      <c r="E580" s="19" t="s">
        <v>1858</v>
      </c>
      <c r="F580" s="19" t="s">
        <v>1859</v>
      </c>
      <c r="G580" s="19" t="s">
        <v>1872</v>
      </c>
      <c r="H580" s="19">
        <v>7</v>
      </c>
      <c r="I580" s="19">
        <v>3820.3</v>
      </c>
      <c r="J580" s="19">
        <v>26742.1</v>
      </c>
    </row>
    <row r="581" ht="15.25" spans="1:10">
      <c r="A581" s="18" t="s">
        <v>2046</v>
      </c>
      <c r="B581" s="19" t="s">
        <v>1848</v>
      </c>
      <c r="C581" s="19" t="s">
        <v>1898</v>
      </c>
      <c r="D581" s="19" t="s">
        <v>1879</v>
      </c>
      <c r="E581" s="19" t="s">
        <v>1851</v>
      </c>
      <c r="F581" s="19" t="s">
        <v>1859</v>
      </c>
      <c r="G581" s="19" t="s">
        <v>1947</v>
      </c>
      <c r="H581" s="19">
        <v>19</v>
      </c>
      <c r="I581" s="19">
        <v>2199.32</v>
      </c>
      <c r="J581" s="19">
        <v>41787.08</v>
      </c>
    </row>
    <row r="582" ht="15.25" spans="1:10">
      <c r="A582" s="18" t="s">
        <v>2066</v>
      </c>
      <c r="B582" s="19" t="s">
        <v>1867</v>
      </c>
      <c r="C582" s="19" t="s">
        <v>1856</v>
      </c>
      <c r="D582" s="19" t="s">
        <v>1857</v>
      </c>
      <c r="E582" s="19" t="s">
        <v>1858</v>
      </c>
      <c r="F582" s="19" t="s">
        <v>1868</v>
      </c>
      <c r="G582" s="19" t="s">
        <v>1869</v>
      </c>
      <c r="H582" s="19">
        <v>6</v>
      </c>
      <c r="I582" s="19">
        <v>578.64</v>
      </c>
      <c r="J582" s="19">
        <v>3471.84</v>
      </c>
    </row>
    <row r="583" ht="15.25" spans="1:10">
      <c r="A583" s="18">
        <v>45118</v>
      </c>
      <c r="B583" s="19" t="s">
        <v>1871</v>
      </c>
      <c r="C583" s="19" t="s">
        <v>1626</v>
      </c>
      <c r="D583" s="19" t="s">
        <v>1857</v>
      </c>
      <c r="E583" s="19" t="s">
        <v>1858</v>
      </c>
      <c r="F583" s="19" t="s">
        <v>1876</v>
      </c>
      <c r="G583" s="19" t="s">
        <v>1883</v>
      </c>
      <c r="H583" s="19">
        <v>5</v>
      </c>
      <c r="I583" s="19">
        <v>1488.21</v>
      </c>
      <c r="J583" s="19">
        <v>7441.05</v>
      </c>
    </row>
    <row r="584" ht="15.25" spans="1:10">
      <c r="A584" s="18" t="s">
        <v>2091</v>
      </c>
      <c r="B584" s="19" t="s">
        <v>1889</v>
      </c>
      <c r="C584" s="19" t="s">
        <v>1856</v>
      </c>
      <c r="D584" s="19" t="s">
        <v>1857</v>
      </c>
      <c r="E584" s="19" t="s">
        <v>1858</v>
      </c>
      <c r="F584" s="19" t="s">
        <v>1852</v>
      </c>
      <c r="G584" s="19" t="s">
        <v>1950</v>
      </c>
      <c r="H584" s="19">
        <v>19</v>
      </c>
      <c r="I584" s="19">
        <v>3196.27</v>
      </c>
      <c r="J584" s="19">
        <v>60729.13</v>
      </c>
    </row>
    <row r="585" ht="15.25" spans="1:10">
      <c r="A585" s="18">
        <v>45205</v>
      </c>
      <c r="B585" s="19" t="s">
        <v>1861</v>
      </c>
      <c r="C585" s="19" t="s">
        <v>1941</v>
      </c>
      <c r="D585" s="19" t="s">
        <v>1879</v>
      </c>
      <c r="E585" s="19" t="s">
        <v>1851</v>
      </c>
      <c r="F585" s="19" t="s">
        <v>1868</v>
      </c>
      <c r="G585" s="19" t="s">
        <v>1869</v>
      </c>
      <c r="H585" s="19">
        <v>5</v>
      </c>
      <c r="I585" s="19">
        <v>1018.53</v>
      </c>
      <c r="J585" s="19">
        <v>5092.65</v>
      </c>
    </row>
    <row r="586" ht="15.25" spans="1:10">
      <c r="A586" s="18" t="s">
        <v>2057</v>
      </c>
      <c r="B586" s="19" t="s">
        <v>1878</v>
      </c>
      <c r="C586" s="19" t="s">
        <v>1894</v>
      </c>
      <c r="D586" s="19" t="s">
        <v>1884</v>
      </c>
      <c r="E586" s="19" t="s">
        <v>1895</v>
      </c>
      <c r="F586" s="19" t="s">
        <v>1859</v>
      </c>
      <c r="G586" s="19" t="s">
        <v>1922</v>
      </c>
      <c r="H586" s="19">
        <v>13</v>
      </c>
      <c r="I586" s="19">
        <v>1367.15</v>
      </c>
      <c r="J586" s="19">
        <v>17772.95</v>
      </c>
    </row>
    <row r="587" ht="15.25" spans="1:10">
      <c r="A587" s="18">
        <v>45117</v>
      </c>
      <c r="B587" s="19" t="s">
        <v>1861</v>
      </c>
      <c r="C587" s="19" t="s">
        <v>1626</v>
      </c>
      <c r="D587" s="19" t="s">
        <v>1857</v>
      </c>
      <c r="E587" s="19" t="s">
        <v>1858</v>
      </c>
      <c r="F587" s="19" t="s">
        <v>1876</v>
      </c>
      <c r="G587" s="19" t="s">
        <v>1930</v>
      </c>
      <c r="H587" s="19">
        <v>19</v>
      </c>
      <c r="I587" s="19">
        <v>4996.28</v>
      </c>
      <c r="J587" s="19">
        <v>94929.32</v>
      </c>
    </row>
    <row r="588" ht="26.75" spans="1:10">
      <c r="A588" s="18" t="s">
        <v>1984</v>
      </c>
      <c r="B588" s="19" t="s">
        <v>1902</v>
      </c>
      <c r="C588" s="19" t="s">
        <v>1593</v>
      </c>
      <c r="D588" s="19" t="s">
        <v>1850</v>
      </c>
      <c r="E588" s="19" t="s">
        <v>1851</v>
      </c>
      <c r="F588" s="19" t="s">
        <v>1865</v>
      </c>
      <c r="G588" s="19" t="s">
        <v>1890</v>
      </c>
      <c r="H588" s="19">
        <v>3</v>
      </c>
      <c r="I588" s="19">
        <v>4447.9</v>
      </c>
      <c r="J588" s="19">
        <v>13343.7</v>
      </c>
    </row>
    <row r="589" ht="26.75" spans="1:10">
      <c r="A589" s="18" t="s">
        <v>2028</v>
      </c>
      <c r="B589" s="19" t="s">
        <v>1878</v>
      </c>
      <c r="C589" s="19" t="s">
        <v>1598</v>
      </c>
      <c r="D589" s="19" t="s">
        <v>1850</v>
      </c>
      <c r="E589" s="19" t="s">
        <v>1851</v>
      </c>
      <c r="F589" s="19" t="s">
        <v>1859</v>
      </c>
      <c r="G589" s="19" t="s">
        <v>1860</v>
      </c>
      <c r="H589" s="19">
        <v>10</v>
      </c>
      <c r="I589" s="19">
        <v>1318.51</v>
      </c>
      <c r="J589" s="19">
        <v>13185.1</v>
      </c>
    </row>
    <row r="590" ht="15.25" spans="1:10">
      <c r="A590" s="18" t="s">
        <v>1901</v>
      </c>
      <c r="B590" s="19" t="s">
        <v>1848</v>
      </c>
      <c r="C590" s="19" t="s">
        <v>1856</v>
      </c>
      <c r="D590" s="19" t="s">
        <v>1857</v>
      </c>
      <c r="E590" s="19" t="s">
        <v>1858</v>
      </c>
      <c r="F590" s="19" t="s">
        <v>1868</v>
      </c>
      <c r="G590" s="19" t="s">
        <v>1917</v>
      </c>
      <c r="H590" s="19">
        <v>20</v>
      </c>
      <c r="I590" s="19">
        <v>1731.99</v>
      </c>
      <c r="J590" s="19">
        <v>34639.8</v>
      </c>
    </row>
    <row r="591" ht="26.75" spans="1:10">
      <c r="A591" s="18">
        <v>44938</v>
      </c>
      <c r="B591" s="19" t="s">
        <v>1878</v>
      </c>
      <c r="C591" s="19" t="s">
        <v>1849</v>
      </c>
      <c r="D591" s="19" t="s">
        <v>1850</v>
      </c>
      <c r="E591" s="19" t="s">
        <v>1851</v>
      </c>
      <c r="F591" s="19" t="s">
        <v>1865</v>
      </c>
      <c r="G591" s="19" t="s">
        <v>1866</v>
      </c>
      <c r="H591" s="19">
        <v>12</v>
      </c>
      <c r="I591" s="19">
        <v>4514.39</v>
      </c>
      <c r="J591" s="19">
        <v>54172.68</v>
      </c>
    </row>
    <row r="592" ht="15.25" spans="1:10">
      <c r="A592" s="18">
        <v>45087</v>
      </c>
      <c r="B592" s="19" t="s">
        <v>1902</v>
      </c>
      <c r="C592" s="19" t="s">
        <v>1602</v>
      </c>
      <c r="D592" s="19" t="s">
        <v>1862</v>
      </c>
      <c r="E592" s="19" t="s">
        <v>1858</v>
      </c>
      <c r="F592" s="19" t="s">
        <v>1852</v>
      </c>
      <c r="G592" s="19" t="s">
        <v>1934</v>
      </c>
      <c r="H592" s="19">
        <v>20</v>
      </c>
      <c r="I592" s="19">
        <v>1710.93</v>
      </c>
      <c r="J592" s="19">
        <v>34218.6</v>
      </c>
    </row>
    <row r="593" ht="15.25" spans="1:10">
      <c r="A593" s="18">
        <v>45204</v>
      </c>
      <c r="B593" s="19" t="s">
        <v>1855</v>
      </c>
      <c r="C593" s="19" t="s">
        <v>1906</v>
      </c>
      <c r="D593" s="19" t="s">
        <v>1862</v>
      </c>
      <c r="E593" s="19" t="s">
        <v>1858</v>
      </c>
      <c r="F593" s="19" t="s">
        <v>1859</v>
      </c>
      <c r="G593" s="19" t="s">
        <v>1872</v>
      </c>
      <c r="H593" s="19">
        <v>19</v>
      </c>
      <c r="I593" s="19">
        <v>491.53</v>
      </c>
      <c r="J593" s="19">
        <v>9339.07</v>
      </c>
    </row>
    <row r="594" ht="15.25" spans="1:10">
      <c r="A594" s="18">
        <v>45268</v>
      </c>
      <c r="B594" s="19" t="s">
        <v>1902</v>
      </c>
      <c r="C594" s="19" t="s">
        <v>1602</v>
      </c>
      <c r="D594" s="19" t="s">
        <v>1862</v>
      </c>
      <c r="E594" s="19" t="s">
        <v>1858</v>
      </c>
      <c r="F594" s="19" t="s">
        <v>1868</v>
      </c>
      <c r="G594" s="19" t="s">
        <v>1869</v>
      </c>
      <c r="H594" s="19">
        <v>6</v>
      </c>
      <c r="I594" s="19">
        <v>203.88</v>
      </c>
      <c r="J594" s="19">
        <v>1223.28</v>
      </c>
    </row>
    <row r="595" ht="26.75" spans="1:10">
      <c r="A595" s="18" t="s">
        <v>1985</v>
      </c>
      <c r="B595" s="19" t="s">
        <v>1855</v>
      </c>
      <c r="C595" s="19" t="s">
        <v>1593</v>
      </c>
      <c r="D595" s="19" t="s">
        <v>1850</v>
      </c>
      <c r="E595" s="19" t="s">
        <v>1851</v>
      </c>
      <c r="F595" s="19" t="s">
        <v>1859</v>
      </c>
      <c r="G595" s="19" t="s">
        <v>1860</v>
      </c>
      <c r="H595" s="19">
        <v>19</v>
      </c>
      <c r="I595" s="19">
        <v>4786.89</v>
      </c>
      <c r="J595" s="19">
        <v>90950.91</v>
      </c>
    </row>
    <row r="596" ht="15.25" spans="1:10">
      <c r="A596" s="18">
        <v>45210</v>
      </c>
      <c r="B596" s="19" t="s">
        <v>1902</v>
      </c>
      <c r="C596" s="19" t="s">
        <v>1875</v>
      </c>
      <c r="D596" s="19" t="s">
        <v>1862</v>
      </c>
      <c r="E596" s="19" t="s">
        <v>1858</v>
      </c>
      <c r="F596" s="19" t="s">
        <v>1865</v>
      </c>
      <c r="G596" s="19" t="s">
        <v>1890</v>
      </c>
      <c r="H596" s="19">
        <v>11</v>
      </c>
      <c r="I596" s="19">
        <v>2666.77</v>
      </c>
      <c r="J596" s="19">
        <v>29334.47</v>
      </c>
    </row>
    <row r="597" ht="26.75" spans="1:10">
      <c r="A597" s="18">
        <v>45201</v>
      </c>
      <c r="B597" s="19" t="s">
        <v>1867</v>
      </c>
      <c r="C597" s="19" t="s">
        <v>1849</v>
      </c>
      <c r="D597" s="19" t="s">
        <v>1850</v>
      </c>
      <c r="E597" s="19" t="s">
        <v>1851</v>
      </c>
      <c r="F597" s="19" t="s">
        <v>1876</v>
      </c>
      <c r="G597" s="19" t="s">
        <v>1877</v>
      </c>
      <c r="H597" s="19">
        <v>19</v>
      </c>
      <c r="I597" s="19">
        <v>2174.76</v>
      </c>
      <c r="J597" s="19">
        <v>41320.44</v>
      </c>
    </row>
    <row r="598" ht="15.25" spans="1:10">
      <c r="A598" s="18" t="s">
        <v>1954</v>
      </c>
      <c r="B598" s="19" t="s">
        <v>1867</v>
      </c>
      <c r="C598" s="19" t="s">
        <v>1941</v>
      </c>
      <c r="D598" s="19" t="s">
        <v>1879</v>
      </c>
      <c r="E598" s="19" t="s">
        <v>1851</v>
      </c>
      <c r="F598" s="19" t="s">
        <v>1859</v>
      </c>
      <c r="G598" s="19" t="s">
        <v>1947</v>
      </c>
      <c r="H598" s="19">
        <v>1</v>
      </c>
      <c r="I598" s="19">
        <v>1678.18</v>
      </c>
      <c r="J598" s="19">
        <v>1678.18</v>
      </c>
    </row>
    <row r="599" ht="26.75" spans="1:10">
      <c r="A599" s="18" t="s">
        <v>1936</v>
      </c>
      <c r="B599" s="19" t="s">
        <v>1874</v>
      </c>
      <c r="C599" s="19" t="s">
        <v>1849</v>
      </c>
      <c r="D599" s="19" t="s">
        <v>1850</v>
      </c>
      <c r="E599" s="19" t="s">
        <v>1851</v>
      </c>
      <c r="F599" s="19" t="s">
        <v>1876</v>
      </c>
      <c r="G599" s="19" t="s">
        <v>1926</v>
      </c>
      <c r="H599" s="19">
        <v>20</v>
      </c>
      <c r="I599" s="19">
        <v>2163.95</v>
      </c>
      <c r="J599" s="19">
        <v>43279</v>
      </c>
    </row>
    <row r="600" ht="26.75" spans="1:10">
      <c r="A600" s="18">
        <v>45058</v>
      </c>
      <c r="B600" s="19" t="s">
        <v>1867</v>
      </c>
      <c r="C600" s="19" t="s">
        <v>1849</v>
      </c>
      <c r="D600" s="19" t="s">
        <v>1850</v>
      </c>
      <c r="E600" s="19" t="s">
        <v>1851</v>
      </c>
      <c r="F600" s="19" t="s">
        <v>1852</v>
      </c>
      <c r="G600" s="19" t="s">
        <v>1853</v>
      </c>
      <c r="H600" s="19">
        <v>18</v>
      </c>
      <c r="I600" s="19">
        <v>3511.28</v>
      </c>
      <c r="J600" s="19">
        <v>63203.04</v>
      </c>
    </row>
    <row r="601" ht="15.25" spans="1:10">
      <c r="A601" s="18">
        <v>45047</v>
      </c>
      <c r="B601" s="19" t="s">
        <v>1855</v>
      </c>
      <c r="C601" s="19" t="s">
        <v>1875</v>
      </c>
      <c r="D601" s="19" t="s">
        <v>1862</v>
      </c>
      <c r="E601" s="19" t="s">
        <v>1858</v>
      </c>
      <c r="F601" s="19" t="s">
        <v>1859</v>
      </c>
      <c r="G601" s="19" t="s">
        <v>1922</v>
      </c>
      <c r="H601" s="19">
        <v>13</v>
      </c>
      <c r="I601" s="19">
        <v>2979.65</v>
      </c>
      <c r="J601" s="19">
        <v>38735.45</v>
      </c>
    </row>
    <row r="602" ht="26.75" spans="1:10">
      <c r="A602" s="18" t="s">
        <v>1951</v>
      </c>
      <c r="B602" s="19" t="s">
        <v>1892</v>
      </c>
      <c r="C602" s="19" t="s">
        <v>1849</v>
      </c>
      <c r="D602" s="19" t="s">
        <v>1850</v>
      </c>
      <c r="E602" s="19" t="s">
        <v>1851</v>
      </c>
      <c r="F602" s="19" t="s">
        <v>1865</v>
      </c>
      <c r="G602" s="19" t="s">
        <v>1886</v>
      </c>
      <c r="H602" s="19">
        <v>4</v>
      </c>
      <c r="I602" s="19">
        <v>2985.48</v>
      </c>
      <c r="J602" s="19">
        <v>11941.92</v>
      </c>
    </row>
    <row r="603" ht="15.25" spans="1:10">
      <c r="A603" s="18" t="s">
        <v>1940</v>
      </c>
      <c r="B603" s="19" t="s">
        <v>1871</v>
      </c>
      <c r="C603" s="19" t="s">
        <v>1875</v>
      </c>
      <c r="D603" s="19" t="s">
        <v>1862</v>
      </c>
      <c r="E603" s="19" t="s">
        <v>1858</v>
      </c>
      <c r="F603" s="19" t="s">
        <v>1859</v>
      </c>
      <c r="G603" s="19" t="s">
        <v>1872</v>
      </c>
      <c r="H603" s="19">
        <v>18</v>
      </c>
      <c r="I603" s="19">
        <v>3989.44</v>
      </c>
      <c r="J603" s="19">
        <v>71809.92</v>
      </c>
    </row>
    <row r="604" ht="15.25" spans="1:10">
      <c r="A604" s="18" t="s">
        <v>2068</v>
      </c>
      <c r="B604" s="19" t="s">
        <v>1871</v>
      </c>
      <c r="C604" s="19" t="s">
        <v>1610</v>
      </c>
      <c r="D604" s="19" t="s">
        <v>1879</v>
      </c>
      <c r="E604" s="19" t="s">
        <v>1851</v>
      </c>
      <c r="F604" s="19" t="s">
        <v>1876</v>
      </c>
      <c r="G604" s="19" t="s">
        <v>1930</v>
      </c>
      <c r="H604" s="19">
        <v>14</v>
      </c>
      <c r="I604" s="19">
        <v>2251.87</v>
      </c>
      <c r="J604" s="19">
        <v>31526.18</v>
      </c>
    </row>
    <row r="605" ht="15.25" spans="1:10">
      <c r="A605" s="18">
        <v>45173</v>
      </c>
      <c r="B605" s="19" t="s">
        <v>1902</v>
      </c>
      <c r="C605" s="19" t="s">
        <v>1898</v>
      </c>
      <c r="D605" s="19" t="s">
        <v>1879</v>
      </c>
      <c r="E605" s="19" t="s">
        <v>1851</v>
      </c>
      <c r="F605" s="19" t="s">
        <v>1868</v>
      </c>
      <c r="G605" s="19" t="s">
        <v>1917</v>
      </c>
      <c r="H605" s="19">
        <v>8</v>
      </c>
      <c r="I605" s="19">
        <v>2519.3</v>
      </c>
      <c r="J605" s="19">
        <v>20154.4</v>
      </c>
    </row>
    <row r="606" ht="15.25" spans="1:10">
      <c r="A606" s="18" t="s">
        <v>2067</v>
      </c>
      <c r="B606" s="19" t="s">
        <v>1861</v>
      </c>
      <c r="C606" s="19" t="s">
        <v>1875</v>
      </c>
      <c r="D606" s="19" t="s">
        <v>1862</v>
      </c>
      <c r="E606" s="19" t="s">
        <v>1858</v>
      </c>
      <c r="F606" s="19" t="s">
        <v>1865</v>
      </c>
      <c r="G606" s="19" t="s">
        <v>1866</v>
      </c>
      <c r="H606" s="19">
        <v>3</v>
      </c>
      <c r="I606" s="19">
        <v>1129.88</v>
      </c>
      <c r="J606" s="19">
        <v>3389.64</v>
      </c>
    </row>
    <row r="607" ht="15.25" spans="1:10">
      <c r="A607" s="18">
        <v>45087</v>
      </c>
      <c r="B607" s="19" t="s">
        <v>1848</v>
      </c>
      <c r="C607" s="19" t="s">
        <v>1610</v>
      </c>
      <c r="D607" s="19" t="s">
        <v>1879</v>
      </c>
      <c r="E607" s="19" t="s">
        <v>1851</v>
      </c>
      <c r="F607" s="19" t="s">
        <v>1852</v>
      </c>
      <c r="G607" s="19" t="s">
        <v>1934</v>
      </c>
      <c r="H607" s="19">
        <v>15</v>
      </c>
      <c r="I607" s="19">
        <v>4146.03</v>
      </c>
      <c r="J607" s="19">
        <v>62190.45</v>
      </c>
    </row>
    <row r="608" ht="26.75" spans="1:10">
      <c r="A608" s="18">
        <v>45113</v>
      </c>
      <c r="B608" s="19" t="s">
        <v>1892</v>
      </c>
      <c r="C608" s="19" t="s">
        <v>1849</v>
      </c>
      <c r="D608" s="19" t="s">
        <v>1850</v>
      </c>
      <c r="E608" s="19" t="s">
        <v>1851</v>
      </c>
      <c r="F608" s="19" t="s">
        <v>1852</v>
      </c>
      <c r="G608" s="19" t="s">
        <v>1910</v>
      </c>
      <c r="H608" s="19">
        <v>4</v>
      </c>
      <c r="I608" s="19">
        <v>3564.22</v>
      </c>
      <c r="J608" s="19">
        <v>14256.88</v>
      </c>
    </row>
    <row r="609" ht="15.25" spans="1:10">
      <c r="A609" s="18" t="s">
        <v>2072</v>
      </c>
      <c r="B609" s="19" t="s">
        <v>1892</v>
      </c>
      <c r="C609" s="19" t="s">
        <v>1856</v>
      </c>
      <c r="D609" s="19" t="s">
        <v>1857</v>
      </c>
      <c r="E609" s="19" t="s">
        <v>1858</v>
      </c>
      <c r="F609" s="19" t="s">
        <v>1852</v>
      </c>
      <c r="G609" s="19" t="s">
        <v>1934</v>
      </c>
      <c r="H609" s="19">
        <v>14</v>
      </c>
      <c r="I609" s="19">
        <v>414.51</v>
      </c>
      <c r="J609" s="19">
        <v>5803.14</v>
      </c>
    </row>
    <row r="610" ht="15.25" spans="1:10">
      <c r="A610" s="18" t="s">
        <v>2003</v>
      </c>
      <c r="B610" s="19" t="s">
        <v>1902</v>
      </c>
      <c r="C610" s="19" t="s">
        <v>1610</v>
      </c>
      <c r="D610" s="19" t="s">
        <v>1879</v>
      </c>
      <c r="E610" s="19" t="s">
        <v>1851</v>
      </c>
      <c r="F610" s="19" t="s">
        <v>1852</v>
      </c>
      <c r="G610" s="19" t="s">
        <v>1910</v>
      </c>
      <c r="H610" s="19">
        <v>11</v>
      </c>
      <c r="I610" s="19">
        <v>1788.39</v>
      </c>
      <c r="J610" s="19">
        <v>19672.29</v>
      </c>
    </row>
    <row r="611" ht="15.25" spans="1:10">
      <c r="A611" s="18" t="s">
        <v>1893</v>
      </c>
      <c r="B611" s="19" t="s">
        <v>1874</v>
      </c>
      <c r="C611" s="19" t="s">
        <v>1906</v>
      </c>
      <c r="D611" s="19" t="s">
        <v>1862</v>
      </c>
      <c r="E611" s="19" t="s">
        <v>1858</v>
      </c>
      <c r="F611" s="19" t="s">
        <v>1865</v>
      </c>
      <c r="G611" s="19" t="s">
        <v>1920</v>
      </c>
      <c r="H611" s="19">
        <v>6</v>
      </c>
      <c r="I611" s="19">
        <v>2867.98</v>
      </c>
      <c r="J611" s="19">
        <v>17207.88</v>
      </c>
    </row>
    <row r="612" ht="26.75" spans="1:10">
      <c r="A612" s="18" t="s">
        <v>2067</v>
      </c>
      <c r="B612" s="19" t="s">
        <v>1867</v>
      </c>
      <c r="C612" s="19" t="s">
        <v>1849</v>
      </c>
      <c r="D612" s="19" t="s">
        <v>1850</v>
      </c>
      <c r="E612" s="19" t="s">
        <v>1851</v>
      </c>
      <c r="F612" s="19" t="s">
        <v>1865</v>
      </c>
      <c r="G612" s="19" t="s">
        <v>1866</v>
      </c>
      <c r="H612" s="19">
        <v>6</v>
      </c>
      <c r="I612" s="19">
        <v>3566.53</v>
      </c>
      <c r="J612" s="19">
        <v>21399.18</v>
      </c>
    </row>
    <row r="613" ht="15.25" spans="1:10">
      <c r="A613" s="18">
        <v>45025</v>
      </c>
      <c r="B613" s="19" t="s">
        <v>1889</v>
      </c>
      <c r="C613" s="19" t="s">
        <v>1898</v>
      </c>
      <c r="D613" s="19" t="s">
        <v>1879</v>
      </c>
      <c r="E613" s="19" t="s">
        <v>1851</v>
      </c>
      <c r="F613" s="19" t="s">
        <v>1859</v>
      </c>
      <c r="G613" s="19" t="s">
        <v>1872</v>
      </c>
      <c r="H613" s="19">
        <v>13</v>
      </c>
      <c r="I613" s="19">
        <v>2669.5</v>
      </c>
      <c r="J613" s="19">
        <v>34703.5</v>
      </c>
    </row>
    <row r="614" ht="15.25" spans="1:10">
      <c r="A614" s="18">
        <v>45085</v>
      </c>
      <c r="B614" s="19" t="s">
        <v>1878</v>
      </c>
      <c r="C614" s="19" t="s">
        <v>1626</v>
      </c>
      <c r="D614" s="19" t="s">
        <v>1857</v>
      </c>
      <c r="E614" s="19" t="s">
        <v>1858</v>
      </c>
      <c r="F614" s="19" t="s">
        <v>1868</v>
      </c>
      <c r="G614" s="19" t="s">
        <v>1917</v>
      </c>
      <c r="H614" s="19">
        <v>6</v>
      </c>
      <c r="I614" s="19">
        <v>3842.46</v>
      </c>
      <c r="J614" s="19">
        <v>23054.76</v>
      </c>
    </row>
    <row r="615" ht="26.75" spans="1:10">
      <c r="A615" s="18" t="s">
        <v>1969</v>
      </c>
      <c r="B615" s="19" t="s">
        <v>1871</v>
      </c>
      <c r="C615" s="19" t="s">
        <v>1598</v>
      </c>
      <c r="D615" s="19" t="s">
        <v>1850</v>
      </c>
      <c r="E615" s="19" t="s">
        <v>1851</v>
      </c>
      <c r="F615" s="19" t="s">
        <v>1852</v>
      </c>
      <c r="G615" s="19" t="s">
        <v>1853</v>
      </c>
      <c r="H615" s="19">
        <v>13</v>
      </c>
      <c r="I615" s="19">
        <v>1419.3</v>
      </c>
      <c r="J615" s="19">
        <v>18450.9</v>
      </c>
    </row>
    <row r="616" ht="15.25" spans="1:10">
      <c r="A616" s="18">
        <v>44961</v>
      </c>
      <c r="B616" s="19" t="s">
        <v>1867</v>
      </c>
      <c r="C616" s="19" t="s">
        <v>1894</v>
      </c>
      <c r="D616" s="19" t="s">
        <v>1884</v>
      </c>
      <c r="E616" s="19" t="s">
        <v>1895</v>
      </c>
      <c r="F616" s="19" t="s">
        <v>1876</v>
      </c>
      <c r="G616" s="19" t="s">
        <v>1877</v>
      </c>
      <c r="H616" s="19">
        <v>1</v>
      </c>
      <c r="I616" s="19">
        <v>3187.31</v>
      </c>
      <c r="J616" s="19">
        <v>3187.31</v>
      </c>
    </row>
    <row r="617" ht="15.25" spans="1:10">
      <c r="A617" s="18">
        <v>44968</v>
      </c>
      <c r="B617" s="19" t="s">
        <v>1848</v>
      </c>
      <c r="C617" s="19" t="s">
        <v>1602</v>
      </c>
      <c r="D617" s="19" t="s">
        <v>1862</v>
      </c>
      <c r="E617" s="19" t="s">
        <v>1858</v>
      </c>
      <c r="F617" s="19" t="s">
        <v>1868</v>
      </c>
      <c r="G617" s="19" t="s">
        <v>1917</v>
      </c>
      <c r="H617" s="19">
        <v>12</v>
      </c>
      <c r="I617" s="19">
        <v>1837.2</v>
      </c>
      <c r="J617" s="19">
        <v>22046.4</v>
      </c>
    </row>
    <row r="618" ht="15.25" spans="1:10">
      <c r="A618" s="18" t="s">
        <v>2013</v>
      </c>
      <c r="B618" s="19" t="s">
        <v>1867</v>
      </c>
      <c r="C618" s="19" t="s">
        <v>1610</v>
      </c>
      <c r="D618" s="19" t="s">
        <v>1879</v>
      </c>
      <c r="E618" s="19" t="s">
        <v>1851</v>
      </c>
      <c r="F618" s="19" t="s">
        <v>1876</v>
      </c>
      <c r="G618" s="19" t="s">
        <v>1930</v>
      </c>
      <c r="H618" s="19">
        <v>2</v>
      </c>
      <c r="I618" s="19">
        <v>4081.92</v>
      </c>
      <c r="J618" s="19">
        <v>8163.84</v>
      </c>
    </row>
    <row r="619" ht="15.25" spans="1:10">
      <c r="A619" s="18" t="s">
        <v>2092</v>
      </c>
      <c r="B619" s="19" t="s">
        <v>1855</v>
      </c>
      <c r="C619" s="19" t="s">
        <v>1610</v>
      </c>
      <c r="D619" s="19" t="s">
        <v>1879</v>
      </c>
      <c r="E619" s="19" t="s">
        <v>1851</v>
      </c>
      <c r="F619" s="19" t="s">
        <v>1868</v>
      </c>
      <c r="G619" s="19" t="s">
        <v>1869</v>
      </c>
      <c r="H619" s="19">
        <v>20</v>
      </c>
      <c r="I619" s="19">
        <v>3184.86</v>
      </c>
      <c r="J619" s="19">
        <v>63697.2</v>
      </c>
    </row>
    <row r="620" ht="15.25" spans="1:10">
      <c r="A620" s="18" t="s">
        <v>2088</v>
      </c>
      <c r="B620" s="19" t="s">
        <v>1871</v>
      </c>
      <c r="C620" s="19" t="s">
        <v>1856</v>
      </c>
      <c r="D620" s="19" t="s">
        <v>1857</v>
      </c>
      <c r="E620" s="19" t="s">
        <v>1858</v>
      </c>
      <c r="F620" s="19" t="s">
        <v>1852</v>
      </c>
      <c r="G620" s="19" t="s">
        <v>1934</v>
      </c>
      <c r="H620" s="19">
        <v>8</v>
      </c>
      <c r="I620" s="19">
        <v>3402.24</v>
      </c>
      <c r="J620" s="19">
        <v>27217.92</v>
      </c>
    </row>
    <row r="621" ht="26.75" spans="1:10">
      <c r="A621" s="18">
        <v>44966</v>
      </c>
      <c r="B621" s="19" t="s">
        <v>1871</v>
      </c>
      <c r="C621" s="19" t="s">
        <v>1593</v>
      </c>
      <c r="D621" s="19" t="s">
        <v>1850</v>
      </c>
      <c r="E621" s="19" t="s">
        <v>1851</v>
      </c>
      <c r="F621" s="19" t="s">
        <v>1852</v>
      </c>
      <c r="G621" s="19" t="s">
        <v>1934</v>
      </c>
      <c r="H621" s="19">
        <v>10</v>
      </c>
      <c r="I621" s="19">
        <v>2750.69</v>
      </c>
      <c r="J621" s="19">
        <v>27506.9</v>
      </c>
    </row>
    <row r="622" ht="26.75" spans="1:10">
      <c r="A622" s="18">
        <v>45233</v>
      </c>
      <c r="B622" s="19" t="s">
        <v>1902</v>
      </c>
      <c r="C622" s="19" t="s">
        <v>1598</v>
      </c>
      <c r="D622" s="19" t="s">
        <v>1850</v>
      </c>
      <c r="E622" s="19" t="s">
        <v>1851</v>
      </c>
      <c r="F622" s="19" t="s">
        <v>1876</v>
      </c>
      <c r="G622" s="19" t="s">
        <v>1877</v>
      </c>
      <c r="H622" s="19">
        <v>13</v>
      </c>
      <c r="I622" s="19">
        <v>4090.9</v>
      </c>
      <c r="J622" s="19">
        <v>53181.7</v>
      </c>
    </row>
    <row r="623" ht="15.25" spans="1:10">
      <c r="A623" s="18">
        <v>45237</v>
      </c>
      <c r="B623" s="19" t="s">
        <v>1892</v>
      </c>
      <c r="C623" s="19" t="s">
        <v>1602</v>
      </c>
      <c r="D623" s="19" t="s">
        <v>1862</v>
      </c>
      <c r="E623" s="19" t="s">
        <v>1858</v>
      </c>
      <c r="F623" s="19" t="s">
        <v>1868</v>
      </c>
      <c r="G623" s="19" t="s">
        <v>1907</v>
      </c>
      <c r="H623" s="19">
        <v>3</v>
      </c>
      <c r="I623" s="19">
        <v>4234</v>
      </c>
      <c r="J623" s="19">
        <v>12702</v>
      </c>
    </row>
    <row r="624" ht="15.25" spans="1:10">
      <c r="A624" s="18">
        <v>45083</v>
      </c>
      <c r="B624" s="19" t="s">
        <v>1902</v>
      </c>
      <c r="C624" s="19" t="s">
        <v>1864</v>
      </c>
      <c r="D624" s="19" t="s">
        <v>1857</v>
      </c>
      <c r="E624" s="19" t="s">
        <v>1858</v>
      </c>
      <c r="F624" s="19" t="s">
        <v>1876</v>
      </c>
      <c r="G624" s="19" t="s">
        <v>1926</v>
      </c>
      <c r="H624" s="19">
        <v>12</v>
      </c>
      <c r="I624" s="19">
        <v>1701.3</v>
      </c>
      <c r="J624" s="19">
        <v>20415.6</v>
      </c>
    </row>
    <row r="625" ht="15.25" spans="1:10">
      <c r="A625" s="18">
        <v>45053</v>
      </c>
      <c r="B625" s="19" t="s">
        <v>1889</v>
      </c>
      <c r="C625" s="19" t="s">
        <v>1626</v>
      </c>
      <c r="D625" s="19" t="s">
        <v>1857</v>
      </c>
      <c r="E625" s="19" t="s">
        <v>1858</v>
      </c>
      <c r="F625" s="19" t="s">
        <v>1876</v>
      </c>
      <c r="G625" s="19" t="s">
        <v>1930</v>
      </c>
      <c r="H625" s="19">
        <v>18</v>
      </c>
      <c r="I625" s="19">
        <v>1599.01</v>
      </c>
      <c r="J625" s="19">
        <v>28782.18</v>
      </c>
    </row>
    <row r="626" ht="15.25" spans="1:10">
      <c r="A626" s="18" t="s">
        <v>1990</v>
      </c>
      <c r="B626" s="19" t="s">
        <v>1889</v>
      </c>
      <c r="C626" s="19" t="s">
        <v>1906</v>
      </c>
      <c r="D626" s="19" t="s">
        <v>1862</v>
      </c>
      <c r="E626" s="19" t="s">
        <v>1858</v>
      </c>
      <c r="F626" s="19" t="s">
        <v>1876</v>
      </c>
      <c r="G626" s="19" t="s">
        <v>1877</v>
      </c>
      <c r="H626" s="19">
        <v>11</v>
      </c>
      <c r="I626" s="19">
        <v>4564.73</v>
      </c>
      <c r="J626" s="19">
        <v>50212.03</v>
      </c>
    </row>
    <row r="627" ht="15.25" spans="1:10">
      <c r="A627" s="18">
        <v>44992</v>
      </c>
      <c r="B627" s="19" t="s">
        <v>1848</v>
      </c>
      <c r="C627" s="19" t="s">
        <v>1610</v>
      </c>
      <c r="D627" s="19" t="s">
        <v>1879</v>
      </c>
      <c r="E627" s="19" t="s">
        <v>1851</v>
      </c>
      <c r="F627" s="19" t="s">
        <v>1852</v>
      </c>
      <c r="G627" s="19" t="s">
        <v>1910</v>
      </c>
      <c r="H627" s="19">
        <v>14</v>
      </c>
      <c r="I627" s="19">
        <v>3507.75</v>
      </c>
      <c r="J627" s="19">
        <v>49108.5</v>
      </c>
    </row>
    <row r="628" ht="15.25" spans="1:10">
      <c r="A628" s="18" t="s">
        <v>1985</v>
      </c>
      <c r="B628" s="19" t="s">
        <v>1878</v>
      </c>
      <c r="C628" s="19" t="s">
        <v>1589</v>
      </c>
      <c r="D628" s="19" t="s">
        <v>1884</v>
      </c>
      <c r="E628" s="19" t="s">
        <v>1895</v>
      </c>
      <c r="F628" s="19" t="s">
        <v>1859</v>
      </c>
      <c r="G628" s="19" t="s">
        <v>1872</v>
      </c>
      <c r="H628" s="19">
        <v>4</v>
      </c>
      <c r="I628" s="19">
        <v>810.38</v>
      </c>
      <c r="J628" s="19">
        <v>3241.52</v>
      </c>
    </row>
    <row r="629" ht="26.75" spans="1:10">
      <c r="A629" s="18" t="s">
        <v>1916</v>
      </c>
      <c r="B629" s="19" t="s">
        <v>1848</v>
      </c>
      <c r="C629" s="19" t="s">
        <v>1598</v>
      </c>
      <c r="D629" s="19" t="s">
        <v>1850</v>
      </c>
      <c r="E629" s="19" t="s">
        <v>1851</v>
      </c>
      <c r="F629" s="19" t="s">
        <v>1876</v>
      </c>
      <c r="G629" s="19" t="s">
        <v>1926</v>
      </c>
      <c r="H629" s="19">
        <v>7</v>
      </c>
      <c r="I629" s="19">
        <v>698.8</v>
      </c>
      <c r="J629" s="19">
        <v>4891.6</v>
      </c>
    </row>
    <row r="630" ht="15.25" spans="1:10">
      <c r="A630" s="18">
        <v>45208</v>
      </c>
      <c r="B630" s="19" t="s">
        <v>1892</v>
      </c>
      <c r="C630" s="19" t="s">
        <v>1856</v>
      </c>
      <c r="D630" s="19" t="s">
        <v>1857</v>
      </c>
      <c r="E630" s="19" t="s">
        <v>1858</v>
      </c>
      <c r="F630" s="19" t="s">
        <v>1876</v>
      </c>
      <c r="G630" s="19" t="s">
        <v>1930</v>
      </c>
      <c r="H630" s="19">
        <v>14</v>
      </c>
      <c r="I630" s="19">
        <v>2833.44</v>
      </c>
      <c r="J630" s="19">
        <v>39668.16</v>
      </c>
    </row>
    <row r="631" ht="15.25" spans="1:10">
      <c r="A631" s="18" t="s">
        <v>1992</v>
      </c>
      <c r="B631" s="19" t="s">
        <v>1867</v>
      </c>
      <c r="C631" s="19" t="s">
        <v>1602</v>
      </c>
      <c r="D631" s="19" t="s">
        <v>1862</v>
      </c>
      <c r="E631" s="19" t="s">
        <v>1858</v>
      </c>
      <c r="F631" s="19" t="s">
        <v>1868</v>
      </c>
      <c r="G631" s="19" t="s">
        <v>1907</v>
      </c>
      <c r="H631" s="19">
        <v>20</v>
      </c>
      <c r="I631" s="19">
        <v>2409.68</v>
      </c>
      <c r="J631" s="19">
        <v>48193.6</v>
      </c>
    </row>
    <row r="632" ht="15.25" spans="1:10">
      <c r="A632" s="18">
        <v>45086</v>
      </c>
      <c r="B632" s="19" t="s">
        <v>1892</v>
      </c>
      <c r="C632" s="19" t="s">
        <v>1626</v>
      </c>
      <c r="D632" s="19" t="s">
        <v>1857</v>
      </c>
      <c r="E632" s="19" t="s">
        <v>1858</v>
      </c>
      <c r="F632" s="19" t="s">
        <v>1868</v>
      </c>
      <c r="G632" s="19" t="s">
        <v>1917</v>
      </c>
      <c r="H632" s="19">
        <v>17</v>
      </c>
      <c r="I632" s="19">
        <v>2448.51</v>
      </c>
      <c r="J632" s="19">
        <v>41624.67</v>
      </c>
    </row>
    <row r="633" ht="15.25" spans="1:10">
      <c r="A633" s="18">
        <v>45207</v>
      </c>
      <c r="B633" s="19" t="s">
        <v>1902</v>
      </c>
      <c r="C633" s="19" t="s">
        <v>1626</v>
      </c>
      <c r="D633" s="19" t="s">
        <v>1857</v>
      </c>
      <c r="E633" s="19" t="s">
        <v>1858</v>
      </c>
      <c r="F633" s="19" t="s">
        <v>1865</v>
      </c>
      <c r="G633" s="19" t="s">
        <v>1886</v>
      </c>
      <c r="H633" s="19">
        <v>7</v>
      </c>
      <c r="I633" s="19">
        <v>4029.58</v>
      </c>
      <c r="J633" s="19">
        <v>28207.06</v>
      </c>
    </row>
    <row r="634" ht="15.25" spans="1:10">
      <c r="A634" s="18" t="s">
        <v>2074</v>
      </c>
      <c r="B634" s="19" t="s">
        <v>1867</v>
      </c>
      <c r="C634" s="19" t="s">
        <v>1864</v>
      </c>
      <c r="D634" s="19" t="s">
        <v>1857</v>
      </c>
      <c r="E634" s="19" t="s">
        <v>1858</v>
      </c>
      <c r="F634" s="19" t="s">
        <v>1868</v>
      </c>
      <c r="G634" s="19" t="s">
        <v>1899</v>
      </c>
      <c r="H634" s="19">
        <v>15</v>
      </c>
      <c r="I634" s="19">
        <v>3999.29</v>
      </c>
      <c r="J634" s="19">
        <v>59989.35</v>
      </c>
    </row>
    <row r="635" ht="15.25" spans="1:10">
      <c r="A635" s="18" t="s">
        <v>2025</v>
      </c>
      <c r="B635" s="19" t="s">
        <v>1874</v>
      </c>
      <c r="C635" s="19" t="s">
        <v>1875</v>
      </c>
      <c r="D635" s="19" t="s">
        <v>1862</v>
      </c>
      <c r="E635" s="19" t="s">
        <v>1858</v>
      </c>
      <c r="F635" s="19" t="s">
        <v>1859</v>
      </c>
      <c r="G635" s="19" t="s">
        <v>1922</v>
      </c>
      <c r="H635" s="19">
        <v>17</v>
      </c>
      <c r="I635" s="19">
        <v>583.88</v>
      </c>
      <c r="J635" s="19">
        <v>9925.96</v>
      </c>
    </row>
    <row r="636" ht="15.25" spans="1:10">
      <c r="A636" s="18">
        <v>44965</v>
      </c>
      <c r="B636" s="19" t="s">
        <v>1902</v>
      </c>
      <c r="C636" s="19" t="s">
        <v>1898</v>
      </c>
      <c r="D636" s="19" t="s">
        <v>1879</v>
      </c>
      <c r="E636" s="19" t="s">
        <v>1851</v>
      </c>
      <c r="F636" s="19" t="s">
        <v>1865</v>
      </c>
      <c r="G636" s="19" t="s">
        <v>1890</v>
      </c>
      <c r="H636" s="19">
        <v>7</v>
      </c>
      <c r="I636" s="19">
        <v>1319.32</v>
      </c>
      <c r="J636" s="19">
        <v>9235.24</v>
      </c>
    </row>
    <row r="637" ht="26.75" spans="1:10">
      <c r="A637" s="18" t="s">
        <v>2016</v>
      </c>
      <c r="B637" s="19" t="s">
        <v>1871</v>
      </c>
      <c r="C637" s="19" t="s">
        <v>1849</v>
      </c>
      <c r="D637" s="19" t="s">
        <v>1850</v>
      </c>
      <c r="E637" s="19" t="s">
        <v>1851</v>
      </c>
      <c r="F637" s="19" t="s">
        <v>1852</v>
      </c>
      <c r="G637" s="19" t="s">
        <v>1950</v>
      </c>
      <c r="H637" s="19">
        <v>15</v>
      </c>
      <c r="I637" s="19">
        <v>2698.6</v>
      </c>
      <c r="J637" s="19">
        <v>40479</v>
      </c>
    </row>
    <row r="638" ht="15.25" spans="1:10">
      <c r="A638" s="18" t="s">
        <v>1959</v>
      </c>
      <c r="B638" s="19" t="s">
        <v>1861</v>
      </c>
      <c r="C638" s="19" t="s">
        <v>1602</v>
      </c>
      <c r="D638" s="19" t="s">
        <v>1862</v>
      </c>
      <c r="E638" s="19" t="s">
        <v>1858</v>
      </c>
      <c r="F638" s="19" t="s">
        <v>1859</v>
      </c>
      <c r="G638" s="19" t="s">
        <v>1922</v>
      </c>
      <c r="H638" s="19">
        <v>19</v>
      </c>
      <c r="I638" s="19">
        <v>4364.64</v>
      </c>
      <c r="J638" s="19">
        <v>82928.16</v>
      </c>
    </row>
    <row r="639" ht="15.25" spans="1:10">
      <c r="A639" s="18" t="s">
        <v>2042</v>
      </c>
      <c r="B639" s="19" t="s">
        <v>1889</v>
      </c>
      <c r="C639" s="19" t="s">
        <v>1864</v>
      </c>
      <c r="D639" s="19" t="s">
        <v>1857</v>
      </c>
      <c r="E639" s="19" t="s">
        <v>1858</v>
      </c>
      <c r="F639" s="19" t="s">
        <v>1852</v>
      </c>
      <c r="G639" s="19" t="s">
        <v>1910</v>
      </c>
      <c r="H639" s="19">
        <v>8</v>
      </c>
      <c r="I639" s="19">
        <v>4740.97</v>
      </c>
      <c r="J639" s="19">
        <v>37927.76</v>
      </c>
    </row>
    <row r="640" ht="15.25" spans="1:10">
      <c r="A640" s="18" t="s">
        <v>1980</v>
      </c>
      <c r="B640" s="19" t="s">
        <v>1871</v>
      </c>
      <c r="C640" s="19" t="s">
        <v>1875</v>
      </c>
      <c r="D640" s="19" t="s">
        <v>1862</v>
      </c>
      <c r="E640" s="19" t="s">
        <v>1858</v>
      </c>
      <c r="F640" s="19" t="s">
        <v>1859</v>
      </c>
      <c r="G640" s="19" t="s">
        <v>1922</v>
      </c>
      <c r="H640" s="19">
        <v>4</v>
      </c>
      <c r="I640" s="19">
        <v>917.97</v>
      </c>
      <c r="J640" s="19">
        <v>3671.88</v>
      </c>
    </row>
    <row r="641" ht="15.25" spans="1:10">
      <c r="A641" s="18">
        <v>45174</v>
      </c>
      <c r="B641" s="19" t="s">
        <v>1871</v>
      </c>
      <c r="C641" s="19" t="s">
        <v>1898</v>
      </c>
      <c r="D641" s="19" t="s">
        <v>1879</v>
      </c>
      <c r="E641" s="19" t="s">
        <v>1851</v>
      </c>
      <c r="F641" s="19" t="s">
        <v>1865</v>
      </c>
      <c r="G641" s="19" t="s">
        <v>1886</v>
      </c>
      <c r="H641" s="19">
        <v>10</v>
      </c>
      <c r="I641" s="19">
        <v>224.53</v>
      </c>
      <c r="J641" s="19">
        <v>2245.3</v>
      </c>
    </row>
    <row r="642" ht="15.25" spans="1:10">
      <c r="A642" s="18" t="s">
        <v>2093</v>
      </c>
      <c r="B642" s="19" t="s">
        <v>1855</v>
      </c>
      <c r="C642" s="19" t="s">
        <v>1589</v>
      </c>
      <c r="D642" s="19" t="s">
        <v>1884</v>
      </c>
      <c r="E642" s="19" t="s">
        <v>1895</v>
      </c>
      <c r="F642" s="19" t="s">
        <v>1859</v>
      </c>
      <c r="G642" s="19" t="s">
        <v>1922</v>
      </c>
      <c r="H642" s="19">
        <v>1</v>
      </c>
      <c r="I642" s="19">
        <v>3246.08</v>
      </c>
      <c r="J642" s="19">
        <v>3246.08</v>
      </c>
    </row>
    <row r="643" ht="26.75" spans="1:10">
      <c r="A643" s="18" t="s">
        <v>1982</v>
      </c>
      <c r="B643" s="19" t="s">
        <v>1861</v>
      </c>
      <c r="C643" s="19" t="s">
        <v>1849</v>
      </c>
      <c r="D643" s="19" t="s">
        <v>1850</v>
      </c>
      <c r="E643" s="19" t="s">
        <v>1851</v>
      </c>
      <c r="F643" s="19" t="s">
        <v>1852</v>
      </c>
      <c r="G643" s="19" t="s">
        <v>1950</v>
      </c>
      <c r="H643" s="19">
        <v>16</v>
      </c>
      <c r="I643" s="19">
        <v>1411.33</v>
      </c>
      <c r="J643" s="19">
        <v>22581.28</v>
      </c>
    </row>
    <row r="644" ht="15.25" spans="1:10">
      <c r="A644" s="18">
        <v>45051</v>
      </c>
      <c r="B644" s="19" t="s">
        <v>1848</v>
      </c>
      <c r="C644" s="19" t="s">
        <v>1626</v>
      </c>
      <c r="D644" s="19" t="s">
        <v>1857</v>
      </c>
      <c r="E644" s="19" t="s">
        <v>1858</v>
      </c>
      <c r="F644" s="19" t="s">
        <v>1865</v>
      </c>
      <c r="G644" s="19" t="s">
        <v>1920</v>
      </c>
      <c r="H644" s="19">
        <v>19</v>
      </c>
      <c r="I644" s="19">
        <v>2174.06</v>
      </c>
      <c r="J644" s="19">
        <v>41307.14</v>
      </c>
    </row>
    <row r="645" ht="15.25" spans="1:10">
      <c r="A645" s="18">
        <v>45203</v>
      </c>
      <c r="B645" s="19" t="s">
        <v>1848</v>
      </c>
      <c r="C645" s="19" t="s">
        <v>1864</v>
      </c>
      <c r="D645" s="19" t="s">
        <v>1857</v>
      </c>
      <c r="E645" s="19" t="s">
        <v>1858</v>
      </c>
      <c r="F645" s="19" t="s">
        <v>1868</v>
      </c>
      <c r="G645" s="19" t="s">
        <v>1899</v>
      </c>
      <c r="H645" s="19">
        <v>2</v>
      </c>
      <c r="I645" s="19">
        <v>1194.4</v>
      </c>
      <c r="J645" s="19">
        <v>2388.8</v>
      </c>
    </row>
    <row r="646" ht="15.25" spans="1:10">
      <c r="A646" s="18" t="s">
        <v>2090</v>
      </c>
      <c r="B646" s="19" t="s">
        <v>1892</v>
      </c>
      <c r="C646" s="19" t="s">
        <v>1898</v>
      </c>
      <c r="D646" s="19" t="s">
        <v>1879</v>
      </c>
      <c r="E646" s="19" t="s">
        <v>1851</v>
      </c>
      <c r="F646" s="19" t="s">
        <v>1865</v>
      </c>
      <c r="G646" s="19" t="s">
        <v>1886</v>
      </c>
      <c r="H646" s="19">
        <v>2</v>
      </c>
      <c r="I646" s="19">
        <v>3726.58</v>
      </c>
      <c r="J646" s="19">
        <v>7453.16</v>
      </c>
    </row>
    <row r="647" ht="15.25" spans="1:10">
      <c r="A647" s="18">
        <v>45144</v>
      </c>
      <c r="B647" s="19" t="s">
        <v>1874</v>
      </c>
      <c r="C647" s="19" t="s">
        <v>1626</v>
      </c>
      <c r="D647" s="19" t="s">
        <v>1857</v>
      </c>
      <c r="E647" s="19" t="s">
        <v>1858</v>
      </c>
      <c r="F647" s="19" t="s">
        <v>1852</v>
      </c>
      <c r="G647" s="19" t="s">
        <v>1934</v>
      </c>
      <c r="H647" s="19">
        <v>5</v>
      </c>
      <c r="I647" s="19">
        <v>1599.65</v>
      </c>
      <c r="J647" s="19">
        <v>7998.25</v>
      </c>
    </row>
    <row r="648" ht="15.25" spans="1:10">
      <c r="A648" s="18" t="s">
        <v>1893</v>
      </c>
      <c r="B648" s="19" t="s">
        <v>1889</v>
      </c>
      <c r="C648" s="19" t="s">
        <v>1903</v>
      </c>
      <c r="D648" s="19" t="s">
        <v>1884</v>
      </c>
      <c r="E648" s="19" t="s">
        <v>1895</v>
      </c>
      <c r="F648" s="19" t="s">
        <v>1852</v>
      </c>
      <c r="G648" s="19" t="s">
        <v>1853</v>
      </c>
      <c r="H648" s="19">
        <v>16</v>
      </c>
      <c r="I648" s="19">
        <v>1628.19</v>
      </c>
      <c r="J648" s="19">
        <v>26051.04</v>
      </c>
    </row>
    <row r="649" ht="15.25" spans="1:10">
      <c r="A649" s="18" t="s">
        <v>2032</v>
      </c>
      <c r="B649" s="19" t="s">
        <v>1889</v>
      </c>
      <c r="C649" s="19" t="s">
        <v>1602</v>
      </c>
      <c r="D649" s="19" t="s">
        <v>1862</v>
      </c>
      <c r="E649" s="19" t="s">
        <v>1858</v>
      </c>
      <c r="F649" s="19" t="s">
        <v>1865</v>
      </c>
      <c r="G649" s="19" t="s">
        <v>1890</v>
      </c>
      <c r="H649" s="19">
        <v>17</v>
      </c>
      <c r="I649" s="19">
        <v>3381.75</v>
      </c>
      <c r="J649" s="19">
        <v>57489.75</v>
      </c>
    </row>
    <row r="650" ht="15.25" spans="1:10">
      <c r="A650" s="18" t="s">
        <v>1952</v>
      </c>
      <c r="B650" s="19" t="s">
        <v>1855</v>
      </c>
      <c r="C650" s="19" t="s">
        <v>1875</v>
      </c>
      <c r="D650" s="19" t="s">
        <v>1862</v>
      </c>
      <c r="E650" s="19" t="s">
        <v>1858</v>
      </c>
      <c r="F650" s="19" t="s">
        <v>1859</v>
      </c>
      <c r="G650" s="19" t="s">
        <v>1860</v>
      </c>
      <c r="H650" s="19">
        <v>18</v>
      </c>
      <c r="I650" s="19">
        <v>3627.09</v>
      </c>
      <c r="J650" s="19">
        <v>65287.62</v>
      </c>
    </row>
    <row r="651" ht="15.25" spans="1:10">
      <c r="A651" s="18" t="s">
        <v>1972</v>
      </c>
      <c r="B651" s="19" t="s">
        <v>1848</v>
      </c>
      <c r="C651" s="19" t="s">
        <v>1898</v>
      </c>
      <c r="D651" s="19" t="s">
        <v>1879</v>
      </c>
      <c r="E651" s="19" t="s">
        <v>1851</v>
      </c>
      <c r="F651" s="19" t="s">
        <v>1868</v>
      </c>
      <c r="G651" s="19" t="s">
        <v>1869</v>
      </c>
      <c r="H651" s="19">
        <v>2</v>
      </c>
      <c r="I651" s="19">
        <v>3106.64</v>
      </c>
      <c r="J651" s="19">
        <v>6213.28</v>
      </c>
    </row>
    <row r="652" ht="26.75" spans="1:10">
      <c r="A652" s="18">
        <v>45202</v>
      </c>
      <c r="B652" s="19" t="s">
        <v>1848</v>
      </c>
      <c r="C652" s="19" t="s">
        <v>1598</v>
      </c>
      <c r="D652" s="19" t="s">
        <v>1850</v>
      </c>
      <c r="E652" s="19" t="s">
        <v>1851</v>
      </c>
      <c r="F652" s="19" t="s">
        <v>1876</v>
      </c>
      <c r="G652" s="19" t="s">
        <v>1883</v>
      </c>
      <c r="H652" s="19">
        <v>15</v>
      </c>
      <c r="I652" s="19">
        <v>4310.01</v>
      </c>
      <c r="J652" s="19">
        <v>64650.15</v>
      </c>
    </row>
    <row r="653" ht="15.25" spans="1:10">
      <c r="A653" s="18">
        <v>44988</v>
      </c>
      <c r="B653" s="19" t="s">
        <v>1878</v>
      </c>
      <c r="C653" s="19" t="s">
        <v>1941</v>
      </c>
      <c r="D653" s="19" t="s">
        <v>1879</v>
      </c>
      <c r="E653" s="19" t="s">
        <v>1851</v>
      </c>
      <c r="F653" s="19" t="s">
        <v>1852</v>
      </c>
      <c r="G653" s="19" t="s">
        <v>1853</v>
      </c>
      <c r="H653" s="19">
        <v>14</v>
      </c>
      <c r="I653" s="19">
        <v>3352.19</v>
      </c>
      <c r="J653" s="19">
        <v>46930.66</v>
      </c>
    </row>
    <row r="654" ht="15.25" spans="1:10">
      <c r="A654" s="18" t="s">
        <v>2054</v>
      </c>
      <c r="B654" s="19" t="s">
        <v>1867</v>
      </c>
      <c r="C654" s="19" t="s">
        <v>1903</v>
      </c>
      <c r="D654" s="19" t="s">
        <v>1884</v>
      </c>
      <c r="E654" s="19" t="s">
        <v>1895</v>
      </c>
      <c r="F654" s="19" t="s">
        <v>1876</v>
      </c>
      <c r="G654" s="19" t="s">
        <v>1926</v>
      </c>
      <c r="H654" s="19">
        <v>18</v>
      </c>
      <c r="I654" s="19">
        <v>214.47</v>
      </c>
      <c r="J654" s="19">
        <v>3860.46</v>
      </c>
    </row>
    <row r="655" ht="15.25" spans="1:10">
      <c r="A655" s="18" t="s">
        <v>1992</v>
      </c>
      <c r="B655" s="19" t="s">
        <v>1848</v>
      </c>
      <c r="C655" s="19" t="s">
        <v>1906</v>
      </c>
      <c r="D655" s="19" t="s">
        <v>1862</v>
      </c>
      <c r="E655" s="19" t="s">
        <v>1858</v>
      </c>
      <c r="F655" s="19" t="s">
        <v>1868</v>
      </c>
      <c r="G655" s="19" t="s">
        <v>1869</v>
      </c>
      <c r="H655" s="19">
        <v>3</v>
      </c>
      <c r="I655" s="19">
        <v>1810.87</v>
      </c>
      <c r="J655" s="19">
        <v>5432.61</v>
      </c>
    </row>
    <row r="656" ht="15.25" spans="1:10">
      <c r="A656" s="18" t="s">
        <v>1974</v>
      </c>
      <c r="B656" s="19" t="s">
        <v>1892</v>
      </c>
      <c r="C656" s="19" t="s">
        <v>1894</v>
      </c>
      <c r="D656" s="19" t="s">
        <v>1884</v>
      </c>
      <c r="E656" s="19" t="s">
        <v>1895</v>
      </c>
      <c r="F656" s="19" t="s">
        <v>1852</v>
      </c>
      <c r="G656" s="19" t="s">
        <v>1934</v>
      </c>
      <c r="H656" s="19">
        <v>3</v>
      </c>
      <c r="I656" s="19">
        <v>1105.46</v>
      </c>
      <c r="J656" s="19">
        <v>3316.38</v>
      </c>
    </row>
    <row r="657" ht="26.75" spans="1:10">
      <c r="A657" s="18" t="s">
        <v>2092</v>
      </c>
      <c r="B657" s="19" t="s">
        <v>1902</v>
      </c>
      <c r="C657" s="19" t="s">
        <v>1593</v>
      </c>
      <c r="D657" s="19" t="s">
        <v>1850</v>
      </c>
      <c r="E657" s="19" t="s">
        <v>1851</v>
      </c>
      <c r="F657" s="19" t="s">
        <v>1868</v>
      </c>
      <c r="G657" s="19" t="s">
        <v>1899</v>
      </c>
      <c r="H657" s="19">
        <v>10</v>
      </c>
      <c r="I657" s="19">
        <v>3707.43</v>
      </c>
      <c r="J657" s="19">
        <v>37074.3</v>
      </c>
    </row>
    <row r="658" ht="15.25" spans="1:10">
      <c r="A658" s="18">
        <v>45209</v>
      </c>
      <c r="B658" s="19" t="s">
        <v>1889</v>
      </c>
      <c r="C658" s="19" t="s">
        <v>1864</v>
      </c>
      <c r="D658" s="19" t="s">
        <v>1857</v>
      </c>
      <c r="E658" s="19" t="s">
        <v>1858</v>
      </c>
      <c r="F658" s="19" t="s">
        <v>1876</v>
      </c>
      <c r="G658" s="19" t="s">
        <v>1926</v>
      </c>
      <c r="H658" s="19">
        <v>18</v>
      </c>
      <c r="I658" s="19">
        <v>584.4</v>
      </c>
      <c r="J658" s="19">
        <v>10519.2</v>
      </c>
    </row>
    <row r="659" ht="15.25" spans="1:10">
      <c r="A659" s="18" t="s">
        <v>2076</v>
      </c>
      <c r="B659" s="19" t="s">
        <v>1855</v>
      </c>
      <c r="C659" s="19" t="s">
        <v>1906</v>
      </c>
      <c r="D659" s="19" t="s">
        <v>1862</v>
      </c>
      <c r="E659" s="19" t="s">
        <v>1858</v>
      </c>
      <c r="F659" s="19" t="s">
        <v>1852</v>
      </c>
      <c r="G659" s="19" t="s">
        <v>1934</v>
      </c>
      <c r="H659" s="19">
        <v>1</v>
      </c>
      <c r="I659" s="19">
        <v>2498.74</v>
      </c>
      <c r="J659" s="19">
        <v>2498.74</v>
      </c>
    </row>
    <row r="660" ht="15.25" spans="1:10">
      <c r="A660" s="18">
        <v>45110</v>
      </c>
      <c r="B660" s="19" t="s">
        <v>1871</v>
      </c>
      <c r="C660" s="19" t="s">
        <v>1602</v>
      </c>
      <c r="D660" s="19" t="s">
        <v>1862</v>
      </c>
      <c r="E660" s="19" t="s">
        <v>1858</v>
      </c>
      <c r="F660" s="19" t="s">
        <v>1876</v>
      </c>
      <c r="G660" s="19" t="s">
        <v>1926</v>
      </c>
      <c r="H660" s="19">
        <v>17</v>
      </c>
      <c r="I660" s="19">
        <v>2460.73</v>
      </c>
      <c r="J660" s="19">
        <v>41832.41</v>
      </c>
    </row>
    <row r="661" ht="26.75" spans="1:10">
      <c r="A661" s="18">
        <v>45261</v>
      </c>
      <c r="B661" s="19" t="s">
        <v>1892</v>
      </c>
      <c r="C661" s="19" t="s">
        <v>1849</v>
      </c>
      <c r="D661" s="19" t="s">
        <v>1850</v>
      </c>
      <c r="E661" s="19" t="s">
        <v>1851</v>
      </c>
      <c r="F661" s="19" t="s">
        <v>1852</v>
      </c>
      <c r="G661" s="19" t="s">
        <v>1853</v>
      </c>
      <c r="H661" s="19">
        <v>13</v>
      </c>
      <c r="I661" s="19">
        <v>4630.98</v>
      </c>
      <c r="J661" s="19">
        <v>60202.74</v>
      </c>
    </row>
    <row r="662" ht="15.25" spans="1:10">
      <c r="A662" s="18">
        <v>45241</v>
      </c>
      <c r="B662" s="19" t="s">
        <v>1867</v>
      </c>
      <c r="C662" s="19" t="s">
        <v>1602</v>
      </c>
      <c r="D662" s="19" t="s">
        <v>1862</v>
      </c>
      <c r="E662" s="19" t="s">
        <v>1858</v>
      </c>
      <c r="F662" s="19" t="s">
        <v>1876</v>
      </c>
      <c r="G662" s="19" t="s">
        <v>1930</v>
      </c>
      <c r="H662" s="19">
        <v>3</v>
      </c>
      <c r="I662" s="19">
        <v>4324.88</v>
      </c>
      <c r="J662" s="19">
        <v>12974.64</v>
      </c>
    </row>
    <row r="663" ht="15.25" spans="1:10">
      <c r="A663" s="18">
        <v>45270</v>
      </c>
      <c r="B663" s="19" t="s">
        <v>1848</v>
      </c>
      <c r="C663" s="19" t="s">
        <v>1894</v>
      </c>
      <c r="D663" s="19" t="s">
        <v>1884</v>
      </c>
      <c r="E663" s="19" t="s">
        <v>1895</v>
      </c>
      <c r="F663" s="19" t="s">
        <v>1876</v>
      </c>
      <c r="G663" s="19" t="s">
        <v>1930</v>
      </c>
      <c r="H663" s="19">
        <v>20</v>
      </c>
      <c r="I663" s="19">
        <v>4049.4</v>
      </c>
      <c r="J663" s="19">
        <v>80988</v>
      </c>
    </row>
    <row r="664" ht="15.25" spans="1:10">
      <c r="A664" s="18">
        <v>45148</v>
      </c>
      <c r="B664" s="19" t="s">
        <v>1855</v>
      </c>
      <c r="C664" s="19" t="s">
        <v>1941</v>
      </c>
      <c r="D664" s="19" t="s">
        <v>1879</v>
      </c>
      <c r="E664" s="19" t="s">
        <v>1851</v>
      </c>
      <c r="F664" s="19" t="s">
        <v>1868</v>
      </c>
      <c r="G664" s="19" t="s">
        <v>1917</v>
      </c>
      <c r="H664" s="19">
        <v>16</v>
      </c>
      <c r="I664" s="19">
        <v>2347.21</v>
      </c>
      <c r="J664" s="19">
        <v>37555.36</v>
      </c>
    </row>
    <row r="665" ht="26.75" spans="1:10">
      <c r="A665" s="18" t="s">
        <v>1939</v>
      </c>
      <c r="B665" s="19" t="s">
        <v>1855</v>
      </c>
      <c r="C665" s="19" t="s">
        <v>1598</v>
      </c>
      <c r="D665" s="19" t="s">
        <v>1850</v>
      </c>
      <c r="E665" s="19" t="s">
        <v>1851</v>
      </c>
      <c r="F665" s="19" t="s">
        <v>1865</v>
      </c>
      <c r="G665" s="19" t="s">
        <v>1920</v>
      </c>
      <c r="H665" s="19">
        <v>2</v>
      </c>
      <c r="I665" s="19">
        <v>3743.52</v>
      </c>
      <c r="J665" s="19">
        <v>7487.04</v>
      </c>
    </row>
    <row r="666" ht="15.25" spans="1:10">
      <c r="A666" s="18" t="s">
        <v>1962</v>
      </c>
      <c r="B666" s="19" t="s">
        <v>1861</v>
      </c>
      <c r="C666" s="19" t="s">
        <v>1875</v>
      </c>
      <c r="D666" s="19" t="s">
        <v>1862</v>
      </c>
      <c r="E666" s="19" t="s">
        <v>1858</v>
      </c>
      <c r="F666" s="19" t="s">
        <v>1868</v>
      </c>
      <c r="G666" s="19" t="s">
        <v>1907</v>
      </c>
      <c r="H666" s="19">
        <v>8</v>
      </c>
      <c r="I666" s="19">
        <v>303.48</v>
      </c>
      <c r="J666" s="19">
        <v>2427.84</v>
      </c>
    </row>
    <row r="667" ht="15.25" spans="1:10">
      <c r="A667" s="18" t="s">
        <v>2074</v>
      </c>
      <c r="B667" s="19" t="s">
        <v>1889</v>
      </c>
      <c r="C667" s="19" t="s">
        <v>1856</v>
      </c>
      <c r="D667" s="19" t="s">
        <v>1857</v>
      </c>
      <c r="E667" s="19" t="s">
        <v>1858</v>
      </c>
      <c r="F667" s="19" t="s">
        <v>1852</v>
      </c>
      <c r="G667" s="19" t="s">
        <v>1910</v>
      </c>
      <c r="H667" s="19">
        <v>7</v>
      </c>
      <c r="I667" s="19">
        <v>1373.41</v>
      </c>
      <c r="J667" s="19">
        <v>9613.87</v>
      </c>
    </row>
    <row r="668" ht="15.25" spans="1:10">
      <c r="A668" s="18" t="s">
        <v>2094</v>
      </c>
      <c r="B668" s="19" t="s">
        <v>1889</v>
      </c>
      <c r="C668" s="19" t="s">
        <v>1903</v>
      </c>
      <c r="D668" s="19" t="s">
        <v>1884</v>
      </c>
      <c r="E668" s="19" t="s">
        <v>1895</v>
      </c>
      <c r="F668" s="19" t="s">
        <v>1876</v>
      </c>
      <c r="G668" s="19" t="s">
        <v>1926</v>
      </c>
      <c r="H668" s="19">
        <v>10</v>
      </c>
      <c r="I668" s="19">
        <v>3048.2</v>
      </c>
      <c r="J668" s="19">
        <v>30482</v>
      </c>
    </row>
    <row r="669" ht="15.25" spans="1:10">
      <c r="A669" s="18" t="s">
        <v>2095</v>
      </c>
      <c r="B669" s="19" t="s">
        <v>1892</v>
      </c>
      <c r="C669" s="19" t="s">
        <v>1610</v>
      </c>
      <c r="D669" s="19" t="s">
        <v>1879</v>
      </c>
      <c r="E669" s="19" t="s">
        <v>1851</v>
      </c>
      <c r="F669" s="19" t="s">
        <v>1852</v>
      </c>
      <c r="G669" s="19" t="s">
        <v>1910</v>
      </c>
      <c r="H669" s="19">
        <v>20</v>
      </c>
      <c r="I669" s="19">
        <v>2818.78</v>
      </c>
      <c r="J669" s="19">
        <v>56375.6</v>
      </c>
    </row>
    <row r="670" ht="26.75" spans="1:10">
      <c r="A670" s="18">
        <v>45027</v>
      </c>
      <c r="B670" s="19" t="s">
        <v>1855</v>
      </c>
      <c r="C670" s="19" t="s">
        <v>1598</v>
      </c>
      <c r="D670" s="19" t="s">
        <v>1850</v>
      </c>
      <c r="E670" s="19" t="s">
        <v>1851</v>
      </c>
      <c r="F670" s="19" t="s">
        <v>1865</v>
      </c>
      <c r="G670" s="19" t="s">
        <v>1920</v>
      </c>
      <c r="H670" s="19">
        <v>1</v>
      </c>
      <c r="I670" s="19">
        <v>4647.3</v>
      </c>
      <c r="J670" s="19">
        <v>4647.3</v>
      </c>
    </row>
    <row r="671" ht="15.25" spans="1:10">
      <c r="A671" s="18">
        <v>45109</v>
      </c>
      <c r="B671" s="19" t="s">
        <v>1861</v>
      </c>
      <c r="C671" s="19" t="s">
        <v>1898</v>
      </c>
      <c r="D671" s="19" t="s">
        <v>1879</v>
      </c>
      <c r="E671" s="19" t="s">
        <v>1851</v>
      </c>
      <c r="F671" s="19" t="s">
        <v>1865</v>
      </c>
      <c r="G671" s="19" t="s">
        <v>1866</v>
      </c>
      <c r="H671" s="19">
        <v>20</v>
      </c>
      <c r="I671" s="19">
        <v>2302.47</v>
      </c>
      <c r="J671" s="19">
        <v>46049.4</v>
      </c>
    </row>
    <row r="672" ht="15.25" spans="1:10">
      <c r="A672" s="18" t="s">
        <v>1985</v>
      </c>
      <c r="B672" s="19" t="s">
        <v>1902</v>
      </c>
      <c r="C672" s="19" t="s">
        <v>1903</v>
      </c>
      <c r="D672" s="19" t="s">
        <v>1884</v>
      </c>
      <c r="E672" s="19" t="s">
        <v>1895</v>
      </c>
      <c r="F672" s="19" t="s">
        <v>1852</v>
      </c>
      <c r="G672" s="19" t="s">
        <v>1910</v>
      </c>
      <c r="H672" s="19">
        <v>17</v>
      </c>
      <c r="I672" s="19">
        <v>2805.45</v>
      </c>
      <c r="J672" s="19">
        <v>47692.65</v>
      </c>
    </row>
    <row r="673" ht="15.25" spans="1:10">
      <c r="A673" s="18" t="s">
        <v>2096</v>
      </c>
      <c r="B673" s="19" t="s">
        <v>1902</v>
      </c>
      <c r="C673" s="19" t="s">
        <v>1856</v>
      </c>
      <c r="D673" s="19" t="s">
        <v>1857</v>
      </c>
      <c r="E673" s="19" t="s">
        <v>1858</v>
      </c>
      <c r="F673" s="19" t="s">
        <v>1876</v>
      </c>
      <c r="G673" s="19" t="s">
        <v>1883</v>
      </c>
      <c r="H673" s="19">
        <v>3</v>
      </c>
      <c r="I673" s="19">
        <v>413.26</v>
      </c>
      <c r="J673" s="19">
        <v>1239.78</v>
      </c>
    </row>
    <row r="674" ht="15.25" spans="1:10">
      <c r="A674" s="18" t="s">
        <v>2089</v>
      </c>
      <c r="B674" s="19" t="s">
        <v>1871</v>
      </c>
      <c r="C674" s="19" t="s">
        <v>1898</v>
      </c>
      <c r="D674" s="19" t="s">
        <v>1879</v>
      </c>
      <c r="E674" s="19" t="s">
        <v>1851</v>
      </c>
      <c r="F674" s="19" t="s">
        <v>1865</v>
      </c>
      <c r="G674" s="19" t="s">
        <v>1886</v>
      </c>
      <c r="H674" s="19">
        <v>17</v>
      </c>
      <c r="I674" s="19">
        <v>3203.04</v>
      </c>
      <c r="J674" s="19">
        <v>54451.68</v>
      </c>
    </row>
    <row r="675" ht="15.25" spans="1:10">
      <c r="A675" s="18" t="s">
        <v>2096</v>
      </c>
      <c r="B675" s="19" t="s">
        <v>1874</v>
      </c>
      <c r="C675" s="19" t="s">
        <v>1610</v>
      </c>
      <c r="D675" s="19" t="s">
        <v>1879</v>
      </c>
      <c r="E675" s="19" t="s">
        <v>1851</v>
      </c>
      <c r="F675" s="19" t="s">
        <v>1865</v>
      </c>
      <c r="G675" s="19" t="s">
        <v>1866</v>
      </c>
      <c r="H675" s="19">
        <v>4</v>
      </c>
      <c r="I675" s="19">
        <v>1906.89</v>
      </c>
      <c r="J675" s="19">
        <v>7627.56</v>
      </c>
    </row>
    <row r="676" ht="15.25" spans="1:10">
      <c r="A676" s="18" t="s">
        <v>1948</v>
      </c>
      <c r="B676" s="19" t="s">
        <v>1892</v>
      </c>
      <c r="C676" s="19" t="s">
        <v>1894</v>
      </c>
      <c r="D676" s="19" t="s">
        <v>1884</v>
      </c>
      <c r="E676" s="19" t="s">
        <v>1895</v>
      </c>
      <c r="F676" s="19" t="s">
        <v>1868</v>
      </c>
      <c r="G676" s="19" t="s">
        <v>1917</v>
      </c>
      <c r="H676" s="19">
        <v>14</v>
      </c>
      <c r="I676" s="19">
        <v>3829.68</v>
      </c>
      <c r="J676" s="19">
        <v>53615.52</v>
      </c>
    </row>
    <row r="677" ht="15.25" spans="1:10">
      <c r="A677" s="18" t="s">
        <v>2097</v>
      </c>
      <c r="B677" s="19" t="s">
        <v>1855</v>
      </c>
      <c r="C677" s="19" t="s">
        <v>1626</v>
      </c>
      <c r="D677" s="19" t="s">
        <v>1857</v>
      </c>
      <c r="E677" s="19" t="s">
        <v>1858</v>
      </c>
      <c r="F677" s="19" t="s">
        <v>1859</v>
      </c>
      <c r="G677" s="19" t="s">
        <v>1860</v>
      </c>
      <c r="H677" s="19">
        <v>19</v>
      </c>
      <c r="I677" s="19">
        <v>2636.08</v>
      </c>
      <c r="J677" s="19">
        <v>50085.52</v>
      </c>
    </row>
    <row r="678" ht="15.25" spans="1:10">
      <c r="A678" s="18">
        <v>45238</v>
      </c>
      <c r="B678" s="19" t="s">
        <v>1848</v>
      </c>
      <c r="C678" s="19" t="s">
        <v>1856</v>
      </c>
      <c r="D678" s="19" t="s">
        <v>1857</v>
      </c>
      <c r="E678" s="19" t="s">
        <v>1858</v>
      </c>
      <c r="F678" s="19" t="s">
        <v>1876</v>
      </c>
      <c r="G678" s="19" t="s">
        <v>1877</v>
      </c>
      <c r="H678" s="19">
        <v>13</v>
      </c>
      <c r="I678" s="19">
        <v>3994.86</v>
      </c>
      <c r="J678" s="19">
        <v>51933.18</v>
      </c>
    </row>
    <row r="679" ht="15.25" spans="1:10">
      <c r="A679" s="18" t="s">
        <v>1847</v>
      </c>
      <c r="B679" s="19" t="s">
        <v>1871</v>
      </c>
      <c r="C679" s="19" t="s">
        <v>1610</v>
      </c>
      <c r="D679" s="19" t="s">
        <v>1879</v>
      </c>
      <c r="E679" s="19" t="s">
        <v>1851</v>
      </c>
      <c r="F679" s="19" t="s">
        <v>1859</v>
      </c>
      <c r="G679" s="19" t="s">
        <v>1872</v>
      </c>
      <c r="H679" s="19">
        <v>12</v>
      </c>
      <c r="I679" s="19">
        <v>1554.75</v>
      </c>
      <c r="J679" s="19">
        <v>18657</v>
      </c>
    </row>
    <row r="680" ht="15.25" spans="1:10">
      <c r="A680" s="18">
        <v>45108</v>
      </c>
      <c r="B680" s="19" t="s">
        <v>1874</v>
      </c>
      <c r="C680" s="19" t="s">
        <v>1875</v>
      </c>
      <c r="D680" s="19" t="s">
        <v>1862</v>
      </c>
      <c r="E680" s="19" t="s">
        <v>1858</v>
      </c>
      <c r="F680" s="19" t="s">
        <v>1859</v>
      </c>
      <c r="G680" s="19" t="s">
        <v>1947</v>
      </c>
      <c r="H680" s="19">
        <v>9</v>
      </c>
      <c r="I680" s="19">
        <v>4674.04</v>
      </c>
      <c r="J680" s="19">
        <v>42066.36</v>
      </c>
    </row>
    <row r="681" ht="15.25" spans="1:10">
      <c r="A681" s="18">
        <v>45018</v>
      </c>
      <c r="B681" s="19" t="s">
        <v>1874</v>
      </c>
      <c r="C681" s="19" t="s">
        <v>1941</v>
      </c>
      <c r="D681" s="19" t="s">
        <v>1879</v>
      </c>
      <c r="E681" s="19" t="s">
        <v>1851</v>
      </c>
      <c r="F681" s="19" t="s">
        <v>1852</v>
      </c>
      <c r="G681" s="19" t="s">
        <v>1853</v>
      </c>
      <c r="H681" s="19">
        <v>2</v>
      </c>
      <c r="I681" s="19">
        <v>1252.3</v>
      </c>
      <c r="J681" s="19">
        <v>2504.6</v>
      </c>
    </row>
    <row r="682" ht="15.25" spans="1:10">
      <c r="A682" s="18" t="s">
        <v>2098</v>
      </c>
      <c r="B682" s="19" t="s">
        <v>1867</v>
      </c>
      <c r="C682" s="19" t="s">
        <v>1906</v>
      </c>
      <c r="D682" s="19" t="s">
        <v>1862</v>
      </c>
      <c r="E682" s="19" t="s">
        <v>1858</v>
      </c>
      <c r="F682" s="19" t="s">
        <v>1859</v>
      </c>
      <c r="G682" s="19" t="s">
        <v>1872</v>
      </c>
      <c r="H682" s="19">
        <v>15</v>
      </c>
      <c r="I682" s="19">
        <v>1738.86</v>
      </c>
      <c r="J682" s="19">
        <v>26082.9</v>
      </c>
    </row>
    <row r="683" ht="15.25" spans="1:10">
      <c r="A683" s="18" t="s">
        <v>1952</v>
      </c>
      <c r="B683" s="19" t="s">
        <v>1855</v>
      </c>
      <c r="C683" s="19" t="s">
        <v>1898</v>
      </c>
      <c r="D683" s="19" t="s">
        <v>1879</v>
      </c>
      <c r="E683" s="19" t="s">
        <v>1851</v>
      </c>
      <c r="F683" s="19" t="s">
        <v>1865</v>
      </c>
      <c r="G683" s="19" t="s">
        <v>1886</v>
      </c>
      <c r="H683" s="19">
        <v>4</v>
      </c>
      <c r="I683" s="19">
        <v>2527.15</v>
      </c>
      <c r="J683" s="19">
        <v>10108.6</v>
      </c>
    </row>
    <row r="684" ht="15.25" spans="1:10">
      <c r="A684" s="18">
        <v>44928</v>
      </c>
      <c r="B684" s="19" t="s">
        <v>1867</v>
      </c>
      <c r="C684" s="19" t="s">
        <v>1610</v>
      </c>
      <c r="D684" s="19" t="s">
        <v>1879</v>
      </c>
      <c r="E684" s="19" t="s">
        <v>1851</v>
      </c>
      <c r="F684" s="19" t="s">
        <v>1865</v>
      </c>
      <c r="G684" s="19" t="s">
        <v>1866</v>
      </c>
      <c r="H684" s="19">
        <v>17</v>
      </c>
      <c r="I684" s="19">
        <v>4247.56</v>
      </c>
      <c r="J684" s="19">
        <v>72208.52</v>
      </c>
    </row>
    <row r="685" ht="15.25" spans="1:10">
      <c r="A685" s="18" t="s">
        <v>2006</v>
      </c>
      <c r="B685" s="19" t="s">
        <v>1892</v>
      </c>
      <c r="C685" s="19" t="s">
        <v>1626</v>
      </c>
      <c r="D685" s="19" t="s">
        <v>1857</v>
      </c>
      <c r="E685" s="19" t="s">
        <v>1858</v>
      </c>
      <c r="F685" s="19" t="s">
        <v>1868</v>
      </c>
      <c r="G685" s="19" t="s">
        <v>1869</v>
      </c>
      <c r="H685" s="19">
        <v>8</v>
      </c>
      <c r="I685" s="19">
        <v>978.4</v>
      </c>
      <c r="J685" s="19">
        <v>7827.2</v>
      </c>
    </row>
    <row r="686" ht="15.25" spans="1:10">
      <c r="A686" s="18">
        <v>44993</v>
      </c>
      <c r="B686" s="19" t="s">
        <v>1892</v>
      </c>
      <c r="C686" s="19" t="s">
        <v>1941</v>
      </c>
      <c r="D686" s="19" t="s">
        <v>1879</v>
      </c>
      <c r="E686" s="19" t="s">
        <v>1851</v>
      </c>
      <c r="F686" s="19" t="s">
        <v>1852</v>
      </c>
      <c r="G686" s="19" t="s">
        <v>1934</v>
      </c>
      <c r="H686" s="19">
        <v>5</v>
      </c>
      <c r="I686" s="19">
        <v>1530.16</v>
      </c>
      <c r="J686" s="19">
        <v>7650.8</v>
      </c>
    </row>
    <row r="687" ht="15.25" spans="1:10">
      <c r="A687" s="18">
        <v>45048</v>
      </c>
      <c r="B687" s="19" t="s">
        <v>1902</v>
      </c>
      <c r="C687" s="19" t="s">
        <v>1856</v>
      </c>
      <c r="D687" s="19" t="s">
        <v>1857</v>
      </c>
      <c r="E687" s="19" t="s">
        <v>1858</v>
      </c>
      <c r="F687" s="19" t="s">
        <v>1852</v>
      </c>
      <c r="G687" s="19" t="s">
        <v>1934</v>
      </c>
      <c r="H687" s="19">
        <v>15</v>
      </c>
      <c r="I687" s="19">
        <v>4748.62</v>
      </c>
      <c r="J687" s="19">
        <v>71229.3</v>
      </c>
    </row>
    <row r="688" ht="15.25" spans="1:10">
      <c r="A688" s="18" t="s">
        <v>2086</v>
      </c>
      <c r="B688" s="19" t="s">
        <v>1892</v>
      </c>
      <c r="C688" s="19" t="s">
        <v>1602</v>
      </c>
      <c r="D688" s="19" t="s">
        <v>1862</v>
      </c>
      <c r="E688" s="19" t="s">
        <v>1858</v>
      </c>
      <c r="F688" s="19" t="s">
        <v>1852</v>
      </c>
      <c r="G688" s="19" t="s">
        <v>1853</v>
      </c>
      <c r="H688" s="19">
        <v>5</v>
      </c>
      <c r="I688" s="19">
        <v>4402.72</v>
      </c>
      <c r="J688" s="19">
        <v>22013.6</v>
      </c>
    </row>
    <row r="689" ht="26.75" spans="1:10">
      <c r="A689" s="18">
        <v>45206</v>
      </c>
      <c r="B689" s="19" t="s">
        <v>1848</v>
      </c>
      <c r="C689" s="19" t="s">
        <v>1593</v>
      </c>
      <c r="D689" s="19" t="s">
        <v>1850</v>
      </c>
      <c r="E689" s="19" t="s">
        <v>1851</v>
      </c>
      <c r="F689" s="19" t="s">
        <v>1865</v>
      </c>
      <c r="G689" s="19" t="s">
        <v>1866</v>
      </c>
      <c r="H689" s="19">
        <v>16</v>
      </c>
      <c r="I689" s="19">
        <v>3858.12</v>
      </c>
      <c r="J689" s="19">
        <v>61729.92</v>
      </c>
    </row>
    <row r="690" ht="15.25" spans="1:10">
      <c r="A690" s="18" t="s">
        <v>1974</v>
      </c>
      <c r="B690" s="19" t="s">
        <v>1861</v>
      </c>
      <c r="C690" s="19" t="s">
        <v>1941</v>
      </c>
      <c r="D690" s="19" t="s">
        <v>1879</v>
      </c>
      <c r="E690" s="19" t="s">
        <v>1851</v>
      </c>
      <c r="F690" s="19" t="s">
        <v>1868</v>
      </c>
      <c r="G690" s="19" t="s">
        <v>1899</v>
      </c>
      <c r="H690" s="19">
        <v>10</v>
      </c>
      <c r="I690" s="19">
        <v>4939.99</v>
      </c>
      <c r="J690" s="19">
        <v>49399.9</v>
      </c>
    </row>
    <row r="691" ht="15.25" spans="1:10">
      <c r="A691" s="18" t="s">
        <v>1912</v>
      </c>
      <c r="B691" s="19" t="s">
        <v>1848</v>
      </c>
      <c r="C691" s="19" t="s">
        <v>1856</v>
      </c>
      <c r="D691" s="19" t="s">
        <v>1857</v>
      </c>
      <c r="E691" s="19" t="s">
        <v>1858</v>
      </c>
      <c r="F691" s="19" t="s">
        <v>1852</v>
      </c>
      <c r="G691" s="19" t="s">
        <v>1950</v>
      </c>
      <c r="H691" s="19">
        <v>8</v>
      </c>
      <c r="I691" s="19">
        <v>2394.87</v>
      </c>
      <c r="J691" s="19">
        <v>19158.96</v>
      </c>
    </row>
    <row r="692" ht="15.25" spans="1:10">
      <c r="A692" s="18" t="s">
        <v>2018</v>
      </c>
      <c r="B692" s="19" t="s">
        <v>1855</v>
      </c>
      <c r="C692" s="19" t="s">
        <v>1941</v>
      </c>
      <c r="D692" s="19" t="s">
        <v>1879</v>
      </c>
      <c r="E692" s="19" t="s">
        <v>1851</v>
      </c>
      <c r="F692" s="19" t="s">
        <v>1865</v>
      </c>
      <c r="G692" s="19" t="s">
        <v>1920</v>
      </c>
      <c r="H692" s="19">
        <v>11</v>
      </c>
      <c r="I692" s="19">
        <v>3277.74</v>
      </c>
      <c r="J692" s="19">
        <v>36055.14</v>
      </c>
    </row>
    <row r="693" ht="15.25" spans="1:10">
      <c r="A693" s="18" t="s">
        <v>1970</v>
      </c>
      <c r="B693" s="19" t="s">
        <v>1871</v>
      </c>
      <c r="C693" s="19" t="s">
        <v>1602</v>
      </c>
      <c r="D693" s="19" t="s">
        <v>1862</v>
      </c>
      <c r="E693" s="19" t="s">
        <v>1858</v>
      </c>
      <c r="F693" s="19" t="s">
        <v>1852</v>
      </c>
      <c r="G693" s="19" t="s">
        <v>1950</v>
      </c>
      <c r="H693" s="19">
        <v>5</v>
      </c>
      <c r="I693" s="19">
        <v>2411.33</v>
      </c>
      <c r="J693" s="19">
        <v>12056.65</v>
      </c>
    </row>
    <row r="694" ht="15.25" spans="1:10">
      <c r="A694" s="18" t="s">
        <v>1927</v>
      </c>
      <c r="B694" s="19" t="s">
        <v>1861</v>
      </c>
      <c r="C694" s="19" t="s">
        <v>1610</v>
      </c>
      <c r="D694" s="19" t="s">
        <v>1879</v>
      </c>
      <c r="E694" s="19" t="s">
        <v>1851</v>
      </c>
      <c r="F694" s="19" t="s">
        <v>1859</v>
      </c>
      <c r="G694" s="19" t="s">
        <v>1922</v>
      </c>
      <c r="H694" s="19">
        <v>17</v>
      </c>
      <c r="I694" s="19">
        <v>3844.7</v>
      </c>
      <c r="J694" s="19">
        <v>65359.9</v>
      </c>
    </row>
    <row r="695" ht="15.25" spans="1:10">
      <c r="A695" s="18" t="s">
        <v>2000</v>
      </c>
      <c r="B695" s="19" t="s">
        <v>1892</v>
      </c>
      <c r="C695" s="19" t="s">
        <v>1856</v>
      </c>
      <c r="D695" s="19" t="s">
        <v>1857</v>
      </c>
      <c r="E695" s="19" t="s">
        <v>1858</v>
      </c>
      <c r="F695" s="19" t="s">
        <v>1865</v>
      </c>
      <c r="G695" s="19" t="s">
        <v>1890</v>
      </c>
      <c r="H695" s="19">
        <v>14</v>
      </c>
      <c r="I695" s="19">
        <v>816.99</v>
      </c>
      <c r="J695" s="19">
        <v>11437.86</v>
      </c>
    </row>
    <row r="696" ht="15.25" spans="1:10">
      <c r="A696" s="18" t="s">
        <v>2077</v>
      </c>
      <c r="B696" s="19" t="s">
        <v>1878</v>
      </c>
      <c r="C696" s="19" t="s">
        <v>1626</v>
      </c>
      <c r="D696" s="19" t="s">
        <v>1857</v>
      </c>
      <c r="E696" s="19" t="s">
        <v>1858</v>
      </c>
      <c r="F696" s="19" t="s">
        <v>1876</v>
      </c>
      <c r="G696" s="19" t="s">
        <v>1930</v>
      </c>
      <c r="H696" s="19">
        <v>3</v>
      </c>
      <c r="I696" s="19">
        <v>3102.92</v>
      </c>
      <c r="J696" s="19">
        <v>9308.76</v>
      </c>
    </row>
    <row r="697" ht="15.25" spans="1:10">
      <c r="A697" s="18" t="s">
        <v>2011</v>
      </c>
      <c r="B697" s="19" t="s">
        <v>1867</v>
      </c>
      <c r="C697" s="19" t="s">
        <v>1610</v>
      </c>
      <c r="D697" s="19" t="s">
        <v>1879</v>
      </c>
      <c r="E697" s="19" t="s">
        <v>1851</v>
      </c>
      <c r="F697" s="19" t="s">
        <v>1876</v>
      </c>
      <c r="G697" s="19" t="s">
        <v>1883</v>
      </c>
      <c r="H697" s="19">
        <v>11</v>
      </c>
      <c r="I697" s="19">
        <v>490.34</v>
      </c>
      <c r="J697" s="19">
        <v>5393.74</v>
      </c>
    </row>
    <row r="698" ht="26.75" spans="1:10">
      <c r="A698" s="18" t="s">
        <v>2040</v>
      </c>
      <c r="B698" s="19" t="s">
        <v>1874</v>
      </c>
      <c r="C698" s="19" t="s">
        <v>1598</v>
      </c>
      <c r="D698" s="19" t="s">
        <v>1850</v>
      </c>
      <c r="E698" s="19" t="s">
        <v>1851</v>
      </c>
      <c r="F698" s="19" t="s">
        <v>1865</v>
      </c>
      <c r="G698" s="19" t="s">
        <v>1890</v>
      </c>
      <c r="H698" s="19">
        <v>6</v>
      </c>
      <c r="I698" s="19">
        <v>4079.26</v>
      </c>
      <c r="J698" s="19">
        <v>24475.56</v>
      </c>
    </row>
    <row r="699" ht="15.25" spans="1:10">
      <c r="A699" s="18">
        <v>44988</v>
      </c>
      <c r="B699" s="19" t="s">
        <v>1848</v>
      </c>
      <c r="C699" s="19" t="s">
        <v>1589</v>
      </c>
      <c r="D699" s="19" t="s">
        <v>1884</v>
      </c>
      <c r="E699" s="19" t="s">
        <v>1895</v>
      </c>
      <c r="F699" s="19" t="s">
        <v>1852</v>
      </c>
      <c r="G699" s="19" t="s">
        <v>1950</v>
      </c>
      <c r="H699" s="19">
        <v>12</v>
      </c>
      <c r="I699" s="19">
        <v>3229.61</v>
      </c>
      <c r="J699" s="19">
        <v>38755.32</v>
      </c>
    </row>
    <row r="700" ht="15.25" spans="1:10">
      <c r="A700" s="18">
        <v>45179</v>
      </c>
      <c r="B700" s="19" t="s">
        <v>1871</v>
      </c>
      <c r="C700" s="19" t="s">
        <v>1864</v>
      </c>
      <c r="D700" s="19" t="s">
        <v>1857</v>
      </c>
      <c r="E700" s="19" t="s">
        <v>1858</v>
      </c>
      <c r="F700" s="19" t="s">
        <v>1859</v>
      </c>
      <c r="G700" s="19" t="s">
        <v>1922</v>
      </c>
      <c r="H700" s="19">
        <v>16</v>
      </c>
      <c r="I700" s="19">
        <v>1873.12</v>
      </c>
      <c r="J700" s="19">
        <v>29969.92</v>
      </c>
    </row>
    <row r="701" ht="26.75" spans="1:10">
      <c r="A701" s="18">
        <v>45233</v>
      </c>
      <c r="B701" s="19" t="s">
        <v>1867</v>
      </c>
      <c r="C701" s="19" t="s">
        <v>1593</v>
      </c>
      <c r="D701" s="19" t="s">
        <v>1850</v>
      </c>
      <c r="E701" s="19" t="s">
        <v>1851</v>
      </c>
      <c r="F701" s="19" t="s">
        <v>1868</v>
      </c>
      <c r="G701" s="19" t="s">
        <v>1907</v>
      </c>
      <c r="H701" s="19">
        <v>7</v>
      </c>
      <c r="I701" s="19">
        <v>1640.58</v>
      </c>
      <c r="J701" s="19">
        <v>11484.06</v>
      </c>
    </row>
    <row r="702" ht="26.75" spans="1:10">
      <c r="A702" s="18" t="s">
        <v>2015</v>
      </c>
      <c r="B702" s="19" t="s">
        <v>1848</v>
      </c>
      <c r="C702" s="19" t="s">
        <v>1849</v>
      </c>
      <c r="D702" s="19" t="s">
        <v>1850</v>
      </c>
      <c r="E702" s="19" t="s">
        <v>1851</v>
      </c>
      <c r="F702" s="19" t="s">
        <v>1876</v>
      </c>
      <c r="G702" s="19" t="s">
        <v>1883</v>
      </c>
      <c r="H702" s="19">
        <v>13</v>
      </c>
      <c r="I702" s="19">
        <v>4843.21</v>
      </c>
      <c r="J702" s="19">
        <v>62961.73</v>
      </c>
    </row>
    <row r="703" ht="15.25" spans="1:10">
      <c r="A703" s="18" t="s">
        <v>1952</v>
      </c>
      <c r="B703" s="19" t="s">
        <v>1902</v>
      </c>
      <c r="C703" s="19" t="s">
        <v>1894</v>
      </c>
      <c r="D703" s="19" t="s">
        <v>1884</v>
      </c>
      <c r="E703" s="19" t="s">
        <v>1895</v>
      </c>
      <c r="F703" s="19" t="s">
        <v>1859</v>
      </c>
      <c r="G703" s="19" t="s">
        <v>1860</v>
      </c>
      <c r="H703" s="19">
        <v>13</v>
      </c>
      <c r="I703" s="19">
        <v>1782.01</v>
      </c>
      <c r="J703" s="19">
        <v>23166.13</v>
      </c>
    </row>
    <row r="704" ht="15.25" spans="1:10">
      <c r="A704" s="18" t="s">
        <v>2000</v>
      </c>
      <c r="B704" s="19" t="s">
        <v>1902</v>
      </c>
      <c r="C704" s="19" t="s">
        <v>1875</v>
      </c>
      <c r="D704" s="19" t="s">
        <v>1862</v>
      </c>
      <c r="E704" s="19" t="s">
        <v>1858</v>
      </c>
      <c r="F704" s="19" t="s">
        <v>1868</v>
      </c>
      <c r="G704" s="19" t="s">
        <v>1907</v>
      </c>
      <c r="H704" s="19">
        <v>19</v>
      </c>
      <c r="I704" s="19">
        <v>1120.6</v>
      </c>
      <c r="J704" s="19">
        <v>21291.4</v>
      </c>
    </row>
    <row r="705" ht="15.25" spans="1:10">
      <c r="A705" s="18" t="s">
        <v>1897</v>
      </c>
      <c r="B705" s="19" t="s">
        <v>1878</v>
      </c>
      <c r="C705" s="19" t="s">
        <v>1602</v>
      </c>
      <c r="D705" s="19" t="s">
        <v>1862</v>
      </c>
      <c r="E705" s="19" t="s">
        <v>1858</v>
      </c>
      <c r="F705" s="19" t="s">
        <v>1852</v>
      </c>
      <c r="G705" s="19" t="s">
        <v>1910</v>
      </c>
      <c r="H705" s="19">
        <v>2</v>
      </c>
      <c r="I705" s="19">
        <v>1927.02</v>
      </c>
      <c r="J705" s="19">
        <v>3854.04</v>
      </c>
    </row>
    <row r="706" ht="26.75" spans="1:10">
      <c r="A706" s="18" t="s">
        <v>2017</v>
      </c>
      <c r="B706" s="19" t="s">
        <v>1867</v>
      </c>
      <c r="C706" s="19" t="s">
        <v>1593</v>
      </c>
      <c r="D706" s="19" t="s">
        <v>1850</v>
      </c>
      <c r="E706" s="19" t="s">
        <v>1851</v>
      </c>
      <c r="F706" s="19" t="s">
        <v>1852</v>
      </c>
      <c r="G706" s="19" t="s">
        <v>1934</v>
      </c>
      <c r="H706" s="19">
        <v>15</v>
      </c>
      <c r="I706" s="19">
        <v>4642.69</v>
      </c>
      <c r="J706" s="19">
        <v>69640.35</v>
      </c>
    </row>
    <row r="707" ht="26.75" spans="1:10">
      <c r="A707" s="18" t="s">
        <v>2099</v>
      </c>
      <c r="B707" s="19" t="s">
        <v>1867</v>
      </c>
      <c r="C707" s="19" t="s">
        <v>1593</v>
      </c>
      <c r="D707" s="19" t="s">
        <v>1850</v>
      </c>
      <c r="E707" s="19" t="s">
        <v>1851</v>
      </c>
      <c r="F707" s="19" t="s">
        <v>1859</v>
      </c>
      <c r="G707" s="19" t="s">
        <v>1860</v>
      </c>
      <c r="H707" s="19">
        <v>19</v>
      </c>
      <c r="I707" s="19">
        <v>3316.87</v>
      </c>
      <c r="J707" s="19">
        <v>63020.53</v>
      </c>
    </row>
    <row r="708" ht="15.25" spans="1:10">
      <c r="A708" s="18">
        <v>45024</v>
      </c>
      <c r="B708" s="19" t="s">
        <v>1855</v>
      </c>
      <c r="C708" s="19" t="s">
        <v>1898</v>
      </c>
      <c r="D708" s="19" t="s">
        <v>1879</v>
      </c>
      <c r="E708" s="19" t="s">
        <v>1851</v>
      </c>
      <c r="F708" s="19" t="s">
        <v>1859</v>
      </c>
      <c r="G708" s="19" t="s">
        <v>1947</v>
      </c>
      <c r="H708" s="19">
        <v>19</v>
      </c>
      <c r="I708" s="19">
        <v>1372.28</v>
      </c>
      <c r="J708" s="19">
        <v>26073.32</v>
      </c>
    </row>
    <row r="709" ht="15.25" spans="1:10">
      <c r="A709" s="18">
        <v>45078</v>
      </c>
      <c r="B709" s="19" t="s">
        <v>1867</v>
      </c>
      <c r="C709" s="19" t="s">
        <v>1602</v>
      </c>
      <c r="D709" s="19" t="s">
        <v>1862</v>
      </c>
      <c r="E709" s="19" t="s">
        <v>1858</v>
      </c>
      <c r="F709" s="19" t="s">
        <v>1859</v>
      </c>
      <c r="G709" s="19" t="s">
        <v>1947</v>
      </c>
      <c r="H709" s="19">
        <v>8</v>
      </c>
      <c r="I709" s="19">
        <v>4786.48</v>
      </c>
      <c r="J709" s="19">
        <v>38291.84</v>
      </c>
    </row>
    <row r="710" ht="15.25" spans="1:10">
      <c r="A710" s="18" t="s">
        <v>1974</v>
      </c>
      <c r="B710" s="19" t="s">
        <v>1861</v>
      </c>
      <c r="C710" s="19" t="s">
        <v>1626</v>
      </c>
      <c r="D710" s="19" t="s">
        <v>1857</v>
      </c>
      <c r="E710" s="19" t="s">
        <v>1858</v>
      </c>
      <c r="F710" s="19" t="s">
        <v>1852</v>
      </c>
      <c r="G710" s="19" t="s">
        <v>1934</v>
      </c>
      <c r="H710" s="19">
        <v>18</v>
      </c>
      <c r="I710" s="19">
        <v>620.93</v>
      </c>
      <c r="J710" s="19">
        <v>11176.74</v>
      </c>
    </row>
    <row r="711" ht="15.25" spans="1:10">
      <c r="A711" s="18" t="s">
        <v>1863</v>
      </c>
      <c r="B711" s="19" t="s">
        <v>1902</v>
      </c>
      <c r="C711" s="19" t="s">
        <v>1626</v>
      </c>
      <c r="D711" s="19" t="s">
        <v>1857</v>
      </c>
      <c r="E711" s="19" t="s">
        <v>1858</v>
      </c>
      <c r="F711" s="19" t="s">
        <v>1876</v>
      </c>
      <c r="G711" s="19" t="s">
        <v>1930</v>
      </c>
      <c r="H711" s="19">
        <v>4</v>
      </c>
      <c r="I711" s="19">
        <v>1241.21</v>
      </c>
      <c r="J711" s="19">
        <v>4964.84</v>
      </c>
    </row>
    <row r="712" ht="26.75" spans="1:10">
      <c r="A712" s="18" t="s">
        <v>2044</v>
      </c>
      <c r="B712" s="19" t="s">
        <v>1848</v>
      </c>
      <c r="C712" s="19" t="s">
        <v>1598</v>
      </c>
      <c r="D712" s="19" t="s">
        <v>1850</v>
      </c>
      <c r="E712" s="19" t="s">
        <v>1851</v>
      </c>
      <c r="F712" s="19" t="s">
        <v>1876</v>
      </c>
      <c r="G712" s="19" t="s">
        <v>1930</v>
      </c>
      <c r="H712" s="19">
        <v>10</v>
      </c>
      <c r="I712" s="19">
        <v>1823.34</v>
      </c>
      <c r="J712" s="19">
        <v>18233.4</v>
      </c>
    </row>
    <row r="713" ht="26.75" spans="1:10">
      <c r="A713" s="18">
        <v>45146</v>
      </c>
      <c r="B713" s="19" t="s">
        <v>1892</v>
      </c>
      <c r="C713" s="19" t="s">
        <v>1598</v>
      </c>
      <c r="D713" s="19" t="s">
        <v>1850</v>
      </c>
      <c r="E713" s="19" t="s">
        <v>1851</v>
      </c>
      <c r="F713" s="19" t="s">
        <v>1865</v>
      </c>
      <c r="G713" s="19" t="s">
        <v>1886</v>
      </c>
      <c r="H713" s="19">
        <v>10</v>
      </c>
      <c r="I713" s="19">
        <v>4304.71</v>
      </c>
      <c r="J713" s="19">
        <v>43047.1</v>
      </c>
    </row>
    <row r="714" ht="15.25" spans="1:10">
      <c r="A714" s="18" t="s">
        <v>2100</v>
      </c>
      <c r="B714" s="19" t="s">
        <v>1902</v>
      </c>
      <c r="C714" s="19" t="s">
        <v>1856</v>
      </c>
      <c r="D714" s="19" t="s">
        <v>1857</v>
      </c>
      <c r="E714" s="19" t="s">
        <v>1858</v>
      </c>
      <c r="F714" s="19" t="s">
        <v>1868</v>
      </c>
      <c r="G714" s="19" t="s">
        <v>1907</v>
      </c>
      <c r="H714" s="19">
        <v>11</v>
      </c>
      <c r="I714" s="19">
        <v>4446.37</v>
      </c>
      <c r="J714" s="19">
        <v>48910.07</v>
      </c>
    </row>
    <row r="715" ht="26.75" spans="1:10">
      <c r="A715" s="18" t="s">
        <v>1991</v>
      </c>
      <c r="B715" s="19" t="s">
        <v>1861</v>
      </c>
      <c r="C715" s="19" t="s">
        <v>1593</v>
      </c>
      <c r="D715" s="19" t="s">
        <v>1850</v>
      </c>
      <c r="E715" s="19" t="s">
        <v>1851</v>
      </c>
      <c r="F715" s="19" t="s">
        <v>1868</v>
      </c>
      <c r="G715" s="19" t="s">
        <v>1869</v>
      </c>
      <c r="H715" s="19">
        <v>8</v>
      </c>
      <c r="I715" s="19">
        <v>465.32</v>
      </c>
      <c r="J715" s="19">
        <v>3722.56</v>
      </c>
    </row>
    <row r="716" ht="15.25" spans="1:10">
      <c r="A716" s="18" t="s">
        <v>1962</v>
      </c>
      <c r="B716" s="19" t="s">
        <v>1874</v>
      </c>
      <c r="C716" s="19" t="s">
        <v>1864</v>
      </c>
      <c r="D716" s="19" t="s">
        <v>1857</v>
      </c>
      <c r="E716" s="19" t="s">
        <v>1858</v>
      </c>
      <c r="F716" s="19" t="s">
        <v>1859</v>
      </c>
      <c r="G716" s="19" t="s">
        <v>1922</v>
      </c>
      <c r="H716" s="19">
        <v>1</v>
      </c>
      <c r="I716" s="19">
        <v>3431.7</v>
      </c>
      <c r="J716" s="19">
        <v>3431.7</v>
      </c>
    </row>
    <row r="717" ht="26.75" spans="1:10">
      <c r="A717" s="18" t="s">
        <v>2101</v>
      </c>
      <c r="B717" s="19" t="s">
        <v>1867</v>
      </c>
      <c r="C717" s="19" t="s">
        <v>1593</v>
      </c>
      <c r="D717" s="19" t="s">
        <v>1850</v>
      </c>
      <c r="E717" s="19" t="s">
        <v>1851</v>
      </c>
      <c r="F717" s="19" t="s">
        <v>1852</v>
      </c>
      <c r="G717" s="19" t="s">
        <v>1934</v>
      </c>
      <c r="H717" s="19">
        <v>20</v>
      </c>
      <c r="I717" s="19">
        <v>1365.33</v>
      </c>
      <c r="J717" s="19">
        <v>27306.6</v>
      </c>
    </row>
    <row r="718" ht="15.25" spans="1:10">
      <c r="A718" s="18" t="s">
        <v>2063</v>
      </c>
      <c r="B718" s="19" t="s">
        <v>1861</v>
      </c>
      <c r="C718" s="19" t="s">
        <v>1856</v>
      </c>
      <c r="D718" s="19" t="s">
        <v>1857</v>
      </c>
      <c r="E718" s="19" t="s">
        <v>1858</v>
      </c>
      <c r="F718" s="19" t="s">
        <v>1876</v>
      </c>
      <c r="G718" s="19" t="s">
        <v>1877</v>
      </c>
      <c r="H718" s="19">
        <v>14</v>
      </c>
      <c r="I718" s="19">
        <v>2343.4</v>
      </c>
      <c r="J718" s="19">
        <v>32807.6</v>
      </c>
    </row>
    <row r="719" ht="15.25" spans="1:10">
      <c r="A719" s="18">
        <v>45078</v>
      </c>
      <c r="B719" s="19" t="s">
        <v>1889</v>
      </c>
      <c r="C719" s="19" t="s">
        <v>1610</v>
      </c>
      <c r="D719" s="19" t="s">
        <v>1879</v>
      </c>
      <c r="E719" s="19" t="s">
        <v>1851</v>
      </c>
      <c r="F719" s="19" t="s">
        <v>1876</v>
      </c>
      <c r="G719" s="19" t="s">
        <v>1883</v>
      </c>
      <c r="H719" s="19">
        <v>15</v>
      </c>
      <c r="I719" s="19">
        <v>447.71</v>
      </c>
      <c r="J719" s="19">
        <v>6715.65</v>
      </c>
    </row>
    <row r="720" ht="15.25" spans="1:10">
      <c r="A720" s="18">
        <v>45047</v>
      </c>
      <c r="B720" s="19" t="s">
        <v>1889</v>
      </c>
      <c r="C720" s="19" t="s">
        <v>1941</v>
      </c>
      <c r="D720" s="19" t="s">
        <v>1879</v>
      </c>
      <c r="E720" s="19" t="s">
        <v>1851</v>
      </c>
      <c r="F720" s="19" t="s">
        <v>1868</v>
      </c>
      <c r="G720" s="19" t="s">
        <v>1917</v>
      </c>
      <c r="H720" s="19">
        <v>3</v>
      </c>
      <c r="I720" s="19">
        <v>2393.72</v>
      </c>
      <c r="J720" s="19">
        <v>7181.16</v>
      </c>
    </row>
    <row r="721" ht="15.25" spans="1:10">
      <c r="A721" s="18" t="s">
        <v>2018</v>
      </c>
      <c r="B721" s="19" t="s">
        <v>1902</v>
      </c>
      <c r="C721" s="19" t="s">
        <v>1894</v>
      </c>
      <c r="D721" s="19" t="s">
        <v>1884</v>
      </c>
      <c r="E721" s="19" t="s">
        <v>1895</v>
      </c>
      <c r="F721" s="19" t="s">
        <v>1865</v>
      </c>
      <c r="G721" s="19" t="s">
        <v>1886</v>
      </c>
      <c r="H721" s="19">
        <v>20</v>
      </c>
      <c r="I721" s="19">
        <v>138.6</v>
      </c>
      <c r="J721" s="19">
        <v>2772</v>
      </c>
    </row>
    <row r="722" ht="26.75" spans="1:10">
      <c r="A722" s="18" t="s">
        <v>2037</v>
      </c>
      <c r="B722" s="19" t="s">
        <v>1878</v>
      </c>
      <c r="C722" s="19" t="s">
        <v>1593</v>
      </c>
      <c r="D722" s="19" t="s">
        <v>1850</v>
      </c>
      <c r="E722" s="19" t="s">
        <v>1851</v>
      </c>
      <c r="F722" s="19" t="s">
        <v>1868</v>
      </c>
      <c r="G722" s="19" t="s">
        <v>1869</v>
      </c>
      <c r="H722" s="19">
        <v>6</v>
      </c>
      <c r="I722" s="19">
        <v>3119.62</v>
      </c>
      <c r="J722" s="19">
        <v>18717.72</v>
      </c>
    </row>
    <row r="723" ht="15.25" spans="1:10">
      <c r="A723" s="18" t="s">
        <v>2062</v>
      </c>
      <c r="B723" s="19" t="s">
        <v>1871</v>
      </c>
      <c r="C723" s="19" t="s">
        <v>1626</v>
      </c>
      <c r="D723" s="19" t="s">
        <v>1857</v>
      </c>
      <c r="E723" s="19" t="s">
        <v>1858</v>
      </c>
      <c r="F723" s="19" t="s">
        <v>1876</v>
      </c>
      <c r="G723" s="19" t="s">
        <v>1930</v>
      </c>
      <c r="H723" s="19">
        <v>1</v>
      </c>
      <c r="I723" s="19">
        <v>4175.7</v>
      </c>
      <c r="J723" s="19">
        <v>4175.7</v>
      </c>
    </row>
    <row r="724" ht="15.25" spans="1:10">
      <c r="A724" s="18" t="s">
        <v>1870</v>
      </c>
      <c r="B724" s="19" t="s">
        <v>1892</v>
      </c>
      <c r="C724" s="19" t="s">
        <v>1903</v>
      </c>
      <c r="D724" s="19" t="s">
        <v>1884</v>
      </c>
      <c r="E724" s="19" t="s">
        <v>1895</v>
      </c>
      <c r="F724" s="19" t="s">
        <v>1859</v>
      </c>
      <c r="G724" s="19" t="s">
        <v>1922</v>
      </c>
      <c r="H724" s="19">
        <v>17</v>
      </c>
      <c r="I724" s="19">
        <v>2655.23</v>
      </c>
      <c r="J724" s="19">
        <v>45138.91</v>
      </c>
    </row>
    <row r="725" ht="15.25" spans="1:10">
      <c r="A725" s="18">
        <v>44967</v>
      </c>
      <c r="B725" s="19" t="s">
        <v>1889</v>
      </c>
      <c r="C725" s="19" t="s">
        <v>1589</v>
      </c>
      <c r="D725" s="19" t="s">
        <v>1884</v>
      </c>
      <c r="E725" s="19" t="s">
        <v>1895</v>
      </c>
      <c r="F725" s="19" t="s">
        <v>1868</v>
      </c>
      <c r="G725" s="19" t="s">
        <v>1917</v>
      </c>
      <c r="H725" s="19">
        <v>14</v>
      </c>
      <c r="I725" s="19">
        <v>4235.22</v>
      </c>
      <c r="J725" s="19">
        <v>59293.08</v>
      </c>
    </row>
    <row r="726" ht="15.25" spans="1:10">
      <c r="A726" s="18" t="s">
        <v>2039</v>
      </c>
      <c r="B726" s="19" t="s">
        <v>1848</v>
      </c>
      <c r="C726" s="19" t="s">
        <v>1894</v>
      </c>
      <c r="D726" s="19" t="s">
        <v>1884</v>
      </c>
      <c r="E726" s="19" t="s">
        <v>1895</v>
      </c>
      <c r="F726" s="19" t="s">
        <v>1859</v>
      </c>
      <c r="G726" s="19" t="s">
        <v>1922</v>
      </c>
      <c r="H726" s="19">
        <v>20</v>
      </c>
      <c r="I726" s="19">
        <v>3393.01</v>
      </c>
      <c r="J726" s="19">
        <v>67860.2</v>
      </c>
    </row>
    <row r="727" ht="15.25" spans="1:10">
      <c r="A727" s="18">
        <v>44961</v>
      </c>
      <c r="B727" s="19" t="s">
        <v>1889</v>
      </c>
      <c r="C727" s="19" t="s">
        <v>1875</v>
      </c>
      <c r="D727" s="19" t="s">
        <v>1862</v>
      </c>
      <c r="E727" s="19" t="s">
        <v>1858</v>
      </c>
      <c r="F727" s="19" t="s">
        <v>1876</v>
      </c>
      <c r="G727" s="19" t="s">
        <v>1877</v>
      </c>
      <c r="H727" s="19">
        <v>14</v>
      </c>
      <c r="I727" s="19">
        <v>1247.48</v>
      </c>
      <c r="J727" s="19">
        <v>17464.72</v>
      </c>
    </row>
    <row r="728" ht="15.25" spans="1:10">
      <c r="A728" s="18">
        <v>45054</v>
      </c>
      <c r="B728" s="19" t="s">
        <v>1892</v>
      </c>
      <c r="C728" s="19" t="s">
        <v>1610</v>
      </c>
      <c r="D728" s="19" t="s">
        <v>1879</v>
      </c>
      <c r="E728" s="19" t="s">
        <v>1851</v>
      </c>
      <c r="F728" s="19" t="s">
        <v>1865</v>
      </c>
      <c r="G728" s="19" t="s">
        <v>1866</v>
      </c>
      <c r="H728" s="19">
        <v>20</v>
      </c>
      <c r="I728" s="19">
        <v>4428.59</v>
      </c>
      <c r="J728" s="19">
        <v>88571.8</v>
      </c>
    </row>
    <row r="729" ht="15.25" spans="1:10">
      <c r="A729" s="18">
        <v>45058</v>
      </c>
      <c r="B729" s="19" t="s">
        <v>1871</v>
      </c>
      <c r="C729" s="19" t="s">
        <v>1626</v>
      </c>
      <c r="D729" s="19" t="s">
        <v>1857</v>
      </c>
      <c r="E729" s="19" t="s">
        <v>1858</v>
      </c>
      <c r="F729" s="19" t="s">
        <v>1859</v>
      </c>
      <c r="G729" s="19" t="s">
        <v>1860</v>
      </c>
      <c r="H729" s="19">
        <v>9</v>
      </c>
      <c r="I729" s="19">
        <v>2251.19</v>
      </c>
      <c r="J729" s="19">
        <v>20260.71</v>
      </c>
    </row>
    <row r="730" ht="15.25" spans="1:10">
      <c r="A730" s="18" t="s">
        <v>2102</v>
      </c>
      <c r="B730" s="19" t="s">
        <v>1861</v>
      </c>
      <c r="C730" s="19" t="s">
        <v>1856</v>
      </c>
      <c r="D730" s="19" t="s">
        <v>1857</v>
      </c>
      <c r="E730" s="19" t="s">
        <v>1858</v>
      </c>
      <c r="F730" s="19" t="s">
        <v>1876</v>
      </c>
      <c r="G730" s="19" t="s">
        <v>1926</v>
      </c>
      <c r="H730" s="19">
        <v>19</v>
      </c>
      <c r="I730" s="19">
        <v>2240.89</v>
      </c>
      <c r="J730" s="19">
        <v>42576.91</v>
      </c>
    </row>
    <row r="731" ht="15.25" spans="1:10">
      <c r="A731" s="18">
        <v>45117</v>
      </c>
      <c r="B731" s="19" t="s">
        <v>1874</v>
      </c>
      <c r="C731" s="19" t="s">
        <v>1894</v>
      </c>
      <c r="D731" s="19" t="s">
        <v>1884</v>
      </c>
      <c r="E731" s="19" t="s">
        <v>1895</v>
      </c>
      <c r="F731" s="19" t="s">
        <v>1852</v>
      </c>
      <c r="G731" s="19" t="s">
        <v>1934</v>
      </c>
      <c r="H731" s="19">
        <v>19</v>
      </c>
      <c r="I731" s="19">
        <v>4089.21</v>
      </c>
      <c r="J731" s="19">
        <v>77694.99</v>
      </c>
    </row>
    <row r="732" ht="15.25" spans="1:10">
      <c r="A732" s="18" t="s">
        <v>1989</v>
      </c>
      <c r="B732" s="19" t="s">
        <v>1889</v>
      </c>
      <c r="C732" s="19" t="s">
        <v>1856</v>
      </c>
      <c r="D732" s="19" t="s">
        <v>1857</v>
      </c>
      <c r="E732" s="19" t="s">
        <v>1858</v>
      </c>
      <c r="F732" s="19" t="s">
        <v>1868</v>
      </c>
      <c r="G732" s="19" t="s">
        <v>1899</v>
      </c>
      <c r="H732" s="19">
        <v>6</v>
      </c>
      <c r="I732" s="19">
        <v>4286.28</v>
      </c>
      <c r="J732" s="19">
        <v>25717.68</v>
      </c>
    </row>
    <row r="733" ht="15.25" spans="1:10">
      <c r="A733" s="18" t="s">
        <v>1990</v>
      </c>
      <c r="B733" s="19" t="s">
        <v>1867</v>
      </c>
      <c r="C733" s="19" t="s">
        <v>1864</v>
      </c>
      <c r="D733" s="19" t="s">
        <v>1857</v>
      </c>
      <c r="E733" s="19" t="s">
        <v>1858</v>
      </c>
      <c r="F733" s="19" t="s">
        <v>1876</v>
      </c>
      <c r="G733" s="19" t="s">
        <v>1883</v>
      </c>
      <c r="H733" s="19">
        <v>20</v>
      </c>
      <c r="I733" s="19">
        <v>1316.67</v>
      </c>
      <c r="J733" s="19">
        <v>26333.4</v>
      </c>
    </row>
    <row r="734" ht="15.25" spans="1:10">
      <c r="A734" s="18" t="s">
        <v>2064</v>
      </c>
      <c r="B734" s="19" t="s">
        <v>1889</v>
      </c>
      <c r="C734" s="19" t="s">
        <v>1898</v>
      </c>
      <c r="D734" s="19" t="s">
        <v>1879</v>
      </c>
      <c r="E734" s="19" t="s">
        <v>1851</v>
      </c>
      <c r="F734" s="19" t="s">
        <v>1865</v>
      </c>
      <c r="G734" s="19" t="s">
        <v>1920</v>
      </c>
      <c r="H734" s="19">
        <v>17</v>
      </c>
      <c r="I734" s="19">
        <v>3145.73</v>
      </c>
      <c r="J734" s="19">
        <v>53477.41</v>
      </c>
    </row>
    <row r="735" ht="26.75" spans="1:10">
      <c r="A735" s="18" t="s">
        <v>2002</v>
      </c>
      <c r="B735" s="19" t="s">
        <v>1889</v>
      </c>
      <c r="C735" s="19" t="s">
        <v>1598</v>
      </c>
      <c r="D735" s="19" t="s">
        <v>1850</v>
      </c>
      <c r="E735" s="19" t="s">
        <v>1851</v>
      </c>
      <c r="F735" s="19" t="s">
        <v>1865</v>
      </c>
      <c r="G735" s="19" t="s">
        <v>1886</v>
      </c>
      <c r="H735" s="19">
        <v>10</v>
      </c>
      <c r="I735" s="19">
        <v>2523.59</v>
      </c>
      <c r="J735" s="19">
        <v>25235.9</v>
      </c>
    </row>
    <row r="736" ht="15.25" spans="1:10">
      <c r="A736" s="18" t="s">
        <v>2068</v>
      </c>
      <c r="B736" s="19" t="s">
        <v>1861</v>
      </c>
      <c r="C736" s="19" t="s">
        <v>1903</v>
      </c>
      <c r="D736" s="19" t="s">
        <v>1884</v>
      </c>
      <c r="E736" s="19" t="s">
        <v>1895</v>
      </c>
      <c r="F736" s="19" t="s">
        <v>1859</v>
      </c>
      <c r="G736" s="19" t="s">
        <v>1860</v>
      </c>
      <c r="H736" s="19">
        <v>2</v>
      </c>
      <c r="I736" s="19">
        <v>2851.64</v>
      </c>
      <c r="J736" s="19">
        <v>5703.28</v>
      </c>
    </row>
    <row r="737" ht="26.75" spans="1:10">
      <c r="A737" s="18" t="s">
        <v>2050</v>
      </c>
      <c r="B737" s="19" t="s">
        <v>1889</v>
      </c>
      <c r="C737" s="19" t="s">
        <v>1598</v>
      </c>
      <c r="D737" s="19" t="s">
        <v>1850</v>
      </c>
      <c r="E737" s="19" t="s">
        <v>1851</v>
      </c>
      <c r="F737" s="19" t="s">
        <v>1859</v>
      </c>
      <c r="G737" s="19" t="s">
        <v>1860</v>
      </c>
      <c r="H737" s="19">
        <v>20</v>
      </c>
      <c r="I737" s="19">
        <v>3193.18</v>
      </c>
      <c r="J737" s="19">
        <v>63863.6</v>
      </c>
    </row>
    <row r="738" ht="15.25" spans="1:10">
      <c r="A738" s="18" t="s">
        <v>2004</v>
      </c>
      <c r="B738" s="19" t="s">
        <v>1861</v>
      </c>
      <c r="C738" s="19" t="s">
        <v>1589</v>
      </c>
      <c r="D738" s="19" t="s">
        <v>1884</v>
      </c>
      <c r="E738" s="19" t="s">
        <v>1895</v>
      </c>
      <c r="F738" s="19" t="s">
        <v>1865</v>
      </c>
      <c r="G738" s="19" t="s">
        <v>1886</v>
      </c>
      <c r="H738" s="19">
        <v>8</v>
      </c>
      <c r="I738" s="19">
        <v>4663.82</v>
      </c>
      <c r="J738" s="19">
        <v>37310.56</v>
      </c>
    </row>
    <row r="739" ht="26.75" spans="1:10">
      <c r="A739" s="18">
        <v>44938</v>
      </c>
      <c r="B739" s="19" t="s">
        <v>1874</v>
      </c>
      <c r="C739" s="19" t="s">
        <v>1593</v>
      </c>
      <c r="D739" s="19" t="s">
        <v>1850</v>
      </c>
      <c r="E739" s="19" t="s">
        <v>1851</v>
      </c>
      <c r="F739" s="19" t="s">
        <v>1859</v>
      </c>
      <c r="G739" s="19" t="s">
        <v>1947</v>
      </c>
      <c r="H739" s="19">
        <v>13</v>
      </c>
      <c r="I739" s="19">
        <v>4263.79</v>
      </c>
      <c r="J739" s="19">
        <v>55429.27</v>
      </c>
    </row>
    <row r="740" ht="15.25" spans="1:10">
      <c r="A740" s="18" t="s">
        <v>2047</v>
      </c>
      <c r="B740" s="19" t="s">
        <v>1902</v>
      </c>
      <c r="C740" s="19" t="s">
        <v>1864</v>
      </c>
      <c r="D740" s="19" t="s">
        <v>1857</v>
      </c>
      <c r="E740" s="19" t="s">
        <v>1858</v>
      </c>
      <c r="F740" s="19" t="s">
        <v>1852</v>
      </c>
      <c r="G740" s="19" t="s">
        <v>1950</v>
      </c>
      <c r="H740" s="19">
        <v>11</v>
      </c>
      <c r="I740" s="19">
        <v>819.85</v>
      </c>
      <c r="J740" s="19">
        <v>9018.35</v>
      </c>
    </row>
    <row r="741" ht="15.25" spans="1:10">
      <c r="A741" s="18" t="s">
        <v>2103</v>
      </c>
      <c r="B741" s="19" t="s">
        <v>1892</v>
      </c>
      <c r="C741" s="19" t="s">
        <v>1864</v>
      </c>
      <c r="D741" s="19" t="s">
        <v>1857</v>
      </c>
      <c r="E741" s="19" t="s">
        <v>1858</v>
      </c>
      <c r="F741" s="19" t="s">
        <v>1876</v>
      </c>
      <c r="G741" s="19" t="s">
        <v>1930</v>
      </c>
      <c r="H741" s="19">
        <v>8</v>
      </c>
      <c r="I741" s="19">
        <v>2784.08</v>
      </c>
      <c r="J741" s="19">
        <v>22272.64</v>
      </c>
    </row>
    <row r="742" ht="15.25" spans="1:10">
      <c r="A742" s="18" t="s">
        <v>2008</v>
      </c>
      <c r="B742" s="19" t="s">
        <v>1889</v>
      </c>
      <c r="C742" s="19" t="s">
        <v>1626</v>
      </c>
      <c r="D742" s="19" t="s">
        <v>1857</v>
      </c>
      <c r="E742" s="19" t="s">
        <v>1858</v>
      </c>
      <c r="F742" s="19" t="s">
        <v>1865</v>
      </c>
      <c r="G742" s="19" t="s">
        <v>1890</v>
      </c>
      <c r="H742" s="19">
        <v>8</v>
      </c>
      <c r="I742" s="19">
        <v>2240.22</v>
      </c>
      <c r="J742" s="19">
        <v>17921.76</v>
      </c>
    </row>
    <row r="743" ht="15.25" spans="1:10">
      <c r="A743" s="18">
        <v>45089</v>
      </c>
      <c r="B743" s="19" t="s">
        <v>1855</v>
      </c>
      <c r="C743" s="19" t="s">
        <v>1626</v>
      </c>
      <c r="D743" s="19" t="s">
        <v>1857</v>
      </c>
      <c r="E743" s="19" t="s">
        <v>1858</v>
      </c>
      <c r="F743" s="19" t="s">
        <v>1876</v>
      </c>
      <c r="G743" s="19" t="s">
        <v>1877</v>
      </c>
      <c r="H743" s="19">
        <v>18</v>
      </c>
      <c r="I743" s="19">
        <v>1039.38</v>
      </c>
      <c r="J743" s="19">
        <v>18708.84</v>
      </c>
    </row>
    <row r="744" ht="15.25" spans="1:10">
      <c r="A744" s="18">
        <v>45118</v>
      </c>
      <c r="B744" s="19" t="s">
        <v>1867</v>
      </c>
      <c r="C744" s="19" t="s">
        <v>1898</v>
      </c>
      <c r="D744" s="19" t="s">
        <v>1879</v>
      </c>
      <c r="E744" s="19" t="s">
        <v>1851</v>
      </c>
      <c r="F744" s="19" t="s">
        <v>1868</v>
      </c>
      <c r="G744" s="19" t="s">
        <v>1899</v>
      </c>
      <c r="H744" s="19">
        <v>18</v>
      </c>
      <c r="I744" s="19">
        <v>1297.93</v>
      </c>
      <c r="J744" s="19">
        <v>23362.74</v>
      </c>
    </row>
    <row r="745" ht="26.75" spans="1:10">
      <c r="A745" s="18">
        <v>45047</v>
      </c>
      <c r="B745" s="19" t="s">
        <v>1902</v>
      </c>
      <c r="C745" s="19" t="s">
        <v>1593</v>
      </c>
      <c r="D745" s="19" t="s">
        <v>1850</v>
      </c>
      <c r="E745" s="19" t="s">
        <v>1851</v>
      </c>
      <c r="F745" s="19" t="s">
        <v>1852</v>
      </c>
      <c r="G745" s="19" t="s">
        <v>1934</v>
      </c>
      <c r="H745" s="19">
        <v>4</v>
      </c>
      <c r="I745" s="19">
        <v>4293.74</v>
      </c>
      <c r="J745" s="19">
        <v>17174.96</v>
      </c>
    </row>
    <row r="746" ht="15.25" spans="1:10">
      <c r="A746" s="18" t="s">
        <v>2104</v>
      </c>
      <c r="B746" s="19" t="s">
        <v>1871</v>
      </c>
      <c r="C746" s="19" t="s">
        <v>1589</v>
      </c>
      <c r="D746" s="19" t="s">
        <v>1884</v>
      </c>
      <c r="E746" s="19" t="s">
        <v>1895</v>
      </c>
      <c r="F746" s="19" t="s">
        <v>1876</v>
      </c>
      <c r="G746" s="19" t="s">
        <v>1877</v>
      </c>
      <c r="H746" s="19">
        <v>11</v>
      </c>
      <c r="I746" s="19">
        <v>2133.36</v>
      </c>
      <c r="J746" s="19">
        <v>23466.96</v>
      </c>
    </row>
    <row r="747" ht="15.25" spans="1:10">
      <c r="A747" s="18" t="s">
        <v>1962</v>
      </c>
      <c r="B747" s="19" t="s">
        <v>1848</v>
      </c>
      <c r="C747" s="19" t="s">
        <v>1602</v>
      </c>
      <c r="D747" s="19" t="s">
        <v>1862</v>
      </c>
      <c r="E747" s="19" t="s">
        <v>1858</v>
      </c>
      <c r="F747" s="19" t="s">
        <v>1868</v>
      </c>
      <c r="G747" s="19" t="s">
        <v>1907</v>
      </c>
      <c r="H747" s="19">
        <v>11</v>
      </c>
      <c r="I747" s="19">
        <v>735.74</v>
      </c>
      <c r="J747" s="19">
        <v>8093.14</v>
      </c>
    </row>
    <row r="748" ht="15.25" spans="1:10">
      <c r="A748" s="18">
        <v>45141</v>
      </c>
      <c r="B748" s="19" t="s">
        <v>1861</v>
      </c>
      <c r="C748" s="19" t="s">
        <v>1894</v>
      </c>
      <c r="D748" s="19" t="s">
        <v>1884</v>
      </c>
      <c r="E748" s="19" t="s">
        <v>1895</v>
      </c>
      <c r="F748" s="19" t="s">
        <v>1865</v>
      </c>
      <c r="G748" s="19" t="s">
        <v>1866</v>
      </c>
      <c r="H748" s="19">
        <v>14</v>
      </c>
      <c r="I748" s="19">
        <v>271.27</v>
      </c>
      <c r="J748" s="19">
        <v>3797.78</v>
      </c>
    </row>
    <row r="749" ht="15.25" spans="1:10">
      <c r="A749" s="18">
        <v>45210</v>
      </c>
      <c r="B749" s="19" t="s">
        <v>1861</v>
      </c>
      <c r="C749" s="19" t="s">
        <v>1602</v>
      </c>
      <c r="D749" s="19" t="s">
        <v>1862</v>
      </c>
      <c r="E749" s="19" t="s">
        <v>1858</v>
      </c>
      <c r="F749" s="19" t="s">
        <v>1852</v>
      </c>
      <c r="G749" s="19" t="s">
        <v>1853</v>
      </c>
      <c r="H749" s="19">
        <v>5</v>
      </c>
      <c r="I749" s="19">
        <v>4759.19</v>
      </c>
      <c r="J749" s="19">
        <v>23795.95</v>
      </c>
    </row>
    <row r="750" ht="15.25" spans="1:10">
      <c r="A750" s="18">
        <v>45211</v>
      </c>
      <c r="B750" s="19" t="s">
        <v>1855</v>
      </c>
      <c r="C750" s="19" t="s">
        <v>1610</v>
      </c>
      <c r="D750" s="19" t="s">
        <v>1879</v>
      </c>
      <c r="E750" s="19" t="s">
        <v>1851</v>
      </c>
      <c r="F750" s="19" t="s">
        <v>1876</v>
      </c>
      <c r="G750" s="19" t="s">
        <v>1883</v>
      </c>
      <c r="H750" s="19">
        <v>11</v>
      </c>
      <c r="I750" s="19">
        <v>941.97</v>
      </c>
      <c r="J750" s="19">
        <v>10361.67</v>
      </c>
    </row>
    <row r="751" ht="15.25" spans="1:10">
      <c r="A751" s="18">
        <v>45238</v>
      </c>
      <c r="B751" s="19" t="s">
        <v>1855</v>
      </c>
      <c r="C751" s="19" t="s">
        <v>1864</v>
      </c>
      <c r="D751" s="19" t="s">
        <v>1857</v>
      </c>
      <c r="E751" s="19" t="s">
        <v>1858</v>
      </c>
      <c r="F751" s="19" t="s">
        <v>1868</v>
      </c>
      <c r="G751" s="19" t="s">
        <v>1917</v>
      </c>
      <c r="H751" s="19">
        <v>11</v>
      </c>
      <c r="I751" s="19">
        <v>2182.46</v>
      </c>
      <c r="J751" s="19">
        <v>24007.06</v>
      </c>
    </row>
    <row r="752" ht="26.75" spans="1:10">
      <c r="A752" s="18" t="s">
        <v>2091</v>
      </c>
      <c r="B752" s="19" t="s">
        <v>1855</v>
      </c>
      <c r="C752" s="19" t="s">
        <v>1593</v>
      </c>
      <c r="D752" s="19" t="s">
        <v>1850</v>
      </c>
      <c r="E752" s="19" t="s">
        <v>1851</v>
      </c>
      <c r="F752" s="19" t="s">
        <v>1868</v>
      </c>
      <c r="G752" s="19" t="s">
        <v>1907</v>
      </c>
      <c r="H752" s="19">
        <v>10</v>
      </c>
      <c r="I752" s="19">
        <v>2112.91</v>
      </c>
      <c r="J752" s="19">
        <v>21129.1</v>
      </c>
    </row>
    <row r="753" ht="15.25" spans="1:10">
      <c r="A753" s="18">
        <v>45232</v>
      </c>
      <c r="B753" s="19" t="s">
        <v>1867</v>
      </c>
      <c r="C753" s="19" t="s">
        <v>1898</v>
      </c>
      <c r="D753" s="19" t="s">
        <v>1879</v>
      </c>
      <c r="E753" s="19" t="s">
        <v>1851</v>
      </c>
      <c r="F753" s="19" t="s">
        <v>1865</v>
      </c>
      <c r="G753" s="19" t="s">
        <v>1866</v>
      </c>
      <c r="H753" s="19">
        <v>13</v>
      </c>
      <c r="I753" s="19">
        <v>3495.08</v>
      </c>
      <c r="J753" s="19">
        <v>45436.04</v>
      </c>
    </row>
    <row r="754" ht="15.25" spans="1:10">
      <c r="A754" s="18">
        <v>44932</v>
      </c>
      <c r="B754" s="19" t="s">
        <v>1848</v>
      </c>
      <c r="C754" s="19" t="s">
        <v>1903</v>
      </c>
      <c r="D754" s="19" t="s">
        <v>1884</v>
      </c>
      <c r="E754" s="19" t="s">
        <v>1895</v>
      </c>
      <c r="F754" s="19" t="s">
        <v>1868</v>
      </c>
      <c r="G754" s="19" t="s">
        <v>1869</v>
      </c>
      <c r="H754" s="19">
        <v>2</v>
      </c>
      <c r="I754" s="19">
        <v>3439.47</v>
      </c>
      <c r="J754" s="19">
        <v>6878.94</v>
      </c>
    </row>
    <row r="755" ht="15.25" spans="1:10">
      <c r="A755" s="18">
        <v>45231</v>
      </c>
      <c r="B755" s="19" t="s">
        <v>1861</v>
      </c>
      <c r="C755" s="19" t="s">
        <v>1941</v>
      </c>
      <c r="D755" s="19" t="s">
        <v>1879</v>
      </c>
      <c r="E755" s="19" t="s">
        <v>1851</v>
      </c>
      <c r="F755" s="19" t="s">
        <v>1852</v>
      </c>
      <c r="G755" s="19" t="s">
        <v>1853</v>
      </c>
      <c r="H755" s="19">
        <v>20</v>
      </c>
      <c r="I755" s="19">
        <v>3279.25</v>
      </c>
      <c r="J755" s="19">
        <v>65585</v>
      </c>
    </row>
    <row r="756" ht="15.25" spans="1:10">
      <c r="A756" s="18">
        <v>44928</v>
      </c>
      <c r="B756" s="19" t="s">
        <v>1861</v>
      </c>
      <c r="C756" s="19" t="s">
        <v>1589</v>
      </c>
      <c r="D756" s="19" t="s">
        <v>1884</v>
      </c>
      <c r="E756" s="19" t="s">
        <v>1895</v>
      </c>
      <c r="F756" s="19" t="s">
        <v>1852</v>
      </c>
      <c r="G756" s="19" t="s">
        <v>1910</v>
      </c>
      <c r="H756" s="19">
        <v>16</v>
      </c>
      <c r="I756" s="19">
        <v>3320.8</v>
      </c>
      <c r="J756" s="19">
        <v>53132.8</v>
      </c>
    </row>
    <row r="757" ht="26.75" spans="1:10">
      <c r="A757" s="18" t="s">
        <v>2037</v>
      </c>
      <c r="B757" s="19" t="s">
        <v>1861</v>
      </c>
      <c r="C757" s="19" t="s">
        <v>1598</v>
      </c>
      <c r="D757" s="19" t="s">
        <v>1850</v>
      </c>
      <c r="E757" s="19" t="s">
        <v>1851</v>
      </c>
      <c r="F757" s="19" t="s">
        <v>1865</v>
      </c>
      <c r="G757" s="19" t="s">
        <v>1920</v>
      </c>
      <c r="H757" s="19">
        <v>6</v>
      </c>
      <c r="I757" s="19">
        <v>4105.19</v>
      </c>
      <c r="J757" s="19">
        <v>24631.14</v>
      </c>
    </row>
    <row r="758" ht="15.25" spans="1:10">
      <c r="A758" s="18" t="s">
        <v>2099</v>
      </c>
      <c r="B758" s="19" t="s">
        <v>1878</v>
      </c>
      <c r="C758" s="19" t="s">
        <v>1903</v>
      </c>
      <c r="D758" s="19" t="s">
        <v>1884</v>
      </c>
      <c r="E758" s="19" t="s">
        <v>1895</v>
      </c>
      <c r="F758" s="19" t="s">
        <v>1868</v>
      </c>
      <c r="G758" s="19" t="s">
        <v>1899</v>
      </c>
      <c r="H758" s="19">
        <v>7</v>
      </c>
      <c r="I758" s="19">
        <v>1830.46</v>
      </c>
      <c r="J758" s="19">
        <v>12813.22</v>
      </c>
    </row>
    <row r="759" ht="15.25" spans="1:10">
      <c r="A759" s="18" t="s">
        <v>2105</v>
      </c>
      <c r="B759" s="19" t="s">
        <v>1855</v>
      </c>
      <c r="C759" s="19" t="s">
        <v>1903</v>
      </c>
      <c r="D759" s="19" t="s">
        <v>1884</v>
      </c>
      <c r="E759" s="19" t="s">
        <v>1895</v>
      </c>
      <c r="F759" s="19" t="s">
        <v>1859</v>
      </c>
      <c r="G759" s="19" t="s">
        <v>1947</v>
      </c>
      <c r="H759" s="19">
        <v>19</v>
      </c>
      <c r="I759" s="19">
        <v>3901.75</v>
      </c>
      <c r="J759" s="19">
        <v>74133.25</v>
      </c>
    </row>
    <row r="760" ht="15.25" spans="1:10">
      <c r="A760" s="18" t="s">
        <v>2106</v>
      </c>
      <c r="B760" s="19" t="s">
        <v>1855</v>
      </c>
      <c r="C760" s="19" t="s">
        <v>1856</v>
      </c>
      <c r="D760" s="19" t="s">
        <v>1857</v>
      </c>
      <c r="E760" s="19" t="s">
        <v>1858</v>
      </c>
      <c r="F760" s="19" t="s">
        <v>1868</v>
      </c>
      <c r="G760" s="19" t="s">
        <v>1869</v>
      </c>
      <c r="H760" s="19">
        <v>10</v>
      </c>
      <c r="I760" s="19">
        <v>3031.91</v>
      </c>
      <c r="J760" s="19">
        <v>30319.1</v>
      </c>
    </row>
    <row r="761" ht="26.75" spans="1:10">
      <c r="A761" s="18">
        <v>45116</v>
      </c>
      <c r="B761" s="19" t="s">
        <v>1874</v>
      </c>
      <c r="C761" s="19" t="s">
        <v>1849</v>
      </c>
      <c r="D761" s="19" t="s">
        <v>1850</v>
      </c>
      <c r="E761" s="19" t="s">
        <v>1851</v>
      </c>
      <c r="F761" s="19" t="s">
        <v>1859</v>
      </c>
      <c r="G761" s="19" t="s">
        <v>1860</v>
      </c>
      <c r="H761" s="19">
        <v>18</v>
      </c>
      <c r="I761" s="19">
        <v>3575.04</v>
      </c>
      <c r="J761" s="19">
        <v>64350.72</v>
      </c>
    </row>
    <row r="762" ht="15.25" spans="1:10">
      <c r="A762" s="18">
        <v>44935</v>
      </c>
      <c r="B762" s="19" t="s">
        <v>1878</v>
      </c>
      <c r="C762" s="19" t="s">
        <v>1602</v>
      </c>
      <c r="D762" s="19" t="s">
        <v>1862</v>
      </c>
      <c r="E762" s="19" t="s">
        <v>1858</v>
      </c>
      <c r="F762" s="19" t="s">
        <v>1868</v>
      </c>
      <c r="G762" s="19" t="s">
        <v>1907</v>
      </c>
      <c r="H762" s="19">
        <v>17</v>
      </c>
      <c r="I762" s="19">
        <v>2920.06</v>
      </c>
      <c r="J762" s="19">
        <v>49641.02</v>
      </c>
    </row>
    <row r="763" ht="26.75" spans="1:10">
      <c r="A763" s="18" t="s">
        <v>2096</v>
      </c>
      <c r="B763" s="19" t="s">
        <v>1889</v>
      </c>
      <c r="C763" s="19" t="s">
        <v>1593</v>
      </c>
      <c r="D763" s="19" t="s">
        <v>1850</v>
      </c>
      <c r="E763" s="19" t="s">
        <v>1851</v>
      </c>
      <c r="F763" s="19" t="s">
        <v>1876</v>
      </c>
      <c r="G763" s="19" t="s">
        <v>1930</v>
      </c>
      <c r="H763" s="19">
        <v>15</v>
      </c>
      <c r="I763" s="19">
        <v>2796.48</v>
      </c>
      <c r="J763" s="19">
        <v>41947.2</v>
      </c>
    </row>
    <row r="764" ht="15.25" spans="1:10">
      <c r="A764" s="18" t="s">
        <v>2107</v>
      </c>
      <c r="B764" s="19" t="s">
        <v>1871</v>
      </c>
      <c r="C764" s="19" t="s">
        <v>1626</v>
      </c>
      <c r="D764" s="19" t="s">
        <v>1857</v>
      </c>
      <c r="E764" s="19" t="s">
        <v>1858</v>
      </c>
      <c r="F764" s="19" t="s">
        <v>1876</v>
      </c>
      <c r="G764" s="19" t="s">
        <v>1883</v>
      </c>
      <c r="H764" s="19">
        <v>1</v>
      </c>
      <c r="I764" s="19">
        <v>2918.29</v>
      </c>
      <c r="J764" s="19">
        <v>2918.29</v>
      </c>
    </row>
    <row r="765" ht="15.25" spans="1:10">
      <c r="A765" s="18" t="s">
        <v>2108</v>
      </c>
      <c r="B765" s="19" t="s">
        <v>1878</v>
      </c>
      <c r="C765" s="19" t="s">
        <v>1610</v>
      </c>
      <c r="D765" s="19" t="s">
        <v>1879</v>
      </c>
      <c r="E765" s="19" t="s">
        <v>1851</v>
      </c>
      <c r="F765" s="19" t="s">
        <v>1852</v>
      </c>
      <c r="G765" s="19" t="s">
        <v>1910</v>
      </c>
      <c r="H765" s="19">
        <v>10</v>
      </c>
      <c r="I765" s="19">
        <v>1097.83</v>
      </c>
      <c r="J765" s="19">
        <v>10978.3</v>
      </c>
    </row>
    <row r="766" ht="26.75" spans="1:10">
      <c r="A766" s="18">
        <v>45262</v>
      </c>
      <c r="B766" s="19" t="s">
        <v>1848</v>
      </c>
      <c r="C766" s="19" t="s">
        <v>1593</v>
      </c>
      <c r="D766" s="19" t="s">
        <v>1850</v>
      </c>
      <c r="E766" s="19" t="s">
        <v>1851</v>
      </c>
      <c r="F766" s="19" t="s">
        <v>1865</v>
      </c>
      <c r="G766" s="19" t="s">
        <v>1890</v>
      </c>
      <c r="H766" s="19">
        <v>10</v>
      </c>
      <c r="I766" s="19">
        <v>3391.5</v>
      </c>
      <c r="J766" s="19">
        <v>33915</v>
      </c>
    </row>
    <row r="767" ht="15.25" spans="1:10">
      <c r="A767" s="18">
        <v>45176</v>
      </c>
      <c r="B767" s="19" t="s">
        <v>1892</v>
      </c>
      <c r="C767" s="19" t="s">
        <v>1589</v>
      </c>
      <c r="D767" s="19" t="s">
        <v>1884</v>
      </c>
      <c r="E767" s="19" t="s">
        <v>1895</v>
      </c>
      <c r="F767" s="19" t="s">
        <v>1868</v>
      </c>
      <c r="G767" s="19" t="s">
        <v>1907</v>
      </c>
      <c r="H767" s="19">
        <v>13</v>
      </c>
      <c r="I767" s="19">
        <v>2225.88</v>
      </c>
      <c r="J767" s="19">
        <v>28936.44</v>
      </c>
    </row>
    <row r="768" ht="26.75" spans="1:10">
      <c r="A768" s="18">
        <v>45058</v>
      </c>
      <c r="B768" s="19" t="s">
        <v>1874</v>
      </c>
      <c r="C768" s="19" t="s">
        <v>1598</v>
      </c>
      <c r="D768" s="19" t="s">
        <v>1850</v>
      </c>
      <c r="E768" s="19" t="s">
        <v>1851</v>
      </c>
      <c r="F768" s="19" t="s">
        <v>1865</v>
      </c>
      <c r="G768" s="19" t="s">
        <v>1890</v>
      </c>
      <c r="H768" s="19">
        <v>2</v>
      </c>
      <c r="I768" s="19">
        <v>1559.76</v>
      </c>
      <c r="J768" s="19">
        <v>3119.52</v>
      </c>
    </row>
    <row r="769" ht="15.25" spans="1:10">
      <c r="A769" s="18" t="s">
        <v>1987</v>
      </c>
      <c r="B769" s="19" t="s">
        <v>1861</v>
      </c>
      <c r="C769" s="19" t="s">
        <v>1941</v>
      </c>
      <c r="D769" s="19" t="s">
        <v>1879</v>
      </c>
      <c r="E769" s="19" t="s">
        <v>1851</v>
      </c>
      <c r="F769" s="19" t="s">
        <v>1868</v>
      </c>
      <c r="G769" s="19" t="s">
        <v>1899</v>
      </c>
      <c r="H769" s="19">
        <v>13</v>
      </c>
      <c r="I769" s="19">
        <v>4719.96</v>
      </c>
      <c r="J769" s="19">
        <v>61359.48</v>
      </c>
    </row>
    <row r="770" ht="15.25" spans="1:10">
      <c r="A770" s="18" t="s">
        <v>2109</v>
      </c>
      <c r="B770" s="19" t="s">
        <v>1902</v>
      </c>
      <c r="C770" s="19" t="s">
        <v>1602</v>
      </c>
      <c r="D770" s="19" t="s">
        <v>1862</v>
      </c>
      <c r="E770" s="19" t="s">
        <v>1858</v>
      </c>
      <c r="F770" s="19" t="s">
        <v>1859</v>
      </c>
      <c r="G770" s="19" t="s">
        <v>1872</v>
      </c>
      <c r="H770" s="19">
        <v>5</v>
      </c>
      <c r="I770" s="19">
        <v>1593.02</v>
      </c>
      <c r="J770" s="19">
        <v>7965.1</v>
      </c>
    </row>
    <row r="771" ht="15.25" spans="1:10">
      <c r="A771" s="18" t="s">
        <v>1928</v>
      </c>
      <c r="B771" s="19" t="s">
        <v>1871</v>
      </c>
      <c r="C771" s="19" t="s">
        <v>1626</v>
      </c>
      <c r="D771" s="19" t="s">
        <v>1857</v>
      </c>
      <c r="E771" s="19" t="s">
        <v>1858</v>
      </c>
      <c r="F771" s="19" t="s">
        <v>1865</v>
      </c>
      <c r="G771" s="19" t="s">
        <v>1866</v>
      </c>
      <c r="H771" s="19">
        <v>7</v>
      </c>
      <c r="I771" s="19">
        <v>1233.63</v>
      </c>
      <c r="J771" s="19">
        <v>8635.41</v>
      </c>
    </row>
    <row r="772" ht="15.25" spans="1:10">
      <c r="A772" s="18" t="s">
        <v>1980</v>
      </c>
      <c r="B772" s="19" t="s">
        <v>1867</v>
      </c>
      <c r="C772" s="19" t="s">
        <v>1864</v>
      </c>
      <c r="D772" s="19" t="s">
        <v>1857</v>
      </c>
      <c r="E772" s="19" t="s">
        <v>1858</v>
      </c>
      <c r="F772" s="19" t="s">
        <v>1876</v>
      </c>
      <c r="G772" s="19" t="s">
        <v>1926</v>
      </c>
      <c r="H772" s="19">
        <v>2</v>
      </c>
      <c r="I772" s="19">
        <v>2261.69</v>
      </c>
      <c r="J772" s="19">
        <v>4523.38</v>
      </c>
    </row>
    <row r="773" ht="15.25" spans="1:10">
      <c r="A773" s="18">
        <v>45235</v>
      </c>
      <c r="B773" s="19" t="s">
        <v>1878</v>
      </c>
      <c r="C773" s="19" t="s">
        <v>1856</v>
      </c>
      <c r="D773" s="19" t="s">
        <v>1857</v>
      </c>
      <c r="E773" s="19" t="s">
        <v>1858</v>
      </c>
      <c r="F773" s="19" t="s">
        <v>1868</v>
      </c>
      <c r="G773" s="19" t="s">
        <v>1907</v>
      </c>
      <c r="H773" s="19">
        <v>15</v>
      </c>
      <c r="I773" s="19">
        <v>1197.31</v>
      </c>
      <c r="J773" s="19">
        <v>17959.65</v>
      </c>
    </row>
    <row r="774" ht="15.25" spans="1:10">
      <c r="A774" s="18">
        <v>45173</v>
      </c>
      <c r="B774" s="19" t="s">
        <v>1855</v>
      </c>
      <c r="C774" s="19" t="s">
        <v>1875</v>
      </c>
      <c r="D774" s="19" t="s">
        <v>1862</v>
      </c>
      <c r="E774" s="19" t="s">
        <v>1858</v>
      </c>
      <c r="F774" s="19" t="s">
        <v>1859</v>
      </c>
      <c r="G774" s="19" t="s">
        <v>1872</v>
      </c>
      <c r="H774" s="19">
        <v>9</v>
      </c>
      <c r="I774" s="19">
        <v>3441.09</v>
      </c>
      <c r="J774" s="19">
        <v>30969.81</v>
      </c>
    </row>
    <row r="775" ht="15.25" spans="1:10">
      <c r="A775" s="18" t="s">
        <v>2053</v>
      </c>
      <c r="B775" s="19" t="s">
        <v>1855</v>
      </c>
      <c r="C775" s="19" t="s">
        <v>1589</v>
      </c>
      <c r="D775" s="19" t="s">
        <v>1884</v>
      </c>
      <c r="E775" s="19" t="s">
        <v>1895</v>
      </c>
      <c r="F775" s="19" t="s">
        <v>1852</v>
      </c>
      <c r="G775" s="19" t="s">
        <v>1934</v>
      </c>
      <c r="H775" s="19">
        <v>2</v>
      </c>
      <c r="I775" s="19">
        <v>3325.99</v>
      </c>
      <c r="J775" s="19">
        <v>6651.98</v>
      </c>
    </row>
    <row r="776" ht="26.75" spans="1:10">
      <c r="A776" s="18" t="s">
        <v>2075</v>
      </c>
      <c r="B776" s="19" t="s">
        <v>1902</v>
      </c>
      <c r="C776" s="19" t="s">
        <v>1593</v>
      </c>
      <c r="D776" s="19" t="s">
        <v>1850</v>
      </c>
      <c r="E776" s="19" t="s">
        <v>1851</v>
      </c>
      <c r="F776" s="19" t="s">
        <v>1865</v>
      </c>
      <c r="G776" s="19" t="s">
        <v>1866</v>
      </c>
      <c r="H776" s="19">
        <v>2</v>
      </c>
      <c r="I776" s="19">
        <v>991.8</v>
      </c>
      <c r="J776" s="19">
        <v>1983.6</v>
      </c>
    </row>
    <row r="777" ht="15.25" spans="1:10">
      <c r="A777" s="18" t="s">
        <v>2097</v>
      </c>
      <c r="B777" s="19" t="s">
        <v>1892</v>
      </c>
      <c r="C777" s="19" t="s">
        <v>1589</v>
      </c>
      <c r="D777" s="19" t="s">
        <v>1884</v>
      </c>
      <c r="E777" s="19" t="s">
        <v>1895</v>
      </c>
      <c r="F777" s="19" t="s">
        <v>1868</v>
      </c>
      <c r="G777" s="19" t="s">
        <v>1869</v>
      </c>
      <c r="H777" s="19">
        <v>9</v>
      </c>
      <c r="I777" s="19">
        <v>4763.01</v>
      </c>
      <c r="J777" s="19">
        <v>42867.09</v>
      </c>
    </row>
    <row r="778" ht="15.25" spans="1:10">
      <c r="A778" s="18" t="s">
        <v>1983</v>
      </c>
      <c r="B778" s="19" t="s">
        <v>1889</v>
      </c>
      <c r="C778" s="19" t="s">
        <v>1941</v>
      </c>
      <c r="D778" s="19" t="s">
        <v>1879</v>
      </c>
      <c r="E778" s="19" t="s">
        <v>1851</v>
      </c>
      <c r="F778" s="19" t="s">
        <v>1865</v>
      </c>
      <c r="G778" s="19" t="s">
        <v>1920</v>
      </c>
      <c r="H778" s="19">
        <v>8</v>
      </c>
      <c r="I778" s="19">
        <v>826.71</v>
      </c>
      <c r="J778" s="19">
        <v>6613.68</v>
      </c>
    </row>
    <row r="779" ht="15.25" spans="1:10">
      <c r="A779" s="18" t="s">
        <v>1880</v>
      </c>
      <c r="B779" s="19" t="s">
        <v>1848</v>
      </c>
      <c r="C779" s="19" t="s">
        <v>1602</v>
      </c>
      <c r="D779" s="19" t="s">
        <v>1862</v>
      </c>
      <c r="E779" s="19" t="s">
        <v>1858</v>
      </c>
      <c r="F779" s="19" t="s">
        <v>1868</v>
      </c>
      <c r="G779" s="19" t="s">
        <v>1917</v>
      </c>
      <c r="H779" s="19">
        <v>9</v>
      </c>
      <c r="I779" s="19">
        <v>209.57</v>
      </c>
      <c r="J779" s="19">
        <v>1886.13</v>
      </c>
    </row>
    <row r="780" ht="15.25" spans="1:10">
      <c r="A780" s="18" t="s">
        <v>2024</v>
      </c>
      <c r="B780" s="19" t="s">
        <v>1871</v>
      </c>
      <c r="C780" s="19" t="s">
        <v>1602</v>
      </c>
      <c r="D780" s="19" t="s">
        <v>1862</v>
      </c>
      <c r="E780" s="19" t="s">
        <v>1858</v>
      </c>
      <c r="F780" s="19" t="s">
        <v>1876</v>
      </c>
      <c r="G780" s="19" t="s">
        <v>1877</v>
      </c>
      <c r="H780" s="19">
        <v>7</v>
      </c>
      <c r="I780" s="19">
        <v>2538.43</v>
      </c>
      <c r="J780" s="19">
        <v>17769.01</v>
      </c>
    </row>
    <row r="781" ht="15.25" spans="1:10">
      <c r="A781" s="18" t="s">
        <v>2065</v>
      </c>
      <c r="B781" s="19" t="s">
        <v>1867</v>
      </c>
      <c r="C781" s="19" t="s">
        <v>1898</v>
      </c>
      <c r="D781" s="19" t="s">
        <v>1879</v>
      </c>
      <c r="E781" s="19" t="s">
        <v>1851</v>
      </c>
      <c r="F781" s="19" t="s">
        <v>1868</v>
      </c>
      <c r="G781" s="19" t="s">
        <v>1907</v>
      </c>
      <c r="H781" s="19">
        <v>7</v>
      </c>
      <c r="I781" s="19">
        <v>4116.98</v>
      </c>
      <c r="J781" s="19">
        <v>28818.86</v>
      </c>
    </row>
    <row r="782" ht="26.75" spans="1:10">
      <c r="A782" s="18">
        <v>44933</v>
      </c>
      <c r="B782" s="19" t="s">
        <v>1855</v>
      </c>
      <c r="C782" s="19" t="s">
        <v>1598</v>
      </c>
      <c r="D782" s="19" t="s">
        <v>1850</v>
      </c>
      <c r="E782" s="19" t="s">
        <v>1851</v>
      </c>
      <c r="F782" s="19" t="s">
        <v>1876</v>
      </c>
      <c r="G782" s="19" t="s">
        <v>1883</v>
      </c>
      <c r="H782" s="19">
        <v>20</v>
      </c>
      <c r="I782" s="19">
        <v>3638.01</v>
      </c>
      <c r="J782" s="19">
        <v>72760.2</v>
      </c>
    </row>
    <row r="783" ht="15.25" spans="1:10">
      <c r="A783" s="18" t="s">
        <v>2105</v>
      </c>
      <c r="B783" s="19" t="s">
        <v>1902</v>
      </c>
      <c r="C783" s="19" t="s">
        <v>1894</v>
      </c>
      <c r="D783" s="19" t="s">
        <v>1884</v>
      </c>
      <c r="E783" s="19" t="s">
        <v>1895</v>
      </c>
      <c r="F783" s="19" t="s">
        <v>1852</v>
      </c>
      <c r="G783" s="19" t="s">
        <v>1934</v>
      </c>
      <c r="H783" s="19">
        <v>8</v>
      </c>
      <c r="I783" s="19">
        <v>4523.44</v>
      </c>
      <c r="J783" s="19">
        <v>36187.52</v>
      </c>
    </row>
    <row r="784" ht="15.25" spans="1:10">
      <c r="A784" s="18" t="s">
        <v>2101</v>
      </c>
      <c r="B784" s="19" t="s">
        <v>1867</v>
      </c>
      <c r="C784" s="19" t="s">
        <v>1589</v>
      </c>
      <c r="D784" s="19" t="s">
        <v>1884</v>
      </c>
      <c r="E784" s="19" t="s">
        <v>1895</v>
      </c>
      <c r="F784" s="19" t="s">
        <v>1852</v>
      </c>
      <c r="G784" s="19" t="s">
        <v>1910</v>
      </c>
      <c r="H784" s="19">
        <v>17</v>
      </c>
      <c r="I784" s="19">
        <v>2042</v>
      </c>
      <c r="J784" s="19">
        <v>34714</v>
      </c>
    </row>
    <row r="785" ht="15.25" spans="1:10">
      <c r="A785" s="18" t="s">
        <v>1975</v>
      </c>
      <c r="B785" s="19" t="s">
        <v>1902</v>
      </c>
      <c r="C785" s="19" t="s">
        <v>1864</v>
      </c>
      <c r="D785" s="19" t="s">
        <v>1857</v>
      </c>
      <c r="E785" s="19" t="s">
        <v>1858</v>
      </c>
      <c r="F785" s="19" t="s">
        <v>1859</v>
      </c>
      <c r="G785" s="19" t="s">
        <v>1860</v>
      </c>
      <c r="H785" s="19">
        <v>19</v>
      </c>
      <c r="I785" s="19">
        <v>2357.62</v>
      </c>
      <c r="J785" s="19">
        <v>44794.78</v>
      </c>
    </row>
    <row r="786" ht="15.25" spans="1:10">
      <c r="A786" s="18">
        <v>45079</v>
      </c>
      <c r="B786" s="19" t="s">
        <v>1861</v>
      </c>
      <c r="C786" s="19" t="s">
        <v>1875</v>
      </c>
      <c r="D786" s="19" t="s">
        <v>1862</v>
      </c>
      <c r="E786" s="19" t="s">
        <v>1858</v>
      </c>
      <c r="F786" s="19" t="s">
        <v>1865</v>
      </c>
      <c r="G786" s="19" t="s">
        <v>1866</v>
      </c>
      <c r="H786" s="19">
        <v>18</v>
      </c>
      <c r="I786" s="19">
        <v>941.19</v>
      </c>
      <c r="J786" s="19">
        <v>16941.42</v>
      </c>
    </row>
    <row r="787" ht="15.25" spans="1:10">
      <c r="A787" s="18">
        <v>45021</v>
      </c>
      <c r="B787" s="19" t="s">
        <v>1892</v>
      </c>
      <c r="C787" s="19" t="s">
        <v>1856</v>
      </c>
      <c r="D787" s="19" t="s">
        <v>1857</v>
      </c>
      <c r="E787" s="19" t="s">
        <v>1858</v>
      </c>
      <c r="F787" s="19" t="s">
        <v>1865</v>
      </c>
      <c r="G787" s="19" t="s">
        <v>1890</v>
      </c>
      <c r="H787" s="19">
        <v>9</v>
      </c>
      <c r="I787" s="19">
        <v>3927.83</v>
      </c>
      <c r="J787" s="19">
        <v>35350.47</v>
      </c>
    </row>
    <row r="788" ht="15.25" spans="1:10">
      <c r="A788" s="18" t="s">
        <v>1998</v>
      </c>
      <c r="B788" s="19" t="s">
        <v>1855</v>
      </c>
      <c r="C788" s="19" t="s">
        <v>1602</v>
      </c>
      <c r="D788" s="19" t="s">
        <v>1862</v>
      </c>
      <c r="E788" s="19" t="s">
        <v>1858</v>
      </c>
      <c r="F788" s="19" t="s">
        <v>1868</v>
      </c>
      <c r="G788" s="19" t="s">
        <v>1907</v>
      </c>
      <c r="H788" s="19">
        <v>1</v>
      </c>
      <c r="I788" s="19">
        <v>4555.42</v>
      </c>
      <c r="J788" s="19">
        <v>4555.42</v>
      </c>
    </row>
    <row r="789" ht="26.75" spans="1:10">
      <c r="A789" s="18" t="s">
        <v>2036</v>
      </c>
      <c r="B789" s="19" t="s">
        <v>1871</v>
      </c>
      <c r="C789" s="19" t="s">
        <v>1849</v>
      </c>
      <c r="D789" s="19" t="s">
        <v>1850</v>
      </c>
      <c r="E789" s="19" t="s">
        <v>1851</v>
      </c>
      <c r="F789" s="19" t="s">
        <v>1865</v>
      </c>
      <c r="G789" s="19" t="s">
        <v>1890</v>
      </c>
      <c r="H789" s="19">
        <v>18</v>
      </c>
      <c r="I789" s="19">
        <v>3271.29</v>
      </c>
      <c r="J789" s="19">
        <v>58883.22</v>
      </c>
    </row>
    <row r="790" ht="15.25" spans="1:10">
      <c r="A790" s="18" t="s">
        <v>1954</v>
      </c>
      <c r="B790" s="19" t="s">
        <v>1848</v>
      </c>
      <c r="C790" s="19" t="s">
        <v>1941</v>
      </c>
      <c r="D790" s="19" t="s">
        <v>1879</v>
      </c>
      <c r="E790" s="19" t="s">
        <v>1851</v>
      </c>
      <c r="F790" s="19" t="s">
        <v>1876</v>
      </c>
      <c r="G790" s="19" t="s">
        <v>1926</v>
      </c>
      <c r="H790" s="19">
        <v>15</v>
      </c>
      <c r="I790" s="19">
        <v>4406.31</v>
      </c>
      <c r="J790" s="19">
        <v>66094.65</v>
      </c>
    </row>
    <row r="791" ht="15.25" spans="1:10">
      <c r="A791" s="18">
        <v>44997</v>
      </c>
      <c r="B791" s="19" t="s">
        <v>1889</v>
      </c>
      <c r="C791" s="19" t="s">
        <v>1898</v>
      </c>
      <c r="D791" s="19" t="s">
        <v>1879</v>
      </c>
      <c r="E791" s="19" t="s">
        <v>1851</v>
      </c>
      <c r="F791" s="19" t="s">
        <v>1859</v>
      </c>
      <c r="G791" s="19" t="s">
        <v>1947</v>
      </c>
      <c r="H791" s="19">
        <v>19</v>
      </c>
      <c r="I791" s="19">
        <v>2016.56</v>
      </c>
      <c r="J791" s="19">
        <v>38314.64</v>
      </c>
    </row>
    <row r="792" ht="15.25" spans="1:10">
      <c r="A792" s="18" t="s">
        <v>2090</v>
      </c>
      <c r="B792" s="19" t="s">
        <v>1889</v>
      </c>
      <c r="C792" s="19" t="s">
        <v>1941</v>
      </c>
      <c r="D792" s="19" t="s">
        <v>1879</v>
      </c>
      <c r="E792" s="19" t="s">
        <v>1851</v>
      </c>
      <c r="F792" s="19" t="s">
        <v>1852</v>
      </c>
      <c r="G792" s="19" t="s">
        <v>1950</v>
      </c>
      <c r="H792" s="19">
        <v>13</v>
      </c>
      <c r="I792" s="19">
        <v>3531.03</v>
      </c>
      <c r="J792" s="19">
        <v>45903.39</v>
      </c>
    </row>
    <row r="793" ht="15.25" spans="1:10">
      <c r="A793" s="18" t="s">
        <v>2110</v>
      </c>
      <c r="B793" s="19" t="s">
        <v>1874</v>
      </c>
      <c r="C793" s="19" t="s">
        <v>1856</v>
      </c>
      <c r="D793" s="19" t="s">
        <v>1857</v>
      </c>
      <c r="E793" s="19" t="s">
        <v>1858</v>
      </c>
      <c r="F793" s="19" t="s">
        <v>1852</v>
      </c>
      <c r="G793" s="19" t="s">
        <v>1853</v>
      </c>
      <c r="H793" s="19">
        <v>7</v>
      </c>
      <c r="I793" s="19">
        <v>4077.95</v>
      </c>
      <c r="J793" s="19">
        <v>28545.65</v>
      </c>
    </row>
    <row r="794" ht="15.25" spans="1:10">
      <c r="A794" s="18" t="s">
        <v>2051</v>
      </c>
      <c r="B794" s="19" t="s">
        <v>1871</v>
      </c>
      <c r="C794" s="19" t="s">
        <v>1875</v>
      </c>
      <c r="D794" s="19" t="s">
        <v>1862</v>
      </c>
      <c r="E794" s="19" t="s">
        <v>1858</v>
      </c>
      <c r="F794" s="19" t="s">
        <v>1868</v>
      </c>
      <c r="G794" s="19" t="s">
        <v>1917</v>
      </c>
      <c r="H794" s="19">
        <v>1</v>
      </c>
      <c r="I794" s="19">
        <v>1628.88</v>
      </c>
      <c r="J794" s="19">
        <v>1628.88</v>
      </c>
    </row>
    <row r="795" ht="15.25" spans="1:10">
      <c r="A795" s="18" t="s">
        <v>1901</v>
      </c>
      <c r="B795" s="19" t="s">
        <v>1855</v>
      </c>
      <c r="C795" s="19" t="s">
        <v>1602</v>
      </c>
      <c r="D795" s="19" t="s">
        <v>1862</v>
      </c>
      <c r="E795" s="19" t="s">
        <v>1858</v>
      </c>
      <c r="F795" s="19" t="s">
        <v>1865</v>
      </c>
      <c r="G795" s="19" t="s">
        <v>1866</v>
      </c>
      <c r="H795" s="19">
        <v>15</v>
      </c>
      <c r="I795" s="19">
        <v>2093.03</v>
      </c>
      <c r="J795" s="19">
        <v>31395.45</v>
      </c>
    </row>
    <row r="796" ht="15.25" spans="1:10">
      <c r="A796" s="18">
        <v>44992</v>
      </c>
      <c r="B796" s="19" t="s">
        <v>1892</v>
      </c>
      <c r="C796" s="19" t="s">
        <v>1903</v>
      </c>
      <c r="D796" s="19" t="s">
        <v>1884</v>
      </c>
      <c r="E796" s="19" t="s">
        <v>1895</v>
      </c>
      <c r="F796" s="19" t="s">
        <v>1865</v>
      </c>
      <c r="G796" s="19" t="s">
        <v>1890</v>
      </c>
      <c r="H796" s="19">
        <v>14</v>
      </c>
      <c r="I796" s="19">
        <v>2441.07</v>
      </c>
      <c r="J796" s="19">
        <v>34174.98</v>
      </c>
    </row>
    <row r="797" ht="26.75" spans="1:10">
      <c r="A797" s="18">
        <v>45266</v>
      </c>
      <c r="B797" s="19" t="s">
        <v>1902</v>
      </c>
      <c r="C797" s="19" t="s">
        <v>1598</v>
      </c>
      <c r="D797" s="19" t="s">
        <v>1850</v>
      </c>
      <c r="E797" s="19" t="s">
        <v>1851</v>
      </c>
      <c r="F797" s="19" t="s">
        <v>1852</v>
      </c>
      <c r="G797" s="19" t="s">
        <v>1934</v>
      </c>
      <c r="H797" s="19">
        <v>18</v>
      </c>
      <c r="I797" s="19">
        <v>134.67</v>
      </c>
      <c r="J797" s="19">
        <v>2424.06</v>
      </c>
    </row>
    <row r="798" ht="15.25" spans="1:10">
      <c r="A798" s="18">
        <v>45207</v>
      </c>
      <c r="B798" s="19" t="s">
        <v>1855</v>
      </c>
      <c r="C798" s="19" t="s">
        <v>1875</v>
      </c>
      <c r="D798" s="19" t="s">
        <v>1862</v>
      </c>
      <c r="E798" s="19" t="s">
        <v>1858</v>
      </c>
      <c r="F798" s="19" t="s">
        <v>1876</v>
      </c>
      <c r="G798" s="19" t="s">
        <v>1877</v>
      </c>
      <c r="H798" s="19">
        <v>8</v>
      </c>
      <c r="I798" s="19">
        <v>2518.13</v>
      </c>
      <c r="J798" s="19">
        <v>20145.04</v>
      </c>
    </row>
    <row r="799" ht="15.25" spans="1:10">
      <c r="A799" s="18">
        <v>45054</v>
      </c>
      <c r="B799" s="19" t="s">
        <v>1861</v>
      </c>
      <c r="C799" s="19" t="s">
        <v>1903</v>
      </c>
      <c r="D799" s="19" t="s">
        <v>1884</v>
      </c>
      <c r="E799" s="19" t="s">
        <v>1895</v>
      </c>
      <c r="F799" s="19" t="s">
        <v>1859</v>
      </c>
      <c r="G799" s="19" t="s">
        <v>1922</v>
      </c>
      <c r="H799" s="19">
        <v>1</v>
      </c>
      <c r="I799" s="19">
        <v>2366.64</v>
      </c>
      <c r="J799" s="19">
        <v>2366.64</v>
      </c>
    </row>
    <row r="800" ht="26.75" spans="1:10">
      <c r="A800" s="18">
        <v>45028</v>
      </c>
      <c r="B800" s="19" t="s">
        <v>1855</v>
      </c>
      <c r="C800" s="19" t="s">
        <v>1593</v>
      </c>
      <c r="D800" s="19" t="s">
        <v>1850</v>
      </c>
      <c r="E800" s="19" t="s">
        <v>1851</v>
      </c>
      <c r="F800" s="19" t="s">
        <v>1859</v>
      </c>
      <c r="G800" s="19" t="s">
        <v>1860</v>
      </c>
      <c r="H800" s="19">
        <v>14</v>
      </c>
      <c r="I800" s="19">
        <v>3167.49</v>
      </c>
      <c r="J800" s="19">
        <v>44344.86</v>
      </c>
    </row>
    <row r="801" ht="26.75" spans="1:10">
      <c r="A801" s="18">
        <v>45265</v>
      </c>
      <c r="B801" s="19" t="s">
        <v>1871</v>
      </c>
      <c r="C801" s="19" t="s">
        <v>1593</v>
      </c>
      <c r="D801" s="19" t="s">
        <v>1850</v>
      </c>
      <c r="E801" s="19" t="s">
        <v>1851</v>
      </c>
      <c r="F801" s="19" t="s">
        <v>1876</v>
      </c>
      <c r="G801" s="19" t="s">
        <v>1883</v>
      </c>
      <c r="H801" s="19">
        <v>9</v>
      </c>
      <c r="I801" s="19">
        <v>109.56</v>
      </c>
      <c r="J801" s="19">
        <v>986.04</v>
      </c>
    </row>
    <row r="802" ht="15.25" spans="1:10">
      <c r="A802" s="18">
        <v>44963</v>
      </c>
      <c r="B802" s="19" t="s">
        <v>1874</v>
      </c>
      <c r="C802" s="19" t="s">
        <v>1903</v>
      </c>
      <c r="D802" s="19" t="s">
        <v>1884</v>
      </c>
      <c r="E802" s="19" t="s">
        <v>1895</v>
      </c>
      <c r="F802" s="19" t="s">
        <v>1876</v>
      </c>
      <c r="G802" s="19" t="s">
        <v>1930</v>
      </c>
      <c r="H802" s="19">
        <v>20</v>
      </c>
      <c r="I802" s="19">
        <v>652.87</v>
      </c>
      <c r="J802" s="19">
        <v>13057.4</v>
      </c>
    </row>
    <row r="803" ht="15.25" spans="1:10">
      <c r="A803" s="18" t="s">
        <v>1992</v>
      </c>
      <c r="B803" s="19" t="s">
        <v>1871</v>
      </c>
      <c r="C803" s="19" t="s">
        <v>1602</v>
      </c>
      <c r="D803" s="19" t="s">
        <v>1862</v>
      </c>
      <c r="E803" s="19" t="s">
        <v>1858</v>
      </c>
      <c r="F803" s="19" t="s">
        <v>1865</v>
      </c>
      <c r="G803" s="19" t="s">
        <v>1890</v>
      </c>
      <c r="H803" s="19">
        <v>4</v>
      </c>
      <c r="I803" s="19">
        <v>2563.65</v>
      </c>
      <c r="J803" s="19">
        <v>10254.6</v>
      </c>
    </row>
    <row r="804" ht="15.25" spans="1:10">
      <c r="A804" s="18" t="s">
        <v>1968</v>
      </c>
      <c r="B804" s="19" t="s">
        <v>1867</v>
      </c>
      <c r="C804" s="19" t="s">
        <v>1626</v>
      </c>
      <c r="D804" s="19" t="s">
        <v>1857</v>
      </c>
      <c r="E804" s="19" t="s">
        <v>1858</v>
      </c>
      <c r="F804" s="19" t="s">
        <v>1868</v>
      </c>
      <c r="G804" s="19" t="s">
        <v>1899</v>
      </c>
      <c r="H804" s="19">
        <v>2</v>
      </c>
      <c r="I804" s="19">
        <v>771.23</v>
      </c>
      <c r="J804" s="19">
        <v>1542.46</v>
      </c>
    </row>
    <row r="805" ht="15.25" spans="1:10">
      <c r="A805" s="18" t="s">
        <v>2020</v>
      </c>
      <c r="B805" s="19" t="s">
        <v>1878</v>
      </c>
      <c r="C805" s="19" t="s">
        <v>1864</v>
      </c>
      <c r="D805" s="19" t="s">
        <v>1857</v>
      </c>
      <c r="E805" s="19" t="s">
        <v>1858</v>
      </c>
      <c r="F805" s="19" t="s">
        <v>1865</v>
      </c>
      <c r="G805" s="19" t="s">
        <v>1890</v>
      </c>
      <c r="H805" s="19">
        <v>19</v>
      </c>
      <c r="I805" s="19">
        <v>2290.68</v>
      </c>
      <c r="J805" s="19">
        <v>43522.92</v>
      </c>
    </row>
    <row r="806" ht="15.25" spans="1:10">
      <c r="A806" s="18" t="s">
        <v>1921</v>
      </c>
      <c r="B806" s="19" t="s">
        <v>1871</v>
      </c>
      <c r="C806" s="19" t="s">
        <v>1906</v>
      </c>
      <c r="D806" s="19" t="s">
        <v>1862</v>
      </c>
      <c r="E806" s="19" t="s">
        <v>1858</v>
      </c>
      <c r="F806" s="19" t="s">
        <v>1859</v>
      </c>
      <c r="G806" s="19" t="s">
        <v>1872</v>
      </c>
      <c r="H806" s="19">
        <v>9</v>
      </c>
      <c r="I806" s="19">
        <v>4965.3</v>
      </c>
      <c r="J806" s="19">
        <v>44687.7</v>
      </c>
    </row>
    <row r="807" ht="26.75" spans="1:10">
      <c r="A807" s="18" t="s">
        <v>2068</v>
      </c>
      <c r="B807" s="19" t="s">
        <v>1867</v>
      </c>
      <c r="C807" s="19" t="s">
        <v>1849</v>
      </c>
      <c r="D807" s="19" t="s">
        <v>1850</v>
      </c>
      <c r="E807" s="19" t="s">
        <v>1851</v>
      </c>
      <c r="F807" s="19" t="s">
        <v>1876</v>
      </c>
      <c r="G807" s="19" t="s">
        <v>1883</v>
      </c>
      <c r="H807" s="19">
        <v>4</v>
      </c>
      <c r="I807" s="19">
        <v>3684.5</v>
      </c>
      <c r="J807" s="19">
        <v>14738</v>
      </c>
    </row>
    <row r="808" ht="15.25" spans="1:10">
      <c r="A808" s="18">
        <v>45237</v>
      </c>
      <c r="B808" s="19" t="s">
        <v>1861</v>
      </c>
      <c r="C808" s="19" t="s">
        <v>1610</v>
      </c>
      <c r="D808" s="19" t="s">
        <v>1879</v>
      </c>
      <c r="E808" s="19" t="s">
        <v>1851</v>
      </c>
      <c r="F808" s="19" t="s">
        <v>1868</v>
      </c>
      <c r="G808" s="19" t="s">
        <v>1917</v>
      </c>
      <c r="H808" s="19">
        <v>14</v>
      </c>
      <c r="I808" s="19">
        <v>4566.12</v>
      </c>
      <c r="J808" s="19">
        <v>63925.68</v>
      </c>
    </row>
    <row r="809" ht="15.25" spans="1:10">
      <c r="A809" s="18" t="s">
        <v>1939</v>
      </c>
      <c r="B809" s="19" t="s">
        <v>1874</v>
      </c>
      <c r="C809" s="19" t="s">
        <v>1626</v>
      </c>
      <c r="D809" s="19" t="s">
        <v>1857</v>
      </c>
      <c r="E809" s="19" t="s">
        <v>1858</v>
      </c>
      <c r="F809" s="19" t="s">
        <v>1852</v>
      </c>
      <c r="G809" s="19" t="s">
        <v>1950</v>
      </c>
      <c r="H809" s="19">
        <v>17</v>
      </c>
      <c r="I809" s="19">
        <v>2246.82</v>
      </c>
      <c r="J809" s="19">
        <v>38195.94</v>
      </c>
    </row>
    <row r="810" ht="15.25" spans="1:10">
      <c r="A810" s="18">
        <v>45266</v>
      </c>
      <c r="B810" s="19" t="s">
        <v>1861</v>
      </c>
      <c r="C810" s="19" t="s">
        <v>1589</v>
      </c>
      <c r="D810" s="19" t="s">
        <v>1884</v>
      </c>
      <c r="E810" s="19" t="s">
        <v>1895</v>
      </c>
      <c r="F810" s="19" t="s">
        <v>1859</v>
      </c>
      <c r="G810" s="19" t="s">
        <v>1860</v>
      </c>
      <c r="H810" s="19">
        <v>3</v>
      </c>
      <c r="I810" s="19">
        <v>215.21</v>
      </c>
      <c r="J810" s="19">
        <v>645.63</v>
      </c>
    </row>
    <row r="811" ht="15.25" spans="1:10">
      <c r="A811" s="18" t="s">
        <v>2106</v>
      </c>
      <c r="B811" s="19" t="s">
        <v>1902</v>
      </c>
      <c r="C811" s="19" t="s">
        <v>1602</v>
      </c>
      <c r="D811" s="19" t="s">
        <v>1862</v>
      </c>
      <c r="E811" s="19" t="s">
        <v>1858</v>
      </c>
      <c r="F811" s="19" t="s">
        <v>1876</v>
      </c>
      <c r="G811" s="19" t="s">
        <v>1877</v>
      </c>
      <c r="H811" s="19">
        <v>7</v>
      </c>
      <c r="I811" s="19">
        <v>1294.31</v>
      </c>
      <c r="J811" s="19">
        <v>9060.17</v>
      </c>
    </row>
    <row r="812" ht="15.25" spans="1:10">
      <c r="A812" s="18" t="s">
        <v>2038</v>
      </c>
      <c r="B812" s="19" t="s">
        <v>1871</v>
      </c>
      <c r="C812" s="19" t="s">
        <v>1941</v>
      </c>
      <c r="D812" s="19" t="s">
        <v>1879</v>
      </c>
      <c r="E812" s="19" t="s">
        <v>1851</v>
      </c>
      <c r="F812" s="19" t="s">
        <v>1868</v>
      </c>
      <c r="G812" s="19" t="s">
        <v>1917</v>
      </c>
      <c r="H812" s="19">
        <v>9</v>
      </c>
      <c r="I812" s="19">
        <v>1558.74</v>
      </c>
      <c r="J812" s="19">
        <v>14028.66</v>
      </c>
    </row>
    <row r="813" ht="15.25" spans="1:10">
      <c r="A813" s="18" t="s">
        <v>1970</v>
      </c>
      <c r="B813" s="19" t="s">
        <v>1889</v>
      </c>
      <c r="C813" s="19" t="s">
        <v>1856</v>
      </c>
      <c r="D813" s="19" t="s">
        <v>1857</v>
      </c>
      <c r="E813" s="19" t="s">
        <v>1858</v>
      </c>
      <c r="F813" s="19" t="s">
        <v>1859</v>
      </c>
      <c r="G813" s="19" t="s">
        <v>1947</v>
      </c>
      <c r="H813" s="19">
        <v>11</v>
      </c>
      <c r="I813" s="19">
        <v>4382.91</v>
      </c>
      <c r="J813" s="19">
        <v>48212.01</v>
      </c>
    </row>
    <row r="814" ht="15.25" spans="1:10">
      <c r="A814" s="18" t="s">
        <v>2078</v>
      </c>
      <c r="B814" s="19" t="s">
        <v>1871</v>
      </c>
      <c r="C814" s="19" t="s">
        <v>1589</v>
      </c>
      <c r="D814" s="19" t="s">
        <v>1884</v>
      </c>
      <c r="E814" s="19" t="s">
        <v>1895</v>
      </c>
      <c r="F814" s="19" t="s">
        <v>1876</v>
      </c>
      <c r="G814" s="19" t="s">
        <v>1926</v>
      </c>
      <c r="H814" s="19">
        <v>6</v>
      </c>
      <c r="I814" s="19">
        <v>4197.59</v>
      </c>
      <c r="J814" s="19">
        <v>25185.54</v>
      </c>
    </row>
    <row r="815" ht="15.25" spans="1:10">
      <c r="A815" s="18">
        <v>45018</v>
      </c>
      <c r="B815" s="19" t="s">
        <v>1848</v>
      </c>
      <c r="C815" s="19" t="s">
        <v>1626</v>
      </c>
      <c r="D815" s="19" t="s">
        <v>1857</v>
      </c>
      <c r="E815" s="19" t="s">
        <v>1858</v>
      </c>
      <c r="F815" s="19" t="s">
        <v>1859</v>
      </c>
      <c r="G815" s="19" t="s">
        <v>1947</v>
      </c>
      <c r="H815" s="19">
        <v>2</v>
      </c>
      <c r="I815" s="19">
        <v>4137.49</v>
      </c>
      <c r="J815" s="19">
        <v>8274.98</v>
      </c>
    </row>
    <row r="816" ht="15.25" spans="1:10">
      <c r="A816" s="18">
        <v>45271</v>
      </c>
      <c r="B816" s="19" t="s">
        <v>1878</v>
      </c>
      <c r="C816" s="19" t="s">
        <v>1903</v>
      </c>
      <c r="D816" s="19" t="s">
        <v>1884</v>
      </c>
      <c r="E816" s="19" t="s">
        <v>1895</v>
      </c>
      <c r="F816" s="19" t="s">
        <v>1876</v>
      </c>
      <c r="G816" s="19" t="s">
        <v>1926</v>
      </c>
      <c r="H816" s="19">
        <v>16</v>
      </c>
      <c r="I816" s="19">
        <v>1598.06</v>
      </c>
      <c r="J816" s="19">
        <v>25568.96</v>
      </c>
    </row>
    <row r="817" ht="15.25" spans="1:10">
      <c r="A817" s="18" t="s">
        <v>2109</v>
      </c>
      <c r="B817" s="19" t="s">
        <v>1855</v>
      </c>
      <c r="C817" s="19" t="s">
        <v>1589</v>
      </c>
      <c r="D817" s="19" t="s">
        <v>1884</v>
      </c>
      <c r="E817" s="19" t="s">
        <v>1895</v>
      </c>
      <c r="F817" s="19" t="s">
        <v>1852</v>
      </c>
      <c r="G817" s="19" t="s">
        <v>1950</v>
      </c>
      <c r="H817" s="19">
        <v>3</v>
      </c>
      <c r="I817" s="19">
        <v>3044.02</v>
      </c>
      <c r="J817" s="19">
        <v>9132.06</v>
      </c>
    </row>
    <row r="818" ht="26.75" spans="1:10">
      <c r="A818" s="18">
        <v>45170</v>
      </c>
      <c r="B818" s="19" t="s">
        <v>1848</v>
      </c>
      <c r="C818" s="19" t="s">
        <v>1598</v>
      </c>
      <c r="D818" s="19" t="s">
        <v>1850</v>
      </c>
      <c r="E818" s="19" t="s">
        <v>1851</v>
      </c>
      <c r="F818" s="19" t="s">
        <v>1865</v>
      </c>
      <c r="G818" s="19" t="s">
        <v>1920</v>
      </c>
      <c r="H818" s="19">
        <v>6</v>
      </c>
      <c r="I818" s="19">
        <v>4270.03</v>
      </c>
      <c r="J818" s="19">
        <v>25620.18</v>
      </c>
    </row>
    <row r="819" ht="26.75" spans="1:10">
      <c r="A819" s="18">
        <v>45208</v>
      </c>
      <c r="B819" s="19" t="s">
        <v>1855</v>
      </c>
      <c r="C819" s="19" t="s">
        <v>1598</v>
      </c>
      <c r="D819" s="19" t="s">
        <v>1850</v>
      </c>
      <c r="E819" s="19" t="s">
        <v>1851</v>
      </c>
      <c r="F819" s="19" t="s">
        <v>1852</v>
      </c>
      <c r="G819" s="19" t="s">
        <v>1950</v>
      </c>
      <c r="H819" s="19">
        <v>13</v>
      </c>
      <c r="I819" s="19">
        <v>298.09</v>
      </c>
      <c r="J819" s="19">
        <v>3875.17</v>
      </c>
    </row>
    <row r="820" ht="15.25" spans="1:10">
      <c r="A820" s="18" t="s">
        <v>1965</v>
      </c>
      <c r="B820" s="19" t="s">
        <v>1878</v>
      </c>
      <c r="C820" s="19" t="s">
        <v>1941</v>
      </c>
      <c r="D820" s="19" t="s">
        <v>1879</v>
      </c>
      <c r="E820" s="19" t="s">
        <v>1851</v>
      </c>
      <c r="F820" s="19" t="s">
        <v>1876</v>
      </c>
      <c r="G820" s="19" t="s">
        <v>1883</v>
      </c>
      <c r="H820" s="19">
        <v>3</v>
      </c>
      <c r="I820" s="19">
        <v>1453.68</v>
      </c>
      <c r="J820" s="19">
        <v>4361.04</v>
      </c>
    </row>
    <row r="821" ht="15.25" spans="1:10">
      <c r="A821" s="18" t="s">
        <v>1981</v>
      </c>
      <c r="B821" s="19" t="s">
        <v>1892</v>
      </c>
      <c r="C821" s="19" t="s">
        <v>1903</v>
      </c>
      <c r="D821" s="19" t="s">
        <v>1884</v>
      </c>
      <c r="E821" s="19" t="s">
        <v>1895</v>
      </c>
      <c r="F821" s="19" t="s">
        <v>1859</v>
      </c>
      <c r="G821" s="19" t="s">
        <v>1922</v>
      </c>
      <c r="H821" s="19">
        <v>4</v>
      </c>
      <c r="I821" s="19">
        <v>1009.78</v>
      </c>
      <c r="J821" s="19">
        <v>4039.12</v>
      </c>
    </row>
    <row r="822" ht="15.25" spans="1:10">
      <c r="A822" s="18">
        <v>45026</v>
      </c>
      <c r="B822" s="19" t="s">
        <v>1848</v>
      </c>
      <c r="C822" s="19" t="s">
        <v>1864</v>
      </c>
      <c r="D822" s="19" t="s">
        <v>1857</v>
      </c>
      <c r="E822" s="19" t="s">
        <v>1858</v>
      </c>
      <c r="F822" s="19" t="s">
        <v>1876</v>
      </c>
      <c r="G822" s="19" t="s">
        <v>1877</v>
      </c>
      <c r="H822" s="19">
        <v>12</v>
      </c>
      <c r="I822" s="19">
        <v>231.07</v>
      </c>
      <c r="J822" s="19">
        <v>2772.84</v>
      </c>
    </row>
    <row r="823" ht="26.75" spans="1:10">
      <c r="A823" s="18">
        <v>45079</v>
      </c>
      <c r="B823" s="19" t="s">
        <v>1848</v>
      </c>
      <c r="C823" s="19" t="s">
        <v>1849</v>
      </c>
      <c r="D823" s="19" t="s">
        <v>1850</v>
      </c>
      <c r="E823" s="19" t="s">
        <v>1851</v>
      </c>
      <c r="F823" s="19" t="s">
        <v>1876</v>
      </c>
      <c r="G823" s="19" t="s">
        <v>1883</v>
      </c>
      <c r="H823" s="19">
        <v>12</v>
      </c>
      <c r="I823" s="19">
        <v>1410.03</v>
      </c>
      <c r="J823" s="19">
        <v>16920.36</v>
      </c>
    </row>
    <row r="824" ht="26.75" spans="1:10">
      <c r="A824" s="18">
        <v>45171</v>
      </c>
      <c r="B824" s="19" t="s">
        <v>1878</v>
      </c>
      <c r="C824" s="19" t="s">
        <v>1598</v>
      </c>
      <c r="D824" s="19" t="s">
        <v>1850</v>
      </c>
      <c r="E824" s="19" t="s">
        <v>1851</v>
      </c>
      <c r="F824" s="19" t="s">
        <v>1859</v>
      </c>
      <c r="G824" s="19" t="s">
        <v>1872</v>
      </c>
      <c r="H824" s="19">
        <v>6</v>
      </c>
      <c r="I824" s="19">
        <v>1610.91</v>
      </c>
      <c r="J824" s="19">
        <v>9665.46</v>
      </c>
    </row>
    <row r="825" ht="15.25" spans="1:10">
      <c r="A825" s="18">
        <v>45109</v>
      </c>
      <c r="B825" s="19" t="s">
        <v>1889</v>
      </c>
      <c r="C825" s="19" t="s">
        <v>1906</v>
      </c>
      <c r="D825" s="19" t="s">
        <v>1862</v>
      </c>
      <c r="E825" s="19" t="s">
        <v>1858</v>
      </c>
      <c r="F825" s="19" t="s">
        <v>1859</v>
      </c>
      <c r="G825" s="19" t="s">
        <v>1872</v>
      </c>
      <c r="H825" s="19">
        <v>7</v>
      </c>
      <c r="I825" s="19">
        <v>3396.62</v>
      </c>
      <c r="J825" s="19">
        <v>23776.34</v>
      </c>
    </row>
    <row r="826" ht="15.25" spans="1:10">
      <c r="A826" s="18">
        <v>45145</v>
      </c>
      <c r="B826" s="19" t="s">
        <v>1902</v>
      </c>
      <c r="C826" s="19" t="s">
        <v>1906</v>
      </c>
      <c r="D826" s="19" t="s">
        <v>1862</v>
      </c>
      <c r="E826" s="19" t="s">
        <v>1858</v>
      </c>
      <c r="F826" s="19" t="s">
        <v>1859</v>
      </c>
      <c r="G826" s="19" t="s">
        <v>1922</v>
      </c>
      <c r="H826" s="19">
        <v>14</v>
      </c>
      <c r="I826" s="19">
        <v>4164.33</v>
      </c>
      <c r="J826" s="19">
        <v>58300.62</v>
      </c>
    </row>
    <row r="827" ht="26.75" spans="1:10">
      <c r="A827" s="18" t="s">
        <v>1915</v>
      </c>
      <c r="B827" s="19" t="s">
        <v>1902</v>
      </c>
      <c r="C827" s="19" t="s">
        <v>1849</v>
      </c>
      <c r="D827" s="19" t="s">
        <v>1850</v>
      </c>
      <c r="E827" s="19" t="s">
        <v>1851</v>
      </c>
      <c r="F827" s="19" t="s">
        <v>1852</v>
      </c>
      <c r="G827" s="19" t="s">
        <v>1910</v>
      </c>
      <c r="H827" s="19">
        <v>12</v>
      </c>
      <c r="I827" s="19">
        <v>4414.27</v>
      </c>
      <c r="J827" s="19">
        <v>52971.24</v>
      </c>
    </row>
    <row r="828" ht="15.25" spans="1:10">
      <c r="A828" s="18" t="s">
        <v>2083</v>
      </c>
      <c r="B828" s="19" t="s">
        <v>1889</v>
      </c>
      <c r="C828" s="19" t="s">
        <v>1626</v>
      </c>
      <c r="D828" s="19" t="s">
        <v>1857</v>
      </c>
      <c r="E828" s="19" t="s">
        <v>1858</v>
      </c>
      <c r="F828" s="19" t="s">
        <v>1865</v>
      </c>
      <c r="G828" s="19" t="s">
        <v>1920</v>
      </c>
      <c r="H828" s="19">
        <v>13</v>
      </c>
      <c r="I828" s="19">
        <v>3101.42</v>
      </c>
      <c r="J828" s="19">
        <v>40318.46</v>
      </c>
    </row>
    <row r="829" ht="15.25" spans="1:10">
      <c r="A829" s="18" t="s">
        <v>2038</v>
      </c>
      <c r="B829" s="19" t="s">
        <v>1892</v>
      </c>
      <c r="C829" s="19" t="s">
        <v>1864</v>
      </c>
      <c r="D829" s="19" t="s">
        <v>1857</v>
      </c>
      <c r="E829" s="19" t="s">
        <v>1858</v>
      </c>
      <c r="F829" s="19" t="s">
        <v>1859</v>
      </c>
      <c r="G829" s="19" t="s">
        <v>1947</v>
      </c>
      <c r="H829" s="19">
        <v>18</v>
      </c>
      <c r="I829" s="19">
        <v>3002.55</v>
      </c>
      <c r="J829" s="19">
        <v>54045.9</v>
      </c>
    </row>
    <row r="830" ht="15.25" spans="1:10">
      <c r="A830" s="18">
        <v>45048</v>
      </c>
      <c r="B830" s="19" t="s">
        <v>1848</v>
      </c>
      <c r="C830" s="19" t="s">
        <v>1894</v>
      </c>
      <c r="D830" s="19" t="s">
        <v>1884</v>
      </c>
      <c r="E830" s="19" t="s">
        <v>1895</v>
      </c>
      <c r="F830" s="19" t="s">
        <v>1852</v>
      </c>
      <c r="G830" s="19" t="s">
        <v>1853</v>
      </c>
      <c r="H830" s="19">
        <v>13</v>
      </c>
      <c r="I830" s="19">
        <v>2098.65</v>
      </c>
      <c r="J830" s="19">
        <v>27282.45</v>
      </c>
    </row>
    <row r="831" ht="15.25" spans="1:10">
      <c r="A831" s="18">
        <v>45087</v>
      </c>
      <c r="B831" s="19" t="s">
        <v>1889</v>
      </c>
      <c r="C831" s="19" t="s">
        <v>1898</v>
      </c>
      <c r="D831" s="19" t="s">
        <v>1879</v>
      </c>
      <c r="E831" s="19" t="s">
        <v>1851</v>
      </c>
      <c r="F831" s="19" t="s">
        <v>1876</v>
      </c>
      <c r="G831" s="19" t="s">
        <v>1926</v>
      </c>
      <c r="H831" s="19">
        <v>5</v>
      </c>
      <c r="I831" s="19">
        <v>4106.79</v>
      </c>
      <c r="J831" s="19">
        <v>20533.95</v>
      </c>
    </row>
    <row r="832" ht="15.25" spans="1:10">
      <c r="A832" s="18" t="s">
        <v>1972</v>
      </c>
      <c r="B832" s="19" t="s">
        <v>1867</v>
      </c>
      <c r="C832" s="19" t="s">
        <v>1903</v>
      </c>
      <c r="D832" s="19" t="s">
        <v>1884</v>
      </c>
      <c r="E832" s="19" t="s">
        <v>1895</v>
      </c>
      <c r="F832" s="19" t="s">
        <v>1865</v>
      </c>
      <c r="G832" s="19" t="s">
        <v>1866</v>
      </c>
      <c r="H832" s="19">
        <v>1</v>
      </c>
      <c r="I832" s="19">
        <v>3041.26</v>
      </c>
      <c r="J832" s="19">
        <v>3041.26</v>
      </c>
    </row>
    <row r="833" ht="26.75" spans="1:10">
      <c r="A833" s="18" t="s">
        <v>1982</v>
      </c>
      <c r="B833" s="19" t="s">
        <v>1867</v>
      </c>
      <c r="C833" s="19" t="s">
        <v>1593</v>
      </c>
      <c r="D833" s="19" t="s">
        <v>1850</v>
      </c>
      <c r="E833" s="19" t="s">
        <v>1851</v>
      </c>
      <c r="F833" s="19" t="s">
        <v>1859</v>
      </c>
      <c r="G833" s="19" t="s">
        <v>1872</v>
      </c>
      <c r="H833" s="19">
        <v>7</v>
      </c>
      <c r="I833" s="19">
        <v>4514.21</v>
      </c>
      <c r="J833" s="19">
        <v>31599.47</v>
      </c>
    </row>
    <row r="834" ht="15.25" spans="1:10">
      <c r="A834" s="18" t="s">
        <v>2094</v>
      </c>
      <c r="B834" s="19" t="s">
        <v>1902</v>
      </c>
      <c r="C834" s="19" t="s">
        <v>1626</v>
      </c>
      <c r="D834" s="19" t="s">
        <v>1857</v>
      </c>
      <c r="E834" s="19" t="s">
        <v>1858</v>
      </c>
      <c r="F834" s="19" t="s">
        <v>1865</v>
      </c>
      <c r="G834" s="19" t="s">
        <v>1866</v>
      </c>
      <c r="H834" s="19">
        <v>18</v>
      </c>
      <c r="I834" s="19">
        <v>2971.68</v>
      </c>
      <c r="J834" s="19">
        <v>53490.24</v>
      </c>
    </row>
    <row r="835" ht="15.25" spans="1:10">
      <c r="A835" s="18" t="s">
        <v>1923</v>
      </c>
      <c r="B835" s="19" t="s">
        <v>1878</v>
      </c>
      <c r="C835" s="19" t="s">
        <v>1875</v>
      </c>
      <c r="D835" s="19" t="s">
        <v>1862</v>
      </c>
      <c r="E835" s="19" t="s">
        <v>1858</v>
      </c>
      <c r="F835" s="19" t="s">
        <v>1868</v>
      </c>
      <c r="G835" s="19" t="s">
        <v>1869</v>
      </c>
      <c r="H835" s="19">
        <v>6</v>
      </c>
      <c r="I835" s="19">
        <v>2263.36</v>
      </c>
      <c r="J835" s="19">
        <v>13580.16</v>
      </c>
    </row>
    <row r="836" ht="15.25" spans="1:10">
      <c r="A836" s="18" t="s">
        <v>2111</v>
      </c>
      <c r="B836" s="19" t="s">
        <v>1848</v>
      </c>
      <c r="C836" s="19" t="s">
        <v>1856</v>
      </c>
      <c r="D836" s="19" t="s">
        <v>1857</v>
      </c>
      <c r="E836" s="19" t="s">
        <v>1858</v>
      </c>
      <c r="F836" s="19" t="s">
        <v>1852</v>
      </c>
      <c r="G836" s="19" t="s">
        <v>1934</v>
      </c>
      <c r="H836" s="19">
        <v>8</v>
      </c>
      <c r="I836" s="19">
        <v>3859.28</v>
      </c>
      <c r="J836" s="19">
        <v>30874.24</v>
      </c>
    </row>
    <row r="837" ht="26.75" spans="1:10">
      <c r="A837" s="18" t="s">
        <v>2054</v>
      </c>
      <c r="B837" s="19" t="s">
        <v>1889</v>
      </c>
      <c r="C837" s="19" t="s">
        <v>1849</v>
      </c>
      <c r="D837" s="19" t="s">
        <v>1850</v>
      </c>
      <c r="E837" s="19" t="s">
        <v>1851</v>
      </c>
      <c r="F837" s="19" t="s">
        <v>1852</v>
      </c>
      <c r="G837" s="19" t="s">
        <v>1950</v>
      </c>
      <c r="H837" s="19">
        <v>14</v>
      </c>
      <c r="I837" s="19">
        <v>3044.71</v>
      </c>
      <c r="J837" s="19">
        <v>42625.94</v>
      </c>
    </row>
    <row r="838" ht="15.25" spans="1:10">
      <c r="A838" s="18" t="s">
        <v>2057</v>
      </c>
      <c r="B838" s="19" t="s">
        <v>1867</v>
      </c>
      <c r="C838" s="19" t="s">
        <v>1906</v>
      </c>
      <c r="D838" s="19" t="s">
        <v>1862</v>
      </c>
      <c r="E838" s="19" t="s">
        <v>1858</v>
      </c>
      <c r="F838" s="19" t="s">
        <v>1859</v>
      </c>
      <c r="G838" s="19" t="s">
        <v>1922</v>
      </c>
      <c r="H838" s="19">
        <v>11</v>
      </c>
      <c r="I838" s="19">
        <v>4653.38</v>
      </c>
      <c r="J838" s="19">
        <v>51187.18</v>
      </c>
    </row>
    <row r="839" ht="15.25" spans="1:10">
      <c r="A839" s="18">
        <v>45109</v>
      </c>
      <c r="B839" s="19" t="s">
        <v>1878</v>
      </c>
      <c r="C839" s="19" t="s">
        <v>1875</v>
      </c>
      <c r="D839" s="19" t="s">
        <v>1862</v>
      </c>
      <c r="E839" s="19" t="s">
        <v>1858</v>
      </c>
      <c r="F839" s="19" t="s">
        <v>1852</v>
      </c>
      <c r="G839" s="19" t="s">
        <v>1950</v>
      </c>
      <c r="H839" s="19">
        <v>9</v>
      </c>
      <c r="I839" s="19">
        <v>3425.59</v>
      </c>
      <c r="J839" s="19">
        <v>30830.31</v>
      </c>
    </row>
    <row r="840" ht="26.75" spans="1:10">
      <c r="A840" s="18" t="s">
        <v>2065</v>
      </c>
      <c r="B840" s="19" t="s">
        <v>1848</v>
      </c>
      <c r="C840" s="19" t="s">
        <v>1593</v>
      </c>
      <c r="D840" s="19" t="s">
        <v>1850</v>
      </c>
      <c r="E840" s="19" t="s">
        <v>1851</v>
      </c>
      <c r="F840" s="19" t="s">
        <v>1865</v>
      </c>
      <c r="G840" s="19" t="s">
        <v>1866</v>
      </c>
      <c r="H840" s="19">
        <v>15</v>
      </c>
      <c r="I840" s="19">
        <v>4671.69</v>
      </c>
      <c r="J840" s="19">
        <v>70075.35</v>
      </c>
    </row>
    <row r="841" ht="26.75" spans="1:10">
      <c r="A841" s="18" t="s">
        <v>2040</v>
      </c>
      <c r="B841" s="19" t="s">
        <v>1855</v>
      </c>
      <c r="C841" s="19" t="s">
        <v>1598</v>
      </c>
      <c r="D841" s="19" t="s">
        <v>1850</v>
      </c>
      <c r="E841" s="19" t="s">
        <v>1851</v>
      </c>
      <c r="F841" s="19" t="s">
        <v>1859</v>
      </c>
      <c r="G841" s="19" t="s">
        <v>1947</v>
      </c>
      <c r="H841" s="19">
        <v>5</v>
      </c>
      <c r="I841" s="19">
        <v>4600.38</v>
      </c>
      <c r="J841" s="19">
        <v>23001.9</v>
      </c>
    </row>
    <row r="842" ht="15.25" spans="1:10">
      <c r="A842" s="18">
        <v>45236</v>
      </c>
      <c r="B842" s="19" t="s">
        <v>1892</v>
      </c>
      <c r="C842" s="19" t="s">
        <v>1626</v>
      </c>
      <c r="D842" s="19" t="s">
        <v>1857</v>
      </c>
      <c r="E842" s="19" t="s">
        <v>1858</v>
      </c>
      <c r="F842" s="19" t="s">
        <v>1868</v>
      </c>
      <c r="G842" s="19" t="s">
        <v>1917</v>
      </c>
      <c r="H842" s="19">
        <v>19</v>
      </c>
      <c r="I842" s="19">
        <v>2183.09</v>
      </c>
      <c r="J842" s="19">
        <v>41478.71</v>
      </c>
    </row>
    <row r="843" ht="15.25" spans="1:10">
      <c r="A843" s="18" t="s">
        <v>2045</v>
      </c>
      <c r="B843" s="19" t="s">
        <v>1878</v>
      </c>
      <c r="C843" s="19" t="s">
        <v>1864</v>
      </c>
      <c r="D843" s="19" t="s">
        <v>1857</v>
      </c>
      <c r="E843" s="19" t="s">
        <v>1858</v>
      </c>
      <c r="F843" s="19" t="s">
        <v>1876</v>
      </c>
      <c r="G843" s="19" t="s">
        <v>1883</v>
      </c>
      <c r="H843" s="19">
        <v>8</v>
      </c>
      <c r="I843" s="19">
        <v>1850.8</v>
      </c>
      <c r="J843" s="19">
        <v>14806.4</v>
      </c>
    </row>
    <row r="844" ht="15.25" spans="1:10">
      <c r="A844" s="18">
        <v>45272</v>
      </c>
      <c r="B844" s="19" t="s">
        <v>1855</v>
      </c>
      <c r="C844" s="19" t="s">
        <v>1903</v>
      </c>
      <c r="D844" s="19" t="s">
        <v>1884</v>
      </c>
      <c r="E844" s="19" t="s">
        <v>1895</v>
      </c>
      <c r="F844" s="19" t="s">
        <v>1876</v>
      </c>
      <c r="G844" s="19" t="s">
        <v>1926</v>
      </c>
      <c r="H844" s="19">
        <v>12</v>
      </c>
      <c r="I844" s="19">
        <v>3695.68</v>
      </c>
      <c r="J844" s="19">
        <v>44348.16</v>
      </c>
    </row>
    <row r="845" ht="15.25" spans="1:10">
      <c r="A845" s="18">
        <v>45267</v>
      </c>
      <c r="B845" s="19" t="s">
        <v>1848</v>
      </c>
      <c r="C845" s="19" t="s">
        <v>1610</v>
      </c>
      <c r="D845" s="19" t="s">
        <v>1879</v>
      </c>
      <c r="E845" s="19" t="s">
        <v>1851</v>
      </c>
      <c r="F845" s="19" t="s">
        <v>1852</v>
      </c>
      <c r="G845" s="19" t="s">
        <v>1950</v>
      </c>
      <c r="H845" s="19">
        <v>14</v>
      </c>
      <c r="I845" s="19">
        <v>3099.57</v>
      </c>
      <c r="J845" s="19">
        <v>43393.98</v>
      </c>
    </row>
    <row r="846" ht="26.75" spans="1:10">
      <c r="A846" s="18" t="s">
        <v>1880</v>
      </c>
      <c r="B846" s="19" t="s">
        <v>1874</v>
      </c>
      <c r="C846" s="19" t="s">
        <v>1849</v>
      </c>
      <c r="D846" s="19" t="s">
        <v>1850</v>
      </c>
      <c r="E846" s="19" t="s">
        <v>1851</v>
      </c>
      <c r="F846" s="19" t="s">
        <v>1865</v>
      </c>
      <c r="G846" s="19" t="s">
        <v>1886</v>
      </c>
      <c r="H846" s="19">
        <v>1</v>
      </c>
      <c r="I846" s="19">
        <v>3758.07</v>
      </c>
      <c r="J846" s="19">
        <v>3758.07</v>
      </c>
    </row>
    <row r="847" ht="15.25" spans="1:10">
      <c r="A847" s="18" t="s">
        <v>1954</v>
      </c>
      <c r="B847" s="19" t="s">
        <v>1871</v>
      </c>
      <c r="C847" s="19" t="s">
        <v>1894</v>
      </c>
      <c r="D847" s="19" t="s">
        <v>1884</v>
      </c>
      <c r="E847" s="19" t="s">
        <v>1895</v>
      </c>
      <c r="F847" s="19" t="s">
        <v>1852</v>
      </c>
      <c r="G847" s="19" t="s">
        <v>1910</v>
      </c>
      <c r="H847" s="19">
        <v>5</v>
      </c>
      <c r="I847" s="19">
        <v>2536.65</v>
      </c>
      <c r="J847" s="19">
        <v>12683.25</v>
      </c>
    </row>
    <row r="848" ht="26.75" spans="1:10">
      <c r="A848" s="18" t="s">
        <v>2048</v>
      </c>
      <c r="B848" s="19" t="s">
        <v>1874</v>
      </c>
      <c r="C848" s="19" t="s">
        <v>1593</v>
      </c>
      <c r="D848" s="19" t="s">
        <v>1850</v>
      </c>
      <c r="E848" s="19" t="s">
        <v>1851</v>
      </c>
      <c r="F848" s="19" t="s">
        <v>1868</v>
      </c>
      <c r="G848" s="19" t="s">
        <v>1907</v>
      </c>
      <c r="H848" s="19">
        <v>9</v>
      </c>
      <c r="I848" s="19">
        <v>564.08</v>
      </c>
      <c r="J848" s="19">
        <v>5076.72</v>
      </c>
    </row>
    <row r="849" ht="15.25" spans="1:10">
      <c r="A849" s="18" t="s">
        <v>2018</v>
      </c>
      <c r="B849" s="19" t="s">
        <v>1848</v>
      </c>
      <c r="C849" s="19" t="s">
        <v>1602</v>
      </c>
      <c r="D849" s="19" t="s">
        <v>1862</v>
      </c>
      <c r="E849" s="19" t="s">
        <v>1858</v>
      </c>
      <c r="F849" s="19" t="s">
        <v>1868</v>
      </c>
      <c r="G849" s="19" t="s">
        <v>1899</v>
      </c>
      <c r="H849" s="19">
        <v>4</v>
      </c>
      <c r="I849" s="19">
        <v>3762.47</v>
      </c>
      <c r="J849" s="19">
        <v>15049.88</v>
      </c>
    </row>
    <row r="850" ht="15.25" spans="1:10">
      <c r="A850" s="18" t="s">
        <v>1952</v>
      </c>
      <c r="B850" s="19" t="s">
        <v>1861</v>
      </c>
      <c r="C850" s="19" t="s">
        <v>1941</v>
      </c>
      <c r="D850" s="19" t="s">
        <v>1879</v>
      </c>
      <c r="E850" s="19" t="s">
        <v>1851</v>
      </c>
      <c r="F850" s="19" t="s">
        <v>1868</v>
      </c>
      <c r="G850" s="19" t="s">
        <v>1917</v>
      </c>
      <c r="H850" s="19">
        <v>5</v>
      </c>
      <c r="I850" s="19">
        <v>4180.57</v>
      </c>
      <c r="J850" s="19">
        <v>20902.85</v>
      </c>
    </row>
    <row r="851" ht="15.25" spans="1:10">
      <c r="A851" s="18" t="s">
        <v>1987</v>
      </c>
      <c r="B851" s="19" t="s">
        <v>1878</v>
      </c>
      <c r="C851" s="19" t="s">
        <v>1906</v>
      </c>
      <c r="D851" s="19" t="s">
        <v>1862</v>
      </c>
      <c r="E851" s="19" t="s">
        <v>1858</v>
      </c>
      <c r="F851" s="19" t="s">
        <v>1852</v>
      </c>
      <c r="G851" s="19" t="s">
        <v>1910</v>
      </c>
      <c r="H851" s="19">
        <v>5</v>
      </c>
      <c r="I851" s="19">
        <v>1947.01</v>
      </c>
      <c r="J851" s="19">
        <v>9735.05</v>
      </c>
    </row>
    <row r="852" ht="26.75" spans="1:10">
      <c r="A852" s="18" t="s">
        <v>1981</v>
      </c>
      <c r="B852" s="19" t="s">
        <v>1848</v>
      </c>
      <c r="C852" s="19" t="s">
        <v>1849</v>
      </c>
      <c r="D852" s="19" t="s">
        <v>1850</v>
      </c>
      <c r="E852" s="19" t="s">
        <v>1851</v>
      </c>
      <c r="F852" s="19" t="s">
        <v>1865</v>
      </c>
      <c r="G852" s="19" t="s">
        <v>1890</v>
      </c>
      <c r="H852" s="19">
        <v>13</v>
      </c>
      <c r="I852" s="19">
        <v>4686.21</v>
      </c>
      <c r="J852" s="19">
        <v>60920.73</v>
      </c>
    </row>
    <row r="853" ht="26.75" spans="1:10">
      <c r="A853" s="18" t="s">
        <v>1968</v>
      </c>
      <c r="B853" s="19" t="s">
        <v>1861</v>
      </c>
      <c r="C853" s="19" t="s">
        <v>1849</v>
      </c>
      <c r="D853" s="19" t="s">
        <v>1850</v>
      </c>
      <c r="E853" s="19" t="s">
        <v>1851</v>
      </c>
      <c r="F853" s="19" t="s">
        <v>1852</v>
      </c>
      <c r="G853" s="19" t="s">
        <v>1853</v>
      </c>
      <c r="H853" s="19">
        <v>7</v>
      </c>
      <c r="I853" s="19">
        <v>4418.17</v>
      </c>
      <c r="J853" s="19">
        <v>30927.19</v>
      </c>
    </row>
    <row r="854" ht="26.75" spans="1:10">
      <c r="A854" s="18">
        <v>45179</v>
      </c>
      <c r="B854" s="19" t="s">
        <v>1878</v>
      </c>
      <c r="C854" s="19" t="s">
        <v>1598</v>
      </c>
      <c r="D854" s="19" t="s">
        <v>1850</v>
      </c>
      <c r="E854" s="19" t="s">
        <v>1851</v>
      </c>
      <c r="F854" s="19" t="s">
        <v>1865</v>
      </c>
      <c r="G854" s="19" t="s">
        <v>1920</v>
      </c>
      <c r="H854" s="19">
        <v>19</v>
      </c>
      <c r="I854" s="19">
        <v>4186.64</v>
      </c>
      <c r="J854" s="19">
        <v>79546.16</v>
      </c>
    </row>
    <row r="855" ht="15.25" spans="1:10">
      <c r="A855" s="18">
        <v>45084</v>
      </c>
      <c r="B855" s="19" t="s">
        <v>1855</v>
      </c>
      <c r="C855" s="19" t="s">
        <v>1898</v>
      </c>
      <c r="D855" s="19" t="s">
        <v>1879</v>
      </c>
      <c r="E855" s="19" t="s">
        <v>1851</v>
      </c>
      <c r="F855" s="19" t="s">
        <v>1852</v>
      </c>
      <c r="G855" s="19" t="s">
        <v>1853</v>
      </c>
      <c r="H855" s="19">
        <v>6</v>
      </c>
      <c r="I855" s="19">
        <v>1003.96</v>
      </c>
      <c r="J855" s="19">
        <v>6023.76</v>
      </c>
    </row>
    <row r="856" ht="15.25" spans="1:10">
      <c r="A856" s="18" t="s">
        <v>2112</v>
      </c>
      <c r="B856" s="19" t="s">
        <v>1889</v>
      </c>
      <c r="C856" s="19" t="s">
        <v>1864</v>
      </c>
      <c r="D856" s="19" t="s">
        <v>1857</v>
      </c>
      <c r="E856" s="19" t="s">
        <v>1858</v>
      </c>
      <c r="F856" s="19" t="s">
        <v>1876</v>
      </c>
      <c r="G856" s="19" t="s">
        <v>1883</v>
      </c>
      <c r="H856" s="19">
        <v>13</v>
      </c>
      <c r="I856" s="19">
        <v>1028.74</v>
      </c>
      <c r="J856" s="19">
        <v>13373.62</v>
      </c>
    </row>
    <row r="857" ht="15.25" spans="1:10">
      <c r="A857" s="18" t="s">
        <v>2025</v>
      </c>
      <c r="B857" s="19" t="s">
        <v>1871</v>
      </c>
      <c r="C857" s="19" t="s">
        <v>1856</v>
      </c>
      <c r="D857" s="19" t="s">
        <v>1857</v>
      </c>
      <c r="E857" s="19" t="s">
        <v>1858</v>
      </c>
      <c r="F857" s="19" t="s">
        <v>1865</v>
      </c>
      <c r="G857" s="19" t="s">
        <v>1920</v>
      </c>
      <c r="H857" s="19">
        <v>20</v>
      </c>
      <c r="I857" s="19">
        <v>4751.14</v>
      </c>
      <c r="J857" s="19">
        <v>95022.8</v>
      </c>
    </row>
    <row r="858" ht="15.25" spans="1:10">
      <c r="A858" s="18" t="s">
        <v>2066</v>
      </c>
      <c r="B858" s="19" t="s">
        <v>1848</v>
      </c>
      <c r="C858" s="19" t="s">
        <v>1875</v>
      </c>
      <c r="D858" s="19" t="s">
        <v>1862</v>
      </c>
      <c r="E858" s="19" t="s">
        <v>1858</v>
      </c>
      <c r="F858" s="19" t="s">
        <v>1865</v>
      </c>
      <c r="G858" s="19" t="s">
        <v>1890</v>
      </c>
      <c r="H858" s="19">
        <v>8</v>
      </c>
      <c r="I858" s="19">
        <v>565.82</v>
      </c>
      <c r="J858" s="19">
        <v>4526.56</v>
      </c>
    </row>
    <row r="859" ht="26.75" spans="1:10">
      <c r="A859" s="18" t="s">
        <v>2052</v>
      </c>
      <c r="B859" s="19" t="s">
        <v>1861</v>
      </c>
      <c r="C859" s="19" t="s">
        <v>1598</v>
      </c>
      <c r="D859" s="19" t="s">
        <v>1850</v>
      </c>
      <c r="E859" s="19" t="s">
        <v>1851</v>
      </c>
      <c r="F859" s="19" t="s">
        <v>1876</v>
      </c>
      <c r="G859" s="19" t="s">
        <v>1926</v>
      </c>
      <c r="H859" s="19">
        <v>1</v>
      </c>
      <c r="I859" s="19">
        <v>1903.53</v>
      </c>
      <c r="J859" s="19">
        <v>1903.53</v>
      </c>
    </row>
    <row r="860" ht="15.25" spans="1:10">
      <c r="A860" s="18">
        <v>45149</v>
      </c>
      <c r="B860" s="19" t="s">
        <v>1871</v>
      </c>
      <c r="C860" s="19" t="s">
        <v>1941</v>
      </c>
      <c r="D860" s="19" t="s">
        <v>1879</v>
      </c>
      <c r="E860" s="19" t="s">
        <v>1851</v>
      </c>
      <c r="F860" s="19" t="s">
        <v>1859</v>
      </c>
      <c r="G860" s="19" t="s">
        <v>1860</v>
      </c>
      <c r="H860" s="19">
        <v>20</v>
      </c>
      <c r="I860" s="19">
        <v>3286.69</v>
      </c>
      <c r="J860" s="19">
        <v>65733.8</v>
      </c>
    </row>
    <row r="861" ht="15.25" spans="1:10">
      <c r="A861" s="18" t="s">
        <v>2111</v>
      </c>
      <c r="B861" s="19" t="s">
        <v>1848</v>
      </c>
      <c r="C861" s="19" t="s">
        <v>1589</v>
      </c>
      <c r="D861" s="19" t="s">
        <v>1884</v>
      </c>
      <c r="E861" s="19" t="s">
        <v>1895</v>
      </c>
      <c r="F861" s="19" t="s">
        <v>1859</v>
      </c>
      <c r="G861" s="19" t="s">
        <v>1922</v>
      </c>
      <c r="H861" s="19">
        <v>20</v>
      </c>
      <c r="I861" s="19">
        <v>1176.4</v>
      </c>
      <c r="J861" s="19">
        <v>23528</v>
      </c>
    </row>
    <row r="862" ht="15.25" spans="1:10">
      <c r="A862" s="18" t="s">
        <v>2006</v>
      </c>
      <c r="B862" s="19" t="s">
        <v>1848</v>
      </c>
      <c r="C862" s="19" t="s">
        <v>1898</v>
      </c>
      <c r="D862" s="19" t="s">
        <v>1879</v>
      </c>
      <c r="E862" s="19" t="s">
        <v>1851</v>
      </c>
      <c r="F862" s="19" t="s">
        <v>1859</v>
      </c>
      <c r="G862" s="19" t="s">
        <v>1860</v>
      </c>
      <c r="H862" s="19">
        <v>11</v>
      </c>
      <c r="I862" s="19">
        <v>2038.9</v>
      </c>
      <c r="J862" s="19">
        <v>22427.9</v>
      </c>
    </row>
    <row r="863" ht="15.25" spans="1:10">
      <c r="A863" s="18">
        <v>44929</v>
      </c>
      <c r="B863" s="19" t="s">
        <v>1861</v>
      </c>
      <c r="C863" s="19" t="s">
        <v>1856</v>
      </c>
      <c r="D863" s="19" t="s">
        <v>1857</v>
      </c>
      <c r="E863" s="19" t="s">
        <v>1858</v>
      </c>
      <c r="F863" s="19" t="s">
        <v>1859</v>
      </c>
      <c r="G863" s="19" t="s">
        <v>1947</v>
      </c>
      <c r="H863" s="19">
        <v>19</v>
      </c>
      <c r="I863" s="19">
        <v>3990.16</v>
      </c>
      <c r="J863" s="19">
        <v>75813.04</v>
      </c>
    </row>
    <row r="864" ht="15.25" spans="1:10">
      <c r="A864" s="18" t="s">
        <v>2033</v>
      </c>
      <c r="B864" s="19" t="s">
        <v>1902</v>
      </c>
      <c r="C864" s="19" t="s">
        <v>1894</v>
      </c>
      <c r="D864" s="19" t="s">
        <v>1884</v>
      </c>
      <c r="E864" s="19" t="s">
        <v>1895</v>
      </c>
      <c r="F864" s="19" t="s">
        <v>1865</v>
      </c>
      <c r="G864" s="19" t="s">
        <v>1886</v>
      </c>
      <c r="H864" s="19">
        <v>15</v>
      </c>
      <c r="I864" s="19">
        <v>3765.36</v>
      </c>
      <c r="J864" s="19">
        <v>56480.4</v>
      </c>
    </row>
    <row r="865" ht="15.25" spans="1:10">
      <c r="A865" s="18" t="s">
        <v>2113</v>
      </c>
      <c r="B865" s="19" t="s">
        <v>1867</v>
      </c>
      <c r="C865" s="19" t="s">
        <v>1626</v>
      </c>
      <c r="D865" s="19" t="s">
        <v>1857</v>
      </c>
      <c r="E865" s="19" t="s">
        <v>1858</v>
      </c>
      <c r="F865" s="19" t="s">
        <v>1865</v>
      </c>
      <c r="G865" s="19" t="s">
        <v>1890</v>
      </c>
      <c r="H865" s="19">
        <v>12</v>
      </c>
      <c r="I865" s="19">
        <v>1794.88</v>
      </c>
      <c r="J865" s="19">
        <v>21538.56</v>
      </c>
    </row>
    <row r="866" ht="15.25" spans="1:10">
      <c r="A866" s="18" t="s">
        <v>2114</v>
      </c>
      <c r="B866" s="19" t="s">
        <v>1874</v>
      </c>
      <c r="C866" s="19" t="s">
        <v>1602</v>
      </c>
      <c r="D866" s="19" t="s">
        <v>1862</v>
      </c>
      <c r="E866" s="19" t="s">
        <v>1858</v>
      </c>
      <c r="F866" s="19" t="s">
        <v>1876</v>
      </c>
      <c r="G866" s="19" t="s">
        <v>1926</v>
      </c>
      <c r="H866" s="19">
        <v>19</v>
      </c>
      <c r="I866" s="19">
        <v>2750.97</v>
      </c>
      <c r="J866" s="19">
        <v>52268.43</v>
      </c>
    </row>
    <row r="867" ht="26.75" spans="1:10">
      <c r="A867" s="18" t="s">
        <v>1923</v>
      </c>
      <c r="B867" s="19" t="s">
        <v>1902</v>
      </c>
      <c r="C867" s="19" t="s">
        <v>1849</v>
      </c>
      <c r="D867" s="19" t="s">
        <v>1850</v>
      </c>
      <c r="E867" s="19" t="s">
        <v>1851</v>
      </c>
      <c r="F867" s="19" t="s">
        <v>1859</v>
      </c>
      <c r="G867" s="19" t="s">
        <v>1860</v>
      </c>
      <c r="H867" s="19">
        <v>17</v>
      </c>
      <c r="I867" s="19">
        <v>3677.4</v>
      </c>
      <c r="J867" s="19">
        <v>62515.8</v>
      </c>
    </row>
    <row r="868" ht="26.75" spans="1:10">
      <c r="A868" s="18" t="s">
        <v>1909</v>
      </c>
      <c r="B868" s="19" t="s">
        <v>1902</v>
      </c>
      <c r="C868" s="19" t="s">
        <v>1598</v>
      </c>
      <c r="D868" s="19" t="s">
        <v>1850</v>
      </c>
      <c r="E868" s="19" t="s">
        <v>1851</v>
      </c>
      <c r="F868" s="19" t="s">
        <v>1859</v>
      </c>
      <c r="G868" s="19" t="s">
        <v>1860</v>
      </c>
      <c r="H868" s="19">
        <v>7</v>
      </c>
      <c r="I868" s="19">
        <v>2253.94</v>
      </c>
      <c r="J868" s="19">
        <v>15777.58</v>
      </c>
    </row>
    <row r="869" ht="15.25" spans="1:10">
      <c r="A869" s="18" t="s">
        <v>2021</v>
      </c>
      <c r="B869" s="19" t="s">
        <v>1861</v>
      </c>
      <c r="C869" s="19" t="s">
        <v>1602</v>
      </c>
      <c r="D869" s="19" t="s">
        <v>1862</v>
      </c>
      <c r="E869" s="19" t="s">
        <v>1858</v>
      </c>
      <c r="F869" s="19" t="s">
        <v>1868</v>
      </c>
      <c r="G869" s="19" t="s">
        <v>1907</v>
      </c>
      <c r="H869" s="19">
        <v>8</v>
      </c>
      <c r="I869" s="19">
        <v>1762.43</v>
      </c>
      <c r="J869" s="19">
        <v>14099.44</v>
      </c>
    </row>
    <row r="870" ht="15.25" spans="1:10">
      <c r="A870" s="18" t="s">
        <v>1904</v>
      </c>
      <c r="B870" s="19" t="s">
        <v>1861</v>
      </c>
      <c r="C870" s="19" t="s">
        <v>1856</v>
      </c>
      <c r="D870" s="19" t="s">
        <v>1857</v>
      </c>
      <c r="E870" s="19" t="s">
        <v>1858</v>
      </c>
      <c r="F870" s="19" t="s">
        <v>1852</v>
      </c>
      <c r="G870" s="19" t="s">
        <v>1910</v>
      </c>
      <c r="H870" s="19">
        <v>20</v>
      </c>
      <c r="I870" s="19">
        <v>278.55</v>
      </c>
      <c r="J870" s="19">
        <v>5571</v>
      </c>
    </row>
    <row r="871" ht="26.75" spans="1:10">
      <c r="A871" s="18" t="s">
        <v>1933</v>
      </c>
      <c r="B871" s="19" t="s">
        <v>1848</v>
      </c>
      <c r="C871" s="19" t="s">
        <v>1849</v>
      </c>
      <c r="D871" s="19" t="s">
        <v>1850</v>
      </c>
      <c r="E871" s="19" t="s">
        <v>1851</v>
      </c>
      <c r="F871" s="19" t="s">
        <v>1852</v>
      </c>
      <c r="G871" s="19" t="s">
        <v>1910</v>
      </c>
      <c r="H871" s="19">
        <v>7</v>
      </c>
      <c r="I871" s="19">
        <v>1940.86</v>
      </c>
      <c r="J871" s="19">
        <v>13586.02</v>
      </c>
    </row>
    <row r="872" ht="15.25" spans="1:10">
      <c r="A872" s="18">
        <v>44967</v>
      </c>
      <c r="B872" s="19" t="s">
        <v>1848</v>
      </c>
      <c r="C872" s="19" t="s">
        <v>1856</v>
      </c>
      <c r="D872" s="19" t="s">
        <v>1857</v>
      </c>
      <c r="E872" s="19" t="s">
        <v>1858</v>
      </c>
      <c r="F872" s="19" t="s">
        <v>1868</v>
      </c>
      <c r="G872" s="19" t="s">
        <v>1899</v>
      </c>
      <c r="H872" s="19">
        <v>1</v>
      </c>
      <c r="I872" s="19">
        <v>414.64</v>
      </c>
      <c r="J872" s="19">
        <v>414.64</v>
      </c>
    </row>
    <row r="873" ht="15.25" spans="1:10">
      <c r="A873" s="18">
        <v>45026</v>
      </c>
      <c r="B873" s="19" t="s">
        <v>1861</v>
      </c>
      <c r="C873" s="19" t="s">
        <v>1906</v>
      </c>
      <c r="D873" s="19" t="s">
        <v>1862</v>
      </c>
      <c r="E873" s="19" t="s">
        <v>1858</v>
      </c>
      <c r="F873" s="19" t="s">
        <v>1859</v>
      </c>
      <c r="G873" s="19" t="s">
        <v>1872</v>
      </c>
      <c r="H873" s="19">
        <v>7</v>
      </c>
      <c r="I873" s="19">
        <v>1073.54</v>
      </c>
      <c r="J873" s="19">
        <v>7514.78</v>
      </c>
    </row>
    <row r="874" ht="15.25" spans="1:10">
      <c r="A874" s="18">
        <v>45146</v>
      </c>
      <c r="B874" s="19" t="s">
        <v>1874</v>
      </c>
      <c r="C874" s="19" t="s">
        <v>1856</v>
      </c>
      <c r="D874" s="19" t="s">
        <v>1857</v>
      </c>
      <c r="E874" s="19" t="s">
        <v>1858</v>
      </c>
      <c r="F874" s="19" t="s">
        <v>1876</v>
      </c>
      <c r="G874" s="19" t="s">
        <v>1930</v>
      </c>
      <c r="H874" s="19">
        <v>2</v>
      </c>
      <c r="I874" s="19">
        <v>2078.33</v>
      </c>
      <c r="J874" s="19">
        <v>4156.66</v>
      </c>
    </row>
    <row r="875" ht="15.25" spans="1:10">
      <c r="A875" s="18" t="s">
        <v>1915</v>
      </c>
      <c r="B875" s="19" t="s">
        <v>1867</v>
      </c>
      <c r="C875" s="19" t="s">
        <v>1589</v>
      </c>
      <c r="D875" s="19" t="s">
        <v>1884</v>
      </c>
      <c r="E875" s="19" t="s">
        <v>1895</v>
      </c>
      <c r="F875" s="19" t="s">
        <v>1852</v>
      </c>
      <c r="G875" s="19" t="s">
        <v>1934</v>
      </c>
      <c r="H875" s="19">
        <v>15</v>
      </c>
      <c r="I875" s="19">
        <v>4188.84</v>
      </c>
      <c r="J875" s="19">
        <v>62832.6</v>
      </c>
    </row>
    <row r="876" ht="15.25" spans="1:10">
      <c r="A876" s="18">
        <v>45175</v>
      </c>
      <c r="B876" s="19" t="s">
        <v>1889</v>
      </c>
      <c r="C876" s="19" t="s">
        <v>1856</v>
      </c>
      <c r="D876" s="19" t="s">
        <v>1857</v>
      </c>
      <c r="E876" s="19" t="s">
        <v>1858</v>
      </c>
      <c r="F876" s="19" t="s">
        <v>1865</v>
      </c>
      <c r="G876" s="19" t="s">
        <v>1920</v>
      </c>
      <c r="H876" s="19">
        <v>16</v>
      </c>
      <c r="I876" s="19">
        <v>3046.66</v>
      </c>
      <c r="J876" s="19">
        <v>48746.56</v>
      </c>
    </row>
    <row r="877" ht="15.25" spans="1:10">
      <c r="A877" s="18">
        <v>45085</v>
      </c>
      <c r="B877" s="19" t="s">
        <v>1874</v>
      </c>
      <c r="C877" s="19" t="s">
        <v>1856</v>
      </c>
      <c r="D877" s="19" t="s">
        <v>1857</v>
      </c>
      <c r="E877" s="19" t="s">
        <v>1858</v>
      </c>
      <c r="F877" s="19" t="s">
        <v>1865</v>
      </c>
      <c r="G877" s="19" t="s">
        <v>1920</v>
      </c>
      <c r="H877" s="19">
        <v>13</v>
      </c>
      <c r="I877" s="19">
        <v>566.56</v>
      </c>
      <c r="J877" s="19">
        <v>7365.28</v>
      </c>
    </row>
    <row r="878" ht="15.25" spans="1:10">
      <c r="A878" s="18">
        <v>45207</v>
      </c>
      <c r="B878" s="19" t="s">
        <v>1874</v>
      </c>
      <c r="C878" s="19" t="s">
        <v>1903</v>
      </c>
      <c r="D878" s="19" t="s">
        <v>1884</v>
      </c>
      <c r="E878" s="19" t="s">
        <v>1895</v>
      </c>
      <c r="F878" s="19" t="s">
        <v>1876</v>
      </c>
      <c r="G878" s="19" t="s">
        <v>1930</v>
      </c>
      <c r="H878" s="19">
        <v>9</v>
      </c>
      <c r="I878" s="19">
        <v>4726.68</v>
      </c>
      <c r="J878" s="19">
        <v>42540.12</v>
      </c>
    </row>
    <row r="879" ht="15.25" spans="1:10">
      <c r="A879" s="18" t="s">
        <v>1983</v>
      </c>
      <c r="B879" s="19" t="s">
        <v>1902</v>
      </c>
      <c r="C879" s="19" t="s">
        <v>1906</v>
      </c>
      <c r="D879" s="19" t="s">
        <v>1862</v>
      </c>
      <c r="E879" s="19" t="s">
        <v>1858</v>
      </c>
      <c r="F879" s="19" t="s">
        <v>1865</v>
      </c>
      <c r="G879" s="19" t="s">
        <v>1920</v>
      </c>
      <c r="H879" s="19">
        <v>15</v>
      </c>
      <c r="I879" s="19">
        <v>2503.47</v>
      </c>
      <c r="J879" s="19">
        <v>37552.05</v>
      </c>
    </row>
    <row r="880" ht="15.25" spans="1:10">
      <c r="A880" s="18">
        <v>45237</v>
      </c>
      <c r="B880" s="19" t="s">
        <v>1861</v>
      </c>
      <c r="C880" s="19" t="s">
        <v>1906</v>
      </c>
      <c r="D880" s="19" t="s">
        <v>1862</v>
      </c>
      <c r="E880" s="19" t="s">
        <v>1858</v>
      </c>
      <c r="F880" s="19" t="s">
        <v>1868</v>
      </c>
      <c r="G880" s="19" t="s">
        <v>1899</v>
      </c>
      <c r="H880" s="19">
        <v>13</v>
      </c>
      <c r="I880" s="19">
        <v>2244.77</v>
      </c>
      <c r="J880" s="19">
        <v>29182.01</v>
      </c>
    </row>
    <row r="881" ht="26.75" spans="1:10">
      <c r="A881" s="18">
        <v>45242</v>
      </c>
      <c r="B881" s="19" t="s">
        <v>1878</v>
      </c>
      <c r="C881" s="19" t="s">
        <v>1598</v>
      </c>
      <c r="D881" s="19" t="s">
        <v>1850</v>
      </c>
      <c r="E881" s="19" t="s">
        <v>1851</v>
      </c>
      <c r="F881" s="19" t="s">
        <v>1859</v>
      </c>
      <c r="G881" s="19" t="s">
        <v>1860</v>
      </c>
      <c r="H881" s="19">
        <v>18</v>
      </c>
      <c r="I881" s="19">
        <v>3559.2</v>
      </c>
      <c r="J881" s="19">
        <v>64065.6</v>
      </c>
    </row>
    <row r="882" ht="15.25" spans="1:10">
      <c r="A882" s="18" t="s">
        <v>2045</v>
      </c>
      <c r="B882" s="19" t="s">
        <v>1867</v>
      </c>
      <c r="C882" s="19" t="s">
        <v>1875</v>
      </c>
      <c r="D882" s="19" t="s">
        <v>1862</v>
      </c>
      <c r="E882" s="19" t="s">
        <v>1858</v>
      </c>
      <c r="F882" s="19" t="s">
        <v>1865</v>
      </c>
      <c r="G882" s="19" t="s">
        <v>1920</v>
      </c>
      <c r="H882" s="19">
        <v>16</v>
      </c>
      <c r="I882" s="19">
        <v>4238.64</v>
      </c>
      <c r="J882" s="19">
        <v>67818.24</v>
      </c>
    </row>
    <row r="883" ht="26.75" spans="1:10">
      <c r="A883" s="18" t="s">
        <v>1971</v>
      </c>
      <c r="B883" s="19" t="s">
        <v>1871</v>
      </c>
      <c r="C883" s="19" t="s">
        <v>1593</v>
      </c>
      <c r="D883" s="19" t="s">
        <v>1850</v>
      </c>
      <c r="E883" s="19" t="s">
        <v>1851</v>
      </c>
      <c r="F883" s="19" t="s">
        <v>1865</v>
      </c>
      <c r="G883" s="19" t="s">
        <v>1920</v>
      </c>
      <c r="H883" s="19">
        <v>13</v>
      </c>
      <c r="I883" s="19">
        <v>151.65</v>
      </c>
      <c r="J883" s="19">
        <v>1971.45</v>
      </c>
    </row>
    <row r="884" ht="26.75" spans="1:10">
      <c r="A884" s="18">
        <v>45175</v>
      </c>
      <c r="B884" s="19" t="s">
        <v>1848</v>
      </c>
      <c r="C884" s="19" t="s">
        <v>1593</v>
      </c>
      <c r="D884" s="19" t="s">
        <v>1850</v>
      </c>
      <c r="E884" s="19" t="s">
        <v>1851</v>
      </c>
      <c r="F884" s="19" t="s">
        <v>1852</v>
      </c>
      <c r="G884" s="19" t="s">
        <v>1950</v>
      </c>
      <c r="H884" s="19">
        <v>11</v>
      </c>
      <c r="I884" s="19">
        <v>4242.9</v>
      </c>
      <c r="J884" s="19">
        <v>46671.9</v>
      </c>
    </row>
    <row r="885" ht="15.25" spans="1:10">
      <c r="A885" s="18" t="s">
        <v>1977</v>
      </c>
      <c r="B885" s="19" t="s">
        <v>1855</v>
      </c>
      <c r="C885" s="19" t="s">
        <v>1898</v>
      </c>
      <c r="D885" s="19" t="s">
        <v>1879</v>
      </c>
      <c r="E885" s="19" t="s">
        <v>1851</v>
      </c>
      <c r="F885" s="19" t="s">
        <v>1868</v>
      </c>
      <c r="G885" s="19" t="s">
        <v>1869</v>
      </c>
      <c r="H885" s="19">
        <v>9</v>
      </c>
      <c r="I885" s="19">
        <v>4639.93</v>
      </c>
      <c r="J885" s="19">
        <v>41759.37</v>
      </c>
    </row>
    <row r="886" ht="15.25" spans="1:10">
      <c r="A886" s="18" t="s">
        <v>2085</v>
      </c>
      <c r="B886" s="19" t="s">
        <v>1878</v>
      </c>
      <c r="C886" s="19" t="s">
        <v>1864</v>
      </c>
      <c r="D886" s="19" t="s">
        <v>1857</v>
      </c>
      <c r="E886" s="19" t="s">
        <v>1858</v>
      </c>
      <c r="F886" s="19" t="s">
        <v>1865</v>
      </c>
      <c r="G886" s="19" t="s">
        <v>1886</v>
      </c>
      <c r="H886" s="19">
        <v>4</v>
      </c>
      <c r="I886" s="19">
        <v>4336.92</v>
      </c>
      <c r="J886" s="19">
        <v>17347.68</v>
      </c>
    </row>
    <row r="887" ht="15.25" spans="1:10">
      <c r="A887" s="18" t="s">
        <v>1940</v>
      </c>
      <c r="B887" s="19" t="s">
        <v>1848</v>
      </c>
      <c r="C887" s="19" t="s">
        <v>1894</v>
      </c>
      <c r="D887" s="19" t="s">
        <v>1884</v>
      </c>
      <c r="E887" s="19" t="s">
        <v>1895</v>
      </c>
      <c r="F887" s="19" t="s">
        <v>1852</v>
      </c>
      <c r="G887" s="19" t="s">
        <v>1853</v>
      </c>
      <c r="H887" s="19">
        <v>17</v>
      </c>
      <c r="I887" s="19">
        <v>1005.44</v>
      </c>
      <c r="J887" s="19">
        <v>17092.48</v>
      </c>
    </row>
    <row r="888" ht="15.25" spans="1:10">
      <c r="A888" s="18">
        <v>45233</v>
      </c>
      <c r="B888" s="19" t="s">
        <v>1855</v>
      </c>
      <c r="C888" s="19" t="s">
        <v>1875</v>
      </c>
      <c r="D888" s="19" t="s">
        <v>1862</v>
      </c>
      <c r="E888" s="19" t="s">
        <v>1858</v>
      </c>
      <c r="F888" s="19" t="s">
        <v>1852</v>
      </c>
      <c r="G888" s="19" t="s">
        <v>1934</v>
      </c>
      <c r="H888" s="19">
        <v>18</v>
      </c>
      <c r="I888" s="19">
        <v>2231.56</v>
      </c>
      <c r="J888" s="19">
        <v>40168.08</v>
      </c>
    </row>
    <row r="889" ht="26.75" spans="1:10">
      <c r="A889" s="18">
        <v>45237</v>
      </c>
      <c r="B889" s="19" t="s">
        <v>1848</v>
      </c>
      <c r="C889" s="19" t="s">
        <v>1598</v>
      </c>
      <c r="D889" s="19" t="s">
        <v>1850</v>
      </c>
      <c r="E889" s="19" t="s">
        <v>1851</v>
      </c>
      <c r="F889" s="19" t="s">
        <v>1852</v>
      </c>
      <c r="G889" s="19" t="s">
        <v>1910</v>
      </c>
      <c r="H889" s="19">
        <v>14</v>
      </c>
      <c r="I889" s="19">
        <v>3677.67</v>
      </c>
      <c r="J889" s="19">
        <v>51487.38</v>
      </c>
    </row>
    <row r="890" ht="15.25" spans="1:10">
      <c r="A890" s="18" t="s">
        <v>1951</v>
      </c>
      <c r="B890" s="19" t="s">
        <v>1861</v>
      </c>
      <c r="C890" s="19" t="s">
        <v>1864</v>
      </c>
      <c r="D890" s="19" t="s">
        <v>1857</v>
      </c>
      <c r="E890" s="19" t="s">
        <v>1858</v>
      </c>
      <c r="F890" s="19" t="s">
        <v>1876</v>
      </c>
      <c r="G890" s="19" t="s">
        <v>1930</v>
      </c>
      <c r="H890" s="19">
        <v>6</v>
      </c>
      <c r="I890" s="19">
        <v>1047.72</v>
      </c>
      <c r="J890" s="19">
        <v>6286.32</v>
      </c>
    </row>
    <row r="891" ht="15.25" spans="1:10">
      <c r="A891" s="18" t="s">
        <v>1992</v>
      </c>
      <c r="B891" s="19" t="s">
        <v>1855</v>
      </c>
      <c r="C891" s="19" t="s">
        <v>1864</v>
      </c>
      <c r="D891" s="19" t="s">
        <v>1857</v>
      </c>
      <c r="E891" s="19" t="s">
        <v>1858</v>
      </c>
      <c r="F891" s="19" t="s">
        <v>1859</v>
      </c>
      <c r="G891" s="19" t="s">
        <v>1947</v>
      </c>
      <c r="H891" s="19">
        <v>20</v>
      </c>
      <c r="I891" s="19">
        <v>827.08</v>
      </c>
      <c r="J891" s="19">
        <v>16541.6</v>
      </c>
    </row>
    <row r="892" ht="15.25" spans="1:10">
      <c r="A892" s="18" t="s">
        <v>2095</v>
      </c>
      <c r="B892" s="19" t="s">
        <v>1855</v>
      </c>
      <c r="C892" s="19" t="s">
        <v>1906</v>
      </c>
      <c r="D892" s="19" t="s">
        <v>1862</v>
      </c>
      <c r="E892" s="19" t="s">
        <v>1858</v>
      </c>
      <c r="F892" s="19" t="s">
        <v>1859</v>
      </c>
      <c r="G892" s="19" t="s">
        <v>1872</v>
      </c>
      <c r="H892" s="19">
        <v>19</v>
      </c>
      <c r="I892" s="19">
        <v>1726.65</v>
      </c>
      <c r="J892" s="19">
        <v>32806.35</v>
      </c>
    </row>
    <row r="893" ht="15.25" spans="1:10">
      <c r="A893" s="18">
        <v>45143</v>
      </c>
      <c r="B893" s="19" t="s">
        <v>1871</v>
      </c>
      <c r="C893" s="19" t="s">
        <v>1602</v>
      </c>
      <c r="D893" s="19" t="s">
        <v>1862</v>
      </c>
      <c r="E893" s="19" t="s">
        <v>1858</v>
      </c>
      <c r="F893" s="19" t="s">
        <v>1859</v>
      </c>
      <c r="G893" s="19" t="s">
        <v>1922</v>
      </c>
      <c r="H893" s="19">
        <v>17</v>
      </c>
      <c r="I893" s="19">
        <v>2339.57</v>
      </c>
      <c r="J893" s="19">
        <v>39772.69</v>
      </c>
    </row>
    <row r="894" ht="15.25" spans="1:10">
      <c r="A894" s="18">
        <v>44962</v>
      </c>
      <c r="B894" s="19" t="s">
        <v>1871</v>
      </c>
      <c r="C894" s="19" t="s">
        <v>1864</v>
      </c>
      <c r="D894" s="19" t="s">
        <v>1857</v>
      </c>
      <c r="E894" s="19" t="s">
        <v>1858</v>
      </c>
      <c r="F894" s="19" t="s">
        <v>1865</v>
      </c>
      <c r="G894" s="19" t="s">
        <v>1886</v>
      </c>
      <c r="H894" s="19">
        <v>8</v>
      </c>
      <c r="I894" s="19">
        <v>4984.96</v>
      </c>
      <c r="J894" s="19">
        <v>39879.68</v>
      </c>
    </row>
    <row r="895" ht="15.25" spans="1:10">
      <c r="A895" s="18">
        <v>45021</v>
      </c>
      <c r="B895" s="19" t="s">
        <v>1902</v>
      </c>
      <c r="C895" s="19" t="s">
        <v>1903</v>
      </c>
      <c r="D895" s="19" t="s">
        <v>1884</v>
      </c>
      <c r="E895" s="19" t="s">
        <v>1895</v>
      </c>
      <c r="F895" s="19" t="s">
        <v>1876</v>
      </c>
      <c r="G895" s="19" t="s">
        <v>1926</v>
      </c>
      <c r="H895" s="19">
        <v>17</v>
      </c>
      <c r="I895" s="19">
        <v>3259.21</v>
      </c>
      <c r="J895" s="19">
        <v>55406.57</v>
      </c>
    </row>
    <row r="896" ht="15.25" spans="1:10">
      <c r="A896" s="18" t="s">
        <v>2025</v>
      </c>
      <c r="B896" s="19" t="s">
        <v>1855</v>
      </c>
      <c r="C896" s="19" t="s">
        <v>1856</v>
      </c>
      <c r="D896" s="19" t="s">
        <v>1857</v>
      </c>
      <c r="E896" s="19" t="s">
        <v>1858</v>
      </c>
      <c r="F896" s="19" t="s">
        <v>1852</v>
      </c>
      <c r="G896" s="19" t="s">
        <v>1853</v>
      </c>
      <c r="H896" s="19">
        <v>7</v>
      </c>
      <c r="I896" s="19">
        <v>4847.62</v>
      </c>
      <c r="J896" s="19">
        <v>33933.34</v>
      </c>
    </row>
    <row r="897" ht="15.25" spans="1:10">
      <c r="A897" s="18" t="s">
        <v>2115</v>
      </c>
      <c r="B897" s="19" t="s">
        <v>1861</v>
      </c>
      <c r="C897" s="19" t="s">
        <v>1626</v>
      </c>
      <c r="D897" s="19" t="s">
        <v>1857</v>
      </c>
      <c r="E897" s="19" t="s">
        <v>1858</v>
      </c>
      <c r="F897" s="19" t="s">
        <v>1868</v>
      </c>
      <c r="G897" s="19" t="s">
        <v>1899</v>
      </c>
      <c r="H897" s="19">
        <v>6</v>
      </c>
      <c r="I897" s="19">
        <v>2260.16</v>
      </c>
      <c r="J897" s="19">
        <v>13560.96</v>
      </c>
    </row>
    <row r="898" ht="15.25" spans="1:10">
      <c r="A898" s="18">
        <v>45269</v>
      </c>
      <c r="B898" s="19" t="s">
        <v>1874</v>
      </c>
      <c r="C898" s="19" t="s">
        <v>1589</v>
      </c>
      <c r="D898" s="19" t="s">
        <v>1884</v>
      </c>
      <c r="E898" s="19" t="s">
        <v>1895</v>
      </c>
      <c r="F898" s="19" t="s">
        <v>1852</v>
      </c>
      <c r="G898" s="19" t="s">
        <v>1910</v>
      </c>
      <c r="H898" s="19">
        <v>16</v>
      </c>
      <c r="I898" s="19">
        <v>1795.37</v>
      </c>
      <c r="J898" s="19">
        <v>28725.92</v>
      </c>
    </row>
    <row r="899" ht="15.25" spans="1:10">
      <c r="A899" s="18">
        <v>44990</v>
      </c>
      <c r="B899" s="19" t="s">
        <v>1874</v>
      </c>
      <c r="C899" s="19" t="s">
        <v>1941</v>
      </c>
      <c r="D899" s="19" t="s">
        <v>1879</v>
      </c>
      <c r="E899" s="19" t="s">
        <v>1851</v>
      </c>
      <c r="F899" s="19" t="s">
        <v>1876</v>
      </c>
      <c r="G899" s="19" t="s">
        <v>1930</v>
      </c>
      <c r="H899" s="19">
        <v>19</v>
      </c>
      <c r="I899" s="19">
        <v>2040.79</v>
      </c>
      <c r="J899" s="19">
        <v>38775.01</v>
      </c>
    </row>
    <row r="900" ht="15.25" spans="1:10">
      <c r="A900" s="18" t="s">
        <v>2116</v>
      </c>
      <c r="B900" s="19" t="s">
        <v>1892</v>
      </c>
      <c r="C900" s="19" t="s">
        <v>1906</v>
      </c>
      <c r="D900" s="19" t="s">
        <v>1862</v>
      </c>
      <c r="E900" s="19" t="s">
        <v>1858</v>
      </c>
      <c r="F900" s="19" t="s">
        <v>1852</v>
      </c>
      <c r="G900" s="19" t="s">
        <v>1950</v>
      </c>
      <c r="H900" s="19">
        <v>13</v>
      </c>
      <c r="I900" s="19">
        <v>1764.64</v>
      </c>
      <c r="J900" s="19">
        <v>22940.32</v>
      </c>
    </row>
    <row r="901" ht="15.25" spans="1:10">
      <c r="A901" s="18" t="s">
        <v>2108</v>
      </c>
      <c r="B901" s="19" t="s">
        <v>1848</v>
      </c>
      <c r="C901" s="19" t="s">
        <v>1856</v>
      </c>
      <c r="D901" s="19" t="s">
        <v>1857</v>
      </c>
      <c r="E901" s="19" t="s">
        <v>1858</v>
      </c>
      <c r="F901" s="19" t="s">
        <v>1868</v>
      </c>
      <c r="G901" s="19" t="s">
        <v>1899</v>
      </c>
      <c r="H901" s="19">
        <v>6</v>
      </c>
      <c r="I901" s="19">
        <v>746.23</v>
      </c>
      <c r="J901" s="19">
        <v>4477.38</v>
      </c>
    </row>
    <row r="902" ht="15.25" spans="1:10">
      <c r="A902" s="18">
        <v>45210</v>
      </c>
      <c r="B902" s="19" t="s">
        <v>1861</v>
      </c>
      <c r="C902" s="19" t="s">
        <v>1589</v>
      </c>
      <c r="D902" s="19" t="s">
        <v>1884</v>
      </c>
      <c r="E902" s="19" t="s">
        <v>1895</v>
      </c>
      <c r="F902" s="19" t="s">
        <v>1852</v>
      </c>
      <c r="G902" s="19" t="s">
        <v>1934</v>
      </c>
      <c r="H902" s="19">
        <v>14</v>
      </c>
      <c r="I902" s="19">
        <v>2385.99</v>
      </c>
      <c r="J902" s="19">
        <v>33403.86</v>
      </c>
    </row>
    <row r="903" ht="15.25" spans="1:10">
      <c r="A903" s="18">
        <v>45264</v>
      </c>
      <c r="B903" s="19" t="s">
        <v>1848</v>
      </c>
      <c r="C903" s="19" t="s">
        <v>1941</v>
      </c>
      <c r="D903" s="19" t="s">
        <v>1879</v>
      </c>
      <c r="E903" s="19" t="s">
        <v>1851</v>
      </c>
      <c r="F903" s="19" t="s">
        <v>1876</v>
      </c>
      <c r="G903" s="19" t="s">
        <v>1877</v>
      </c>
      <c r="H903" s="19">
        <v>1</v>
      </c>
      <c r="I903" s="19">
        <v>2362.15</v>
      </c>
      <c r="J903" s="19">
        <v>2362.15</v>
      </c>
    </row>
    <row r="904" ht="15.25" spans="1:10">
      <c r="A904" s="18" t="s">
        <v>1944</v>
      </c>
      <c r="B904" s="19" t="s">
        <v>1874</v>
      </c>
      <c r="C904" s="19" t="s">
        <v>1589</v>
      </c>
      <c r="D904" s="19" t="s">
        <v>1884</v>
      </c>
      <c r="E904" s="19" t="s">
        <v>1895</v>
      </c>
      <c r="F904" s="19" t="s">
        <v>1865</v>
      </c>
      <c r="G904" s="19" t="s">
        <v>1886</v>
      </c>
      <c r="H904" s="19">
        <v>16</v>
      </c>
      <c r="I904" s="19">
        <v>1236.8</v>
      </c>
      <c r="J904" s="19">
        <v>19788.8</v>
      </c>
    </row>
    <row r="905" ht="15.25" spans="1:10">
      <c r="A905" s="18">
        <v>45140</v>
      </c>
      <c r="B905" s="19" t="s">
        <v>1867</v>
      </c>
      <c r="C905" s="19" t="s">
        <v>1589</v>
      </c>
      <c r="D905" s="19" t="s">
        <v>1884</v>
      </c>
      <c r="E905" s="19" t="s">
        <v>1895</v>
      </c>
      <c r="F905" s="19" t="s">
        <v>1876</v>
      </c>
      <c r="G905" s="19" t="s">
        <v>1883</v>
      </c>
      <c r="H905" s="19">
        <v>17</v>
      </c>
      <c r="I905" s="19">
        <v>1248.03</v>
      </c>
      <c r="J905" s="19">
        <v>21216.51</v>
      </c>
    </row>
    <row r="906" ht="15.25" spans="1:10">
      <c r="A906" s="18">
        <v>44991</v>
      </c>
      <c r="B906" s="19" t="s">
        <v>1892</v>
      </c>
      <c r="C906" s="19" t="s">
        <v>1903</v>
      </c>
      <c r="D906" s="19" t="s">
        <v>1884</v>
      </c>
      <c r="E906" s="19" t="s">
        <v>1895</v>
      </c>
      <c r="F906" s="19" t="s">
        <v>1859</v>
      </c>
      <c r="G906" s="19" t="s">
        <v>1872</v>
      </c>
      <c r="H906" s="19">
        <v>16</v>
      </c>
      <c r="I906" s="19">
        <v>665.83</v>
      </c>
      <c r="J906" s="19">
        <v>10653.28</v>
      </c>
    </row>
    <row r="907" ht="26.75" spans="1:10">
      <c r="A907" s="18">
        <v>45082</v>
      </c>
      <c r="B907" s="19" t="s">
        <v>1848</v>
      </c>
      <c r="C907" s="19" t="s">
        <v>1598</v>
      </c>
      <c r="D907" s="19" t="s">
        <v>1850</v>
      </c>
      <c r="E907" s="19" t="s">
        <v>1851</v>
      </c>
      <c r="F907" s="19" t="s">
        <v>1876</v>
      </c>
      <c r="G907" s="19" t="s">
        <v>1926</v>
      </c>
      <c r="H907" s="19">
        <v>16</v>
      </c>
      <c r="I907" s="19">
        <v>615.7</v>
      </c>
      <c r="J907" s="19">
        <v>9851.2</v>
      </c>
    </row>
    <row r="908" ht="15.25" spans="1:10">
      <c r="A908" s="18" t="s">
        <v>1948</v>
      </c>
      <c r="B908" s="19" t="s">
        <v>1878</v>
      </c>
      <c r="C908" s="19" t="s">
        <v>1906</v>
      </c>
      <c r="D908" s="19" t="s">
        <v>1862</v>
      </c>
      <c r="E908" s="19" t="s">
        <v>1858</v>
      </c>
      <c r="F908" s="19" t="s">
        <v>1859</v>
      </c>
      <c r="G908" s="19" t="s">
        <v>1947</v>
      </c>
      <c r="H908" s="19">
        <v>13</v>
      </c>
      <c r="I908" s="19">
        <v>3616.99</v>
      </c>
      <c r="J908" s="19">
        <v>47020.87</v>
      </c>
    </row>
    <row r="909" ht="15.25" spans="1:10">
      <c r="A909" s="18">
        <v>45144</v>
      </c>
      <c r="B909" s="19" t="s">
        <v>1902</v>
      </c>
      <c r="C909" s="19" t="s">
        <v>1864</v>
      </c>
      <c r="D909" s="19" t="s">
        <v>1857</v>
      </c>
      <c r="E909" s="19" t="s">
        <v>1858</v>
      </c>
      <c r="F909" s="19" t="s">
        <v>1865</v>
      </c>
      <c r="G909" s="19" t="s">
        <v>1886</v>
      </c>
      <c r="H909" s="19">
        <v>9</v>
      </c>
      <c r="I909" s="19">
        <v>1940.11</v>
      </c>
      <c r="J909" s="19">
        <v>17460.99</v>
      </c>
    </row>
    <row r="910" ht="15.25" spans="1:10">
      <c r="A910" s="18" t="s">
        <v>1940</v>
      </c>
      <c r="B910" s="19" t="s">
        <v>1889</v>
      </c>
      <c r="C910" s="19" t="s">
        <v>1864</v>
      </c>
      <c r="D910" s="19" t="s">
        <v>1857</v>
      </c>
      <c r="E910" s="19" t="s">
        <v>1858</v>
      </c>
      <c r="F910" s="19" t="s">
        <v>1876</v>
      </c>
      <c r="G910" s="19" t="s">
        <v>1883</v>
      </c>
      <c r="H910" s="19">
        <v>16</v>
      </c>
      <c r="I910" s="19">
        <v>1064.93</v>
      </c>
      <c r="J910" s="19">
        <v>17038.88</v>
      </c>
    </row>
    <row r="911" ht="26.75" spans="1:10">
      <c r="A911" s="18">
        <v>45232</v>
      </c>
      <c r="B911" s="19" t="s">
        <v>1889</v>
      </c>
      <c r="C911" s="19" t="s">
        <v>1593</v>
      </c>
      <c r="D911" s="19" t="s">
        <v>1850</v>
      </c>
      <c r="E911" s="19" t="s">
        <v>1851</v>
      </c>
      <c r="F911" s="19" t="s">
        <v>1865</v>
      </c>
      <c r="G911" s="19" t="s">
        <v>1920</v>
      </c>
      <c r="H911" s="19">
        <v>2</v>
      </c>
      <c r="I911" s="19">
        <v>4845.74</v>
      </c>
      <c r="J911" s="19">
        <v>9691.48</v>
      </c>
    </row>
    <row r="912" ht="15.25" spans="1:10">
      <c r="A912" s="18" t="s">
        <v>2025</v>
      </c>
      <c r="B912" s="19" t="s">
        <v>1867</v>
      </c>
      <c r="C912" s="19" t="s">
        <v>1875</v>
      </c>
      <c r="D912" s="19" t="s">
        <v>1862</v>
      </c>
      <c r="E912" s="19" t="s">
        <v>1858</v>
      </c>
      <c r="F912" s="19" t="s">
        <v>1868</v>
      </c>
      <c r="G912" s="19" t="s">
        <v>1917</v>
      </c>
      <c r="H912" s="19">
        <v>3</v>
      </c>
      <c r="I912" s="19">
        <v>4766.28</v>
      </c>
      <c r="J912" s="19">
        <v>14298.84</v>
      </c>
    </row>
    <row r="913" ht="15.25" spans="1:10">
      <c r="A913" s="18">
        <v>45233</v>
      </c>
      <c r="B913" s="19" t="s">
        <v>1855</v>
      </c>
      <c r="C913" s="19" t="s">
        <v>1589</v>
      </c>
      <c r="D913" s="19" t="s">
        <v>1884</v>
      </c>
      <c r="E913" s="19" t="s">
        <v>1895</v>
      </c>
      <c r="F913" s="19" t="s">
        <v>1865</v>
      </c>
      <c r="G913" s="19" t="s">
        <v>1920</v>
      </c>
      <c r="H913" s="19">
        <v>15</v>
      </c>
      <c r="I913" s="19">
        <v>3946.23</v>
      </c>
      <c r="J913" s="19">
        <v>59193.45</v>
      </c>
    </row>
    <row r="914" ht="15.25" spans="1:10">
      <c r="A914" s="18">
        <v>45145</v>
      </c>
      <c r="B914" s="19" t="s">
        <v>1878</v>
      </c>
      <c r="C914" s="19" t="s">
        <v>1610</v>
      </c>
      <c r="D914" s="19" t="s">
        <v>1879</v>
      </c>
      <c r="E914" s="19" t="s">
        <v>1851</v>
      </c>
      <c r="F914" s="19" t="s">
        <v>1865</v>
      </c>
      <c r="G914" s="19" t="s">
        <v>1886</v>
      </c>
      <c r="H914" s="19">
        <v>12</v>
      </c>
      <c r="I914" s="19">
        <v>1804.27</v>
      </c>
      <c r="J914" s="19">
        <v>21651.24</v>
      </c>
    </row>
    <row r="915" ht="26.75" spans="1:10">
      <c r="A915" s="18" t="s">
        <v>2117</v>
      </c>
      <c r="B915" s="19" t="s">
        <v>1871</v>
      </c>
      <c r="C915" s="19" t="s">
        <v>1849</v>
      </c>
      <c r="D915" s="19" t="s">
        <v>1850</v>
      </c>
      <c r="E915" s="19" t="s">
        <v>1851</v>
      </c>
      <c r="F915" s="19" t="s">
        <v>1876</v>
      </c>
      <c r="G915" s="19" t="s">
        <v>1877</v>
      </c>
      <c r="H915" s="19">
        <v>3</v>
      </c>
      <c r="I915" s="19">
        <v>2055.45</v>
      </c>
      <c r="J915" s="19">
        <v>6166.35</v>
      </c>
    </row>
    <row r="916" ht="15.25" spans="1:10">
      <c r="A916" s="18">
        <v>45056</v>
      </c>
      <c r="B916" s="19" t="s">
        <v>1871</v>
      </c>
      <c r="C916" s="19" t="s">
        <v>1589</v>
      </c>
      <c r="D916" s="19" t="s">
        <v>1884</v>
      </c>
      <c r="E916" s="19" t="s">
        <v>1895</v>
      </c>
      <c r="F916" s="19" t="s">
        <v>1852</v>
      </c>
      <c r="G916" s="19" t="s">
        <v>1910</v>
      </c>
      <c r="H916" s="19">
        <v>5</v>
      </c>
      <c r="I916" s="19">
        <v>1568.68</v>
      </c>
      <c r="J916" s="19">
        <v>7843.4</v>
      </c>
    </row>
    <row r="917" ht="15.25" spans="1:10">
      <c r="A917" s="18" t="s">
        <v>1925</v>
      </c>
      <c r="B917" s="19" t="s">
        <v>1874</v>
      </c>
      <c r="C917" s="19" t="s">
        <v>1875</v>
      </c>
      <c r="D917" s="19" t="s">
        <v>1862</v>
      </c>
      <c r="E917" s="19" t="s">
        <v>1858</v>
      </c>
      <c r="F917" s="19" t="s">
        <v>1852</v>
      </c>
      <c r="G917" s="19" t="s">
        <v>1934</v>
      </c>
      <c r="H917" s="19">
        <v>16</v>
      </c>
      <c r="I917" s="19">
        <v>2288.68</v>
      </c>
      <c r="J917" s="19">
        <v>36618.88</v>
      </c>
    </row>
    <row r="918" ht="15.25" spans="1:10">
      <c r="A918" s="18">
        <v>45113</v>
      </c>
      <c r="B918" s="19" t="s">
        <v>1892</v>
      </c>
      <c r="C918" s="19" t="s">
        <v>1864</v>
      </c>
      <c r="D918" s="19" t="s">
        <v>1857</v>
      </c>
      <c r="E918" s="19" t="s">
        <v>1858</v>
      </c>
      <c r="F918" s="19" t="s">
        <v>1852</v>
      </c>
      <c r="G918" s="19" t="s">
        <v>1950</v>
      </c>
      <c r="H918" s="19">
        <v>12</v>
      </c>
      <c r="I918" s="19">
        <v>2133.05</v>
      </c>
      <c r="J918" s="19">
        <v>25596.6</v>
      </c>
    </row>
    <row r="919" ht="26.75" spans="1:10">
      <c r="A919" s="18">
        <v>45050</v>
      </c>
      <c r="B919" s="19" t="s">
        <v>1892</v>
      </c>
      <c r="C919" s="19" t="s">
        <v>1598</v>
      </c>
      <c r="D919" s="19" t="s">
        <v>1850</v>
      </c>
      <c r="E919" s="19" t="s">
        <v>1851</v>
      </c>
      <c r="F919" s="19" t="s">
        <v>1868</v>
      </c>
      <c r="G919" s="19" t="s">
        <v>1907</v>
      </c>
      <c r="H919" s="19">
        <v>4</v>
      </c>
      <c r="I919" s="19">
        <v>1208.42</v>
      </c>
      <c r="J919" s="19">
        <v>4833.68</v>
      </c>
    </row>
    <row r="920" ht="15.25" spans="1:10">
      <c r="A920" s="18">
        <v>45175</v>
      </c>
      <c r="B920" s="19" t="s">
        <v>1892</v>
      </c>
      <c r="C920" s="19" t="s">
        <v>1894</v>
      </c>
      <c r="D920" s="19" t="s">
        <v>1884</v>
      </c>
      <c r="E920" s="19" t="s">
        <v>1895</v>
      </c>
      <c r="F920" s="19" t="s">
        <v>1859</v>
      </c>
      <c r="G920" s="19" t="s">
        <v>1860</v>
      </c>
      <c r="H920" s="19">
        <v>14</v>
      </c>
      <c r="I920" s="19">
        <v>630.45</v>
      </c>
      <c r="J920" s="19">
        <v>8826.3</v>
      </c>
    </row>
    <row r="921" ht="26.75" spans="1:10">
      <c r="A921" s="18" t="s">
        <v>2026</v>
      </c>
      <c r="B921" s="19" t="s">
        <v>1871</v>
      </c>
      <c r="C921" s="19" t="s">
        <v>1849</v>
      </c>
      <c r="D921" s="19" t="s">
        <v>1850</v>
      </c>
      <c r="E921" s="19" t="s">
        <v>1851</v>
      </c>
      <c r="F921" s="19" t="s">
        <v>1865</v>
      </c>
      <c r="G921" s="19" t="s">
        <v>1866</v>
      </c>
      <c r="H921" s="19">
        <v>14</v>
      </c>
      <c r="I921" s="19">
        <v>2713.47</v>
      </c>
      <c r="J921" s="19">
        <v>37988.58</v>
      </c>
    </row>
    <row r="922" ht="15.25" spans="1:10">
      <c r="A922" s="18">
        <v>45173</v>
      </c>
      <c r="B922" s="19" t="s">
        <v>1848</v>
      </c>
      <c r="C922" s="19" t="s">
        <v>1894</v>
      </c>
      <c r="D922" s="19" t="s">
        <v>1884</v>
      </c>
      <c r="E922" s="19" t="s">
        <v>1895</v>
      </c>
      <c r="F922" s="19" t="s">
        <v>1852</v>
      </c>
      <c r="G922" s="19" t="s">
        <v>1950</v>
      </c>
      <c r="H922" s="19">
        <v>7</v>
      </c>
      <c r="I922" s="19">
        <v>3273.61</v>
      </c>
      <c r="J922" s="19">
        <v>22915.27</v>
      </c>
    </row>
    <row r="923" ht="26.75" spans="1:10">
      <c r="A923" s="18" t="s">
        <v>2062</v>
      </c>
      <c r="B923" s="19" t="s">
        <v>1871</v>
      </c>
      <c r="C923" s="19" t="s">
        <v>1598</v>
      </c>
      <c r="D923" s="19" t="s">
        <v>1850</v>
      </c>
      <c r="E923" s="19" t="s">
        <v>1851</v>
      </c>
      <c r="F923" s="19" t="s">
        <v>1865</v>
      </c>
      <c r="G923" s="19" t="s">
        <v>1890</v>
      </c>
      <c r="H923" s="19">
        <v>9</v>
      </c>
      <c r="I923" s="19">
        <v>566.92</v>
      </c>
      <c r="J923" s="19">
        <v>5102.28</v>
      </c>
    </row>
    <row r="924" ht="15.25" spans="1:10">
      <c r="A924" s="18" t="s">
        <v>2089</v>
      </c>
      <c r="B924" s="19" t="s">
        <v>1889</v>
      </c>
      <c r="C924" s="19" t="s">
        <v>1875</v>
      </c>
      <c r="D924" s="19" t="s">
        <v>1862</v>
      </c>
      <c r="E924" s="19" t="s">
        <v>1858</v>
      </c>
      <c r="F924" s="19" t="s">
        <v>1876</v>
      </c>
      <c r="G924" s="19" t="s">
        <v>1883</v>
      </c>
      <c r="H924" s="19">
        <v>2</v>
      </c>
      <c r="I924" s="19">
        <v>3830.39</v>
      </c>
      <c r="J924" s="19">
        <v>7660.78</v>
      </c>
    </row>
    <row r="925" ht="26.75" spans="1:10">
      <c r="A925" s="18" t="s">
        <v>2109</v>
      </c>
      <c r="B925" s="19" t="s">
        <v>1867</v>
      </c>
      <c r="C925" s="19" t="s">
        <v>1598</v>
      </c>
      <c r="D925" s="19" t="s">
        <v>1850</v>
      </c>
      <c r="E925" s="19" t="s">
        <v>1851</v>
      </c>
      <c r="F925" s="19" t="s">
        <v>1876</v>
      </c>
      <c r="G925" s="19" t="s">
        <v>1926</v>
      </c>
      <c r="H925" s="19">
        <v>7</v>
      </c>
      <c r="I925" s="19">
        <v>4456.5</v>
      </c>
      <c r="J925" s="19">
        <v>31195.5</v>
      </c>
    </row>
    <row r="926" ht="15.25" spans="1:10">
      <c r="A926" s="18" t="s">
        <v>2118</v>
      </c>
      <c r="B926" s="19" t="s">
        <v>1848</v>
      </c>
      <c r="C926" s="19" t="s">
        <v>1626</v>
      </c>
      <c r="D926" s="19" t="s">
        <v>1857</v>
      </c>
      <c r="E926" s="19" t="s">
        <v>1858</v>
      </c>
      <c r="F926" s="19" t="s">
        <v>1859</v>
      </c>
      <c r="G926" s="19" t="s">
        <v>1922</v>
      </c>
      <c r="H926" s="19">
        <v>15</v>
      </c>
      <c r="I926" s="19">
        <v>202.66</v>
      </c>
      <c r="J926" s="19">
        <v>3039.9</v>
      </c>
    </row>
    <row r="927" ht="26.75" spans="1:10">
      <c r="A927" s="18" t="s">
        <v>1940</v>
      </c>
      <c r="B927" s="19" t="s">
        <v>1889</v>
      </c>
      <c r="C927" s="19" t="s">
        <v>1849</v>
      </c>
      <c r="D927" s="19" t="s">
        <v>1850</v>
      </c>
      <c r="E927" s="19" t="s">
        <v>1851</v>
      </c>
      <c r="F927" s="19" t="s">
        <v>1865</v>
      </c>
      <c r="G927" s="19" t="s">
        <v>1886</v>
      </c>
      <c r="H927" s="19">
        <v>10</v>
      </c>
      <c r="I927" s="19">
        <v>1018.19</v>
      </c>
      <c r="J927" s="19">
        <v>10181.9</v>
      </c>
    </row>
    <row r="928" ht="15.25" spans="1:10">
      <c r="A928" s="18">
        <v>45050</v>
      </c>
      <c r="B928" s="19" t="s">
        <v>1848</v>
      </c>
      <c r="C928" s="19" t="s">
        <v>1610</v>
      </c>
      <c r="D928" s="19" t="s">
        <v>1879</v>
      </c>
      <c r="E928" s="19" t="s">
        <v>1851</v>
      </c>
      <c r="F928" s="19" t="s">
        <v>1865</v>
      </c>
      <c r="G928" s="19" t="s">
        <v>1886</v>
      </c>
      <c r="H928" s="19">
        <v>4</v>
      </c>
      <c r="I928" s="19">
        <v>3300.36</v>
      </c>
      <c r="J928" s="19">
        <v>13201.44</v>
      </c>
    </row>
    <row r="929" ht="15.25" spans="1:10">
      <c r="A929" s="18" t="s">
        <v>2119</v>
      </c>
      <c r="B929" s="19" t="s">
        <v>1855</v>
      </c>
      <c r="C929" s="19" t="s">
        <v>1589</v>
      </c>
      <c r="D929" s="19" t="s">
        <v>1884</v>
      </c>
      <c r="E929" s="19" t="s">
        <v>1895</v>
      </c>
      <c r="F929" s="19" t="s">
        <v>1865</v>
      </c>
      <c r="G929" s="19" t="s">
        <v>1886</v>
      </c>
      <c r="H929" s="19">
        <v>12</v>
      </c>
      <c r="I929" s="19">
        <v>957.01</v>
      </c>
      <c r="J929" s="19">
        <v>11484.12</v>
      </c>
    </row>
    <row r="930" ht="15.25" spans="1:10">
      <c r="A930" s="18" t="s">
        <v>1971</v>
      </c>
      <c r="B930" s="19" t="s">
        <v>1855</v>
      </c>
      <c r="C930" s="19" t="s">
        <v>1626</v>
      </c>
      <c r="D930" s="19" t="s">
        <v>1857</v>
      </c>
      <c r="E930" s="19" t="s">
        <v>1858</v>
      </c>
      <c r="F930" s="19" t="s">
        <v>1868</v>
      </c>
      <c r="G930" s="19" t="s">
        <v>1899</v>
      </c>
      <c r="H930" s="19">
        <v>19</v>
      </c>
      <c r="I930" s="19">
        <v>1933.19</v>
      </c>
      <c r="J930" s="19">
        <v>36730.61</v>
      </c>
    </row>
    <row r="931" ht="15.25" spans="1:10">
      <c r="A931" s="18" t="s">
        <v>2083</v>
      </c>
      <c r="B931" s="19" t="s">
        <v>1861</v>
      </c>
      <c r="C931" s="19" t="s">
        <v>1894</v>
      </c>
      <c r="D931" s="19" t="s">
        <v>1884</v>
      </c>
      <c r="E931" s="19" t="s">
        <v>1895</v>
      </c>
      <c r="F931" s="19" t="s">
        <v>1852</v>
      </c>
      <c r="G931" s="19" t="s">
        <v>1950</v>
      </c>
      <c r="H931" s="19">
        <v>15</v>
      </c>
      <c r="I931" s="19">
        <v>834.13</v>
      </c>
      <c r="J931" s="19">
        <v>12511.95</v>
      </c>
    </row>
    <row r="932" ht="15.25" spans="1:10">
      <c r="A932" s="18" t="s">
        <v>1949</v>
      </c>
      <c r="B932" s="19" t="s">
        <v>1874</v>
      </c>
      <c r="C932" s="19" t="s">
        <v>1875</v>
      </c>
      <c r="D932" s="19" t="s">
        <v>1862</v>
      </c>
      <c r="E932" s="19" t="s">
        <v>1858</v>
      </c>
      <c r="F932" s="19" t="s">
        <v>1859</v>
      </c>
      <c r="G932" s="19" t="s">
        <v>1922</v>
      </c>
      <c r="H932" s="19">
        <v>18</v>
      </c>
      <c r="I932" s="19">
        <v>2535.82</v>
      </c>
      <c r="J932" s="19">
        <v>45644.76</v>
      </c>
    </row>
    <row r="933" ht="15.25" spans="1:10">
      <c r="A933" s="18">
        <v>45202</v>
      </c>
      <c r="B933" s="19" t="s">
        <v>1855</v>
      </c>
      <c r="C933" s="19" t="s">
        <v>1626</v>
      </c>
      <c r="D933" s="19" t="s">
        <v>1857</v>
      </c>
      <c r="E933" s="19" t="s">
        <v>1858</v>
      </c>
      <c r="F933" s="19" t="s">
        <v>1868</v>
      </c>
      <c r="G933" s="19" t="s">
        <v>1917</v>
      </c>
      <c r="H933" s="19">
        <v>18</v>
      </c>
      <c r="I933" s="19">
        <v>2299.93</v>
      </c>
      <c r="J933" s="19">
        <v>41398.74</v>
      </c>
    </row>
    <row r="934" ht="15.25" spans="1:10">
      <c r="A934" s="18" t="s">
        <v>1863</v>
      </c>
      <c r="B934" s="19" t="s">
        <v>1874</v>
      </c>
      <c r="C934" s="19" t="s">
        <v>1610</v>
      </c>
      <c r="D934" s="19" t="s">
        <v>1879</v>
      </c>
      <c r="E934" s="19" t="s">
        <v>1851</v>
      </c>
      <c r="F934" s="19" t="s">
        <v>1852</v>
      </c>
      <c r="G934" s="19" t="s">
        <v>1910</v>
      </c>
      <c r="H934" s="19">
        <v>5</v>
      </c>
      <c r="I934" s="19">
        <v>606.49</v>
      </c>
      <c r="J934" s="19">
        <v>3032.45</v>
      </c>
    </row>
    <row r="935" ht="15.25" spans="1:10">
      <c r="A935" s="18" t="s">
        <v>2008</v>
      </c>
      <c r="B935" s="19" t="s">
        <v>1871</v>
      </c>
      <c r="C935" s="19" t="s">
        <v>1906</v>
      </c>
      <c r="D935" s="19" t="s">
        <v>1862</v>
      </c>
      <c r="E935" s="19" t="s">
        <v>1858</v>
      </c>
      <c r="F935" s="19" t="s">
        <v>1859</v>
      </c>
      <c r="G935" s="19" t="s">
        <v>1872</v>
      </c>
      <c r="H935" s="19">
        <v>6</v>
      </c>
      <c r="I935" s="19">
        <v>1919.03</v>
      </c>
      <c r="J935" s="19">
        <v>11514.18</v>
      </c>
    </row>
    <row r="936" ht="15.25" spans="1:10">
      <c r="A936" s="18">
        <v>44963</v>
      </c>
      <c r="B936" s="19" t="s">
        <v>1848</v>
      </c>
      <c r="C936" s="19" t="s">
        <v>1906</v>
      </c>
      <c r="D936" s="19" t="s">
        <v>1862</v>
      </c>
      <c r="E936" s="19" t="s">
        <v>1858</v>
      </c>
      <c r="F936" s="19" t="s">
        <v>1859</v>
      </c>
      <c r="G936" s="19" t="s">
        <v>1922</v>
      </c>
      <c r="H936" s="19">
        <v>9</v>
      </c>
      <c r="I936" s="19">
        <v>662.41</v>
      </c>
      <c r="J936" s="19">
        <v>5961.69</v>
      </c>
    </row>
    <row r="937" ht="15.25" spans="1:10">
      <c r="A937" s="18">
        <v>45170</v>
      </c>
      <c r="B937" s="19" t="s">
        <v>1902</v>
      </c>
      <c r="C937" s="19" t="s">
        <v>1864</v>
      </c>
      <c r="D937" s="19" t="s">
        <v>1857</v>
      </c>
      <c r="E937" s="19" t="s">
        <v>1858</v>
      </c>
      <c r="F937" s="19" t="s">
        <v>1859</v>
      </c>
      <c r="G937" s="19" t="s">
        <v>1947</v>
      </c>
      <c r="H937" s="19">
        <v>18</v>
      </c>
      <c r="I937" s="19">
        <v>970.52</v>
      </c>
      <c r="J937" s="19">
        <v>17469.36</v>
      </c>
    </row>
    <row r="938" ht="15.25" spans="1:10">
      <c r="A938" s="18">
        <v>45056</v>
      </c>
      <c r="B938" s="19" t="s">
        <v>1892</v>
      </c>
      <c r="C938" s="19" t="s">
        <v>1589</v>
      </c>
      <c r="D938" s="19" t="s">
        <v>1884</v>
      </c>
      <c r="E938" s="19" t="s">
        <v>1895</v>
      </c>
      <c r="F938" s="19" t="s">
        <v>1876</v>
      </c>
      <c r="G938" s="19" t="s">
        <v>1926</v>
      </c>
      <c r="H938" s="19">
        <v>2</v>
      </c>
      <c r="I938" s="19">
        <v>4112.53</v>
      </c>
      <c r="J938" s="19">
        <v>8225.06</v>
      </c>
    </row>
    <row r="939" ht="15.25" spans="1:10">
      <c r="A939" s="18">
        <v>45021</v>
      </c>
      <c r="B939" s="19" t="s">
        <v>1874</v>
      </c>
      <c r="C939" s="19" t="s">
        <v>1875</v>
      </c>
      <c r="D939" s="19" t="s">
        <v>1862</v>
      </c>
      <c r="E939" s="19" t="s">
        <v>1858</v>
      </c>
      <c r="F939" s="19" t="s">
        <v>1876</v>
      </c>
      <c r="G939" s="19" t="s">
        <v>1926</v>
      </c>
      <c r="H939" s="19">
        <v>4</v>
      </c>
      <c r="I939" s="19">
        <v>4968.93</v>
      </c>
      <c r="J939" s="19">
        <v>19875.72</v>
      </c>
    </row>
    <row r="940" ht="15.25" spans="1:10">
      <c r="A940" s="18" t="s">
        <v>2055</v>
      </c>
      <c r="B940" s="19" t="s">
        <v>1878</v>
      </c>
      <c r="C940" s="19" t="s">
        <v>1602</v>
      </c>
      <c r="D940" s="19" t="s">
        <v>1862</v>
      </c>
      <c r="E940" s="19" t="s">
        <v>1858</v>
      </c>
      <c r="F940" s="19" t="s">
        <v>1865</v>
      </c>
      <c r="G940" s="19" t="s">
        <v>1890</v>
      </c>
      <c r="H940" s="19">
        <v>2</v>
      </c>
      <c r="I940" s="19">
        <v>339.56</v>
      </c>
      <c r="J940" s="19">
        <v>679.12</v>
      </c>
    </row>
    <row r="941" ht="15.25" spans="1:10">
      <c r="A941" s="18" t="s">
        <v>2084</v>
      </c>
      <c r="B941" s="19" t="s">
        <v>1855</v>
      </c>
      <c r="C941" s="19" t="s">
        <v>1875</v>
      </c>
      <c r="D941" s="19" t="s">
        <v>1862</v>
      </c>
      <c r="E941" s="19" t="s">
        <v>1858</v>
      </c>
      <c r="F941" s="19" t="s">
        <v>1859</v>
      </c>
      <c r="G941" s="19" t="s">
        <v>1860</v>
      </c>
      <c r="H941" s="19">
        <v>3</v>
      </c>
      <c r="I941" s="19">
        <v>3853.05</v>
      </c>
      <c r="J941" s="19">
        <v>11559.15</v>
      </c>
    </row>
    <row r="942" ht="15.25" spans="1:10">
      <c r="A942" s="18" t="s">
        <v>1967</v>
      </c>
      <c r="B942" s="19" t="s">
        <v>1861</v>
      </c>
      <c r="C942" s="19" t="s">
        <v>1894</v>
      </c>
      <c r="D942" s="19" t="s">
        <v>1884</v>
      </c>
      <c r="E942" s="19" t="s">
        <v>1895</v>
      </c>
      <c r="F942" s="19" t="s">
        <v>1865</v>
      </c>
      <c r="G942" s="19" t="s">
        <v>1866</v>
      </c>
      <c r="H942" s="19">
        <v>11</v>
      </c>
      <c r="I942" s="19">
        <v>2212.9</v>
      </c>
      <c r="J942" s="19">
        <v>24341.9</v>
      </c>
    </row>
    <row r="943" ht="15.25" spans="1:10">
      <c r="A943" s="18">
        <v>45113</v>
      </c>
      <c r="B943" s="19" t="s">
        <v>1889</v>
      </c>
      <c r="C943" s="19" t="s">
        <v>1626</v>
      </c>
      <c r="D943" s="19" t="s">
        <v>1857</v>
      </c>
      <c r="E943" s="19" t="s">
        <v>1858</v>
      </c>
      <c r="F943" s="19" t="s">
        <v>1859</v>
      </c>
      <c r="G943" s="19" t="s">
        <v>1947</v>
      </c>
      <c r="H943" s="19">
        <v>18</v>
      </c>
      <c r="I943" s="19">
        <v>509.79</v>
      </c>
      <c r="J943" s="19">
        <v>9176.22</v>
      </c>
    </row>
    <row r="944" ht="15.25" spans="1:10">
      <c r="A944" s="18">
        <v>45052</v>
      </c>
      <c r="B944" s="19" t="s">
        <v>1902</v>
      </c>
      <c r="C944" s="19" t="s">
        <v>1602</v>
      </c>
      <c r="D944" s="19" t="s">
        <v>1862</v>
      </c>
      <c r="E944" s="19" t="s">
        <v>1858</v>
      </c>
      <c r="F944" s="19" t="s">
        <v>1852</v>
      </c>
      <c r="G944" s="19" t="s">
        <v>1910</v>
      </c>
      <c r="H944" s="19">
        <v>16</v>
      </c>
      <c r="I944" s="19">
        <v>2724.77</v>
      </c>
      <c r="J944" s="19">
        <v>43596.32</v>
      </c>
    </row>
    <row r="945" ht="26.75" spans="1:10">
      <c r="A945" s="18" t="s">
        <v>2114</v>
      </c>
      <c r="B945" s="19" t="s">
        <v>1892</v>
      </c>
      <c r="C945" s="19" t="s">
        <v>1849</v>
      </c>
      <c r="D945" s="19" t="s">
        <v>1850</v>
      </c>
      <c r="E945" s="19" t="s">
        <v>1851</v>
      </c>
      <c r="F945" s="19" t="s">
        <v>1865</v>
      </c>
      <c r="G945" s="19" t="s">
        <v>1886</v>
      </c>
      <c r="H945" s="19">
        <v>18</v>
      </c>
      <c r="I945" s="19">
        <v>4718.22</v>
      </c>
      <c r="J945" s="19">
        <v>84927.96</v>
      </c>
    </row>
    <row r="946" ht="15.25" spans="1:10">
      <c r="A946" s="18" t="s">
        <v>1988</v>
      </c>
      <c r="B946" s="19" t="s">
        <v>1892</v>
      </c>
      <c r="C946" s="19" t="s">
        <v>1864</v>
      </c>
      <c r="D946" s="19" t="s">
        <v>1857</v>
      </c>
      <c r="E946" s="19" t="s">
        <v>1858</v>
      </c>
      <c r="F946" s="19" t="s">
        <v>1876</v>
      </c>
      <c r="G946" s="19" t="s">
        <v>1930</v>
      </c>
      <c r="H946" s="19">
        <v>9</v>
      </c>
      <c r="I946" s="19">
        <v>4811.76</v>
      </c>
      <c r="J946" s="19">
        <v>43305.84</v>
      </c>
    </row>
    <row r="947" ht="15.25" spans="1:10">
      <c r="A947" s="18">
        <v>45108</v>
      </c>
      <c r="B947" s="19" t="s">
        <v>1848</v>
      </c>
      <c r="C947" s="19" t="s">
        <v>1626</v>
      </c>
      <c r="D947" s="19" t="s">
        <v>1857</v>
      </c>
      <c r="E947" s="19" t="s">
        <v>1858</v>
      </c>
      <c r="F947" s="19" t="s">
        <v>1852</v>
      </c>
      <c r="G947" s="19" t="s">
        <v>1950</v>
      </c>
      <c r="H947" s="19">
        <v>8</v>
      </c>
      <c r="I947" s="19">
        <v>4021.86</v>
      </c>
      <c r="J947" s="19">
        <v>32174.88</v>
      </c>
    </row>
    <row r="948" ht="15.25" spans="1:10">
      <c r="A948" s="18" t="s">
        <v>2034</v>
      </c>
      <c r="B948" s="19" t="s">
        <v>1902</v>
      </c>
      <c r="C948" s="19" t="s">
        <v>1875</v>
      </c>
      <c r="D948" s="19" t="s">
        <v>1862</v>
      </c>
      <c r="E948" s="19" t="s">
        <v>1858</v>
      </c>
      <c r="F948" s="19" t="s">
        <v>1852</v>
      </c>
      <c r="G948" s="19" t="s">
        <v>1910</v>
      </c>
      <c r="H948" s="19">
        <v>16</v>
      </c>
      <c r="I948" s="19">
        <v>4008.72</v>
      </c>
      <c r="J948" s="19">
        <v>64139.52</v>
      </c>
    </row>
    <row r="949" ht="15.25" spans="1:10">
      <c r="A949" s="18" t="s">
        <v>2009</v>
      </c>
      <c r="B949" s="19" t="s">
        <v>1848</v>
      </c>
      <c r="C949" s="19" t="s">
        <v>1898</v>
      </c>
      <c r="D949" s="19" t="s">
        <v>1879</v>
      </c>
      <c r="E949" s="19" t="s">
        <v>1851</v>
      </c>
      <c r="F949" s="19" t="s">
        <v>1852</v>
      </c>
      <c r="G949" s="19" t="s">
        <v>1950</v>
      </c>
      <c r="H949" s="19">
        <v>14</v>
      </c>
      <c r="I949" s="19">
        <v>4793.38</v>
      </c>
      <c r="J949" s="19">
        <v>67107.32</v>
      </c>
    </row>
    <row r="950" ht="15.25" spans="1:10">
      <c r="A950" s="18" t="s">
        <v>2105</v>
      </c>
      <c r="B950" s="19" t="s">
        <v>1874</v>
      </c>
      <c r="C950" s="19" t="s">
        <v>1903</v>
      </c>
      <c r="D950" s="19" t="s">
        <v>1884</v>
      </c>
      <c r="E950" s="19" t="s">
        <v>1895</v>
      </c>
      <c r="F950" s="19" t="s">
        <v>1852</v>
      </c>
      <c r="G950" s="19" t="s">
        <v>1934</v>
      </c>
      <c r="H950" s="19">
        <v>14</v>
      </c>
      <c r="I950" s="19">
        <v>4816.39</v>
      </c>
      <c r="J950" s="19">
        <v>67429.46</v>
      </c>
    </row>
    <row r="951" ht="15.25" spans="1:10">
      <c r="A951" s="18" t="s">
        <v>1958</v>
      </c>
      <c r="B951" s="19" t="s">
        <v>1871</v>
      </c>
      <c r="C951" s="19" t="s">
        <v>1941</v>
      </c>
      <c r="D951" s="19" t="s">
        <v>1879</v>
      </c>
      <c r="E951" s="19" t="s">
        <v>1851</v>
      </c>
      <c r="F951" s="19" t="s">
        <v>1852</v>
      </c>
      <c r="G951" s="19" t="s">
        <v>1853</v>
      </c>
      <c r="H951" s="19">
        <v>6</v>
      </c>
      <c r="I951" s="19">
        <v>4072.51</v>
      </c>
      <c r="J951" s="19">
        <v>24435.06</v>
      </c>
    </row>
    <row r="952" ht="26.75" spans="1:10">
      <c r="A952" s="18">
        <v>45263</v>
      </c>
      <c r="B952" s="19" t="s">
        <v>1878</v>
      </c>
      <c r="C952" s="19" t="s">
        <v>1593</v>
      </c>
      <c r="D952" s="19" t="s">
        <v>1850</v>
      </c>
      <c r="E952" s="19" t="s">
        <v>1851</v>
      </c>
      <c r="F952" s="19" t="s">
        <v>1868</v>
      </c>
      <c r="G952" s="19" t="s">
        <v>1917</v>
      </c>
      <c r="H952" s="19">
        <v>2</v>
      </c>
      <c r="I952" s="19">
        <v>1269.81</v>
      </c>
      <c r="J952" s="19">
        <v>2539.62</v>
      </c>
    </row>
    <row r="953" ht="15.25" spans="1:10">
      <c r="A953" s="18" t="s">
        <v>2026</v>
      </c>
      <c r="B953" s="19" t="s">
        <v>1889</v>
      </c>
      <c r="C953" s="19" t="s">
        <v>1941</v>
      </c>
      <c r="D953" s="19" t="s">
        <v>1879</v>
      </c>
      <c r="E953" s="19" t="s">
        <v>1851</v>
      </c>
      <c r="F953" s="19" t="s">
        <v>1868</v>
      </c>
      <c r="G953" s="19" t="s">
        <v>1907</v>
      </c>
      <c r="H953" s="19">
        <v>13</v>
      </c>
      <c r="I953" s="19">
        <v>3071.93</v>
      </c>
      <c r="J953" s="19">
        <v>39935.09</v>
      </c>
    </row>
    <row r="954" ht="15.25" spans="1:10">
      <c r="A954" s="18" t="s">
        <v>1978</v>
      </c>
      <c r="B954" s="19" t="s">
        <v>1867</v>
      </c>
      <c r="C954" s="19" t="s">
        <v>1610</v>
      </c>
      <c r="D954" s="19" t="s">
        <v>1879</v>
      </c>
      <c r="E954" s="19" t="s">
        <v>1851</v>
      </c>
      <c r="F954" s="19" t="s">
        <v>1865</v>
      </c>
      <c r="G954" s="19" t="s">
        <v>1866</v>
      </c>
      <c r="H954" s="19">
        <v>5</v>
      </c>
      <c r="I954" s="19">
        <v>4686.67</v>
      </c>
      <c r="J954" s="19">
        <v>23433.35</v>
      </c>
    </row>
    <row r="955" ht="26.75" spans="1:10">
      <c r="A955" s="18" t="s">
        <v>1942</v>
      </c>
      <c r="B955" s="19" t="s">
        <v>1902</v>
      </c>
      <c r="C955" s="19" t="s">
        <v>1849</v>
      </c>
      <c r="D955" s="19" t="s">
        <v>1850</v>
      </c>
      <c r="E955" s="19" t="s">
        <v>1851</v>
      </c>
      <c r="F955" s="19" t="s">
        <v>1852</v>
      </c>
      <c r="G955" s="19" t="s">
        <v>1934</v>
      </c>
      <c r="H955" s="19">
        <v>5</v>
      </c>
      <c r="I955" s="19">
        <v>4504.17</v>
      </c>
      <c r="J955" s="19">
        <v>22520.85</v>
      </c>
    </row>
    <row r="956" ht="15.25" spans="1:10">
      <c r="A956" s="18" t="s">
        <v>1956</v>
      </c>
      <c r="B956" s="19" t="s">
        <v>1848</v>
      </c>
      <c r="C956" s="19" t="s">
        <v>1602</v>
      </c>
      <c r="D956" s="19" t="s">
        <v>1862</v>
      </c>
      <c r="E956" s="19" t="s">
        <v>1858</v>
      </c>
      <c r="F956" s="19" t="s">
        <v>1852</v>
      </c>
      <c r="G956" s="19" t="s">
        <v>1853</v>
      </c>
      <c r="H956" s="19">
        <v>3</v>
      </c>
      <c r="I956" s="19">
        <v>559.7</v>
      </c>
      <c r="J956" s="19">
        <v>1679.1</v>
      </c>
    </row>
    <row r="957" ht="15.25" spans="1:10">
      <c r="A957" s="18" t="s">
        <v>2023</v>
      </c>
      <c r="B957" s="19" t="s">
        <v>1861</v>
      </c>
      <c r="C957" s="19" t="s">
        <v>1875</v>
      </c>
      <c r="D957" s="19" t="s">
        <v>1862</v>
      </c>
      <c r="E957" s="19" t="s">
        <v>1858</v>
      </c>
      <c r="F957" s="19" t="s">
        <v>1868</v>
      </c>
      <c r="G957" s="19" t="s">
        <v>1899</v>
      </c>
      <c r="H957" s="19">
        <v>17</v>
      </c>
      <c r="I957" s="19">
        <v>1975.71</v>
      </c>
      <c r="J957" s="19">
        <v>33587.07</v>
      </c>
    </row>
    <row r="958" ht="15.25" spans="1:10">
      <c r="A958" s="18">
        <v>45180</v>
      </c>
      <c r="B958" s="19" t="s">
        <v>1867</v>
      </c>
      <c r="C958" s="19" t="s">
        <v>1903</v>
      </c>
      <c r="D958" s="19" t="s">
        <v>1884</v>
      </c>
      <c r="E958" s="19" t="s">
        <v>1895</v>
      </c>
      <c r="F958" s="19" t="s">
        <v>1852</v>
      </c>
      <c r="G958" s="19" t="s">
        <v>1853</v>
      </c>
      <c r="H958" s="19">
        <v>8</v>
      </c>
      <c r="I958" s="19">
        <v>4175.56</v>
      </c>
      <c r="J958" s="19">
        <v>33404.48</v>
      </c>
    </row>
    <row r="959" ht="15.25" spans="1:10">
      <c r="A959" s="18" t="s">
        <v>1974</v>
      </c>
      <c r="B959" s="19" t="s">
        <v>1848</v>
      </c>
      <c r="C959" s="19" t="s">
        <v>1875</v>
      </c>
      <c r="D959" s="19" t="s">
        <v>1862</v>
      </c>
      <c r="E959" s="19" t="s">
        <v>1858</v>
      </c>
      <c r="F959" s="19" t="s">
        <v>1876</v>
      </c>
      <c r="G959" s="19" t="s">
        <v>1926</v>
      </c>
      <c r="H959" s="19">
        <v>14</v>
      </c>
      <c r="I959" s="19">
        <v>2535.08</v>
      </c>
      <c r="J959" s="19">
        <v>35491.12</v>
      </c>
    </row>
    <row r="960" ht="15.25" spans="1:10">
      <c r="A960" s="18">
        <v>45023</v>
      </c>
      <c r="B960" s="19" t="s">
        <v>1871</v>
      </c>
      <c r="C960" s="19" t="s">
        <v>1626</v>
      </c>
      <c r="D960" s="19" t="s">
        <v>1857</v>
      </c>
      <c r="E960" s="19" t="s">
        <v>1858</v>
      </c>
      <c r="F960" s="19" t="s">
        <v>1876</v>
      </c>
      <c r="G960" s="19" t="s">
        <v>1877</v>
      </c>
      <c r="H960" s="19">
        <v>14</v>
      </c>
      <c r="I960" s="19">
        <v>2161.65</v>
      </c>
      <c r="J960" s="19">
        <v>30263.1</v>
      </c>
    </row>
    <row r="961" ht="15.25" spans="1:10">
      <c r="A961" s="18">
        <v>45087</v>
      </c>
      <c r="B961" s="19" t="s">
        <v>1871</v>
      </c>
      <c r="C961" s="19" t="s">
        <v>1903</v>
      </c>
      <c r="D961" s="19" t="s">
        <v>1884</v>
      </c>
      <c r="E961" s="19" t="s">
        <v>1895</v>
      </c>
      <c r="F961" s="19" t="s">
        <v>1876</v>
      </c>
      <c r="G961" s="19" t="s">
        <v>1930</v>
      </c>
      <c r="H961" s="19">
        <v>11</v>
      </c>
      <c r="I961" s="19">
        <v>3424.45</v>
      </c>
      <c r="J961" s="19">
        <v>37668.95</v>
      </c>
    </row>
    <row r="962" ht="15.25" spans="1:10">
      <c r="A962" s="18" t="s">
        <v>2120</v>
      </c>
      <c r="B962" s="19" t="s">
        <v>1878</v>
      </c>
      <c r="C962" s="19" t="s">
        <v>1941</v>
      </c>
      <c r="D962" s="19" t="s">
        <v>1879</v>
      </c>
      <c r="E962" s="19" t="s">
        <v>1851</v>
      </c>
      <c r="F962" s="19" t="s">
        <v>1868</v>
      </c>
      <c r="G962" s="19" t="s">
        <v>1869</v>
      </c>
      <c r="H962" s="19">
        <v>10</v>
      </c>
      <c r="I962" s="19">
        <v>1167.21</v>
      </c>
      <c r="J962" s="19">
        <v>11672.1</v>
      </c>
    </row>
    <row r="963" ht="15.25" spans="1:10">
      <c r="A963" s="18" t="s">
        <v>1975</v>
      </c>
      <c r="B963" s="19" t="s">
        <v>1889</v>
      </c>
      <c r="C963" s="19" t="s">
        <v>1941</v>
      </c>
      <c r="D963" s="19" t="s">
        <v>1879</v>
      </c>
      <c r="E963" s="19" t="s">
        <v>1851</v>
      </c>
      <c r="F963" s="19" t="s">
        <v>1859</v>
      </c>
      <c r="G963" s="19" t="s">
        <v>1860</v>
      </c>
      <c r="H963" s="19">
        <v>7</v>
      </c>
      <c r="I963" s="19">
        <v>500.63</v>
      </c>
      <c r="J963" s="19">
        <v>3504.41</v>
      </c>
    </row>
    <row r="964" ht="15.25" spans="1:10">
      <c r="A964" s="18">
        <v>45027</v>
      </c>
      <c r="B964" s="19" t="s">
        <v>1874</v>
      </c>
      <c r="C964" s="19" t="s">
        <v>1894</v>
      </c>
      <c r="D964" s="19" t="s">
        <v>1884</v>
      </c>
      <c r="E964" s="19" t="s">
        <v>1895</v>
      </c>
      <c r="F964" s="19" t="s">
        <v>1852</v>
      </c>
      <c r="G964" s="19" t="s">
        <v>1950</v>
      </c>
      <c r="H964" s="19">
        <v>10</v>
      </c>
      <c r="I964" s="19">
        <v>1050.84</v>
      </c>
      <c r="J964" s="19">
        <v>10508.4</v>
      </c>
    </row>
    <row r="965" ht="15.25" spans="1:10">
      <c r="A965" s="18" t="s">
        <v>2025</v>
      </c>
      <c r="B965" s="19" t="s">
        <v>1902</v>
      </c>
      <c r="C965" s="19" t="s">
        <v>1906</v>
      </c>
      <c r="D965" s="19" t="s">
        <v>1862</v>
      </c>
      <c r="E965" s="19" t="s">
        <v>1858</v>
      </c>
      <c r="F965" s="19" t="s">
        <v>1852</v>
      </c>
      <c r="G965" s="19" t="s">
        <v>1934</v>
      </c>
      <c r="H965" s="19">
        <v>14</v>
      </c>
      <c r="I965" s="19">
        <v>3726.3</v>
      </c>
      <c r="J965" s="19">
        <v>52168.2</v>
      </c>
    </row>
    <row r="966" ht="15.25" spans="1:10">
      <c r="A966" s="18" t="s">
        <v>1863</v>
      </c>
      <c r="B966" s="19" t="s">
        <v>1867</v>
      </c>
      <c r="C966" s="19" t="s">
        <v>1626</v>
      </c>
      <c r="D966" s="19" t="s">
        <v>1857</v>
      </c>
      <c r="E966" s="19" t="s">
        <v>1858</v>
      </c>
      <c r="F966" s="19" t="s">
        <v>1865</v>
      </c>
      <c r="G966" s="19" t="s">
        <v>1886</v>
      </c>
      <c r="H966" s="19">
        <v>10</v>
      </c>
      <c r="I966" s="19">
        <v>651.83</v>
      </c>
      <c r="J966" s="19">
        <v>6518.3</v>
      </c>
    </row>
    <row r="967" ht="26.75" spans="1:10">
      <c r="A967" s="18" t="s">
        <v>2057</v>
      </c>
      <c r="B967" s="19" t="s">
        <v>1878</v>
      </c>
      <c r="C967" s="19" t="s">
        <v>1598</v>
      </c>
      <c r="D967" s="19" t="s">
        <v>1850</v>
      </c>
      <c r="E967" s="19" t="s">
        <v>1851</v>
      </c>
      <c r="F967" s="19" t="s">
        <v>1852</v>
      </c>
      <c r="G967" s="19" t="s">
        <v>1950</v>
      </c>
      <c r="H967" s="19">
        <v>4</v>
      </c>
      <c r="I967" s="19">
        <v>1077.23</v>
      </c>
      <c r="J967" s="19">
        <v>4308.92</v>
      </c>
    </row>
    <row r="968" ht="15.25" spans="1:10">
      <c r="A968" s="18" t="s">
        <v>1965</v>
      </c>
      <c r="B968" s="19" t="s">
        <v>1902</v>
      </c>
      <c r="C968" s="19" t="s">
        <v>1894</v>
      </c>
      <c r="D968" s="19" t="s">
        <v>1884</v>
      </c>
      <c r="E968" s="19" t="s">
        <v>1895</v>
      </c>
      <c r="F968" s="19" t="s">
        <v>1876</v>
      </c>
      <c r="G968" s="19" t="s">
        <v>1883</v>
      </c>
      <c r="H968" s="19">
        <v>15</v>
      </c>
      <c r="I968" s="19">
        <v>4554.78</v>
      </c>
      <c r="J968" s="19">
        <v>68321.7</v>
      </c>
    </row>
    <row r="969" ht="15.25" spans="1:10">
      <c r="A969" s="18" t="s">
        <v>1943</v>
      </c>
      <c r="B969" s="19" t="s">
        <v>1871</v>
      </c>
      <c r="C969" s="19" t="s">
        <v>1898</v>
      </c>
      <c r="D969" s="19" t="s">
        <v>1879</v>
      </c>
      <c r="E969" s="19" t="s">
        <v>1851</v>
      </c>
      <c r="F969" s="19" t="s">
        <v>1859</v>
      </c>
      <c r="G969" s="19" t="s">
        <v>1922</v>
      </c>
      <c r="H969" s="19">
        <v>19</v>
      </c>
      <c r="I969" s="19">
        <v>1003.13</v>
      </c>
      <c r="J969" s="19">
        <v>19059.47</v>
      </c>
    </row>
    <row r="970" ht="15.25" spans="1:10">
      <c r="A970" s="18" t="s">
        <v>2121</v>
      </c>
      <c r="B970" s="19" t="s">
        <v>1848</v>
      </c>
      <c r="C970" s="19" t="s">
        <v>1906</v>
      </c>
      <c r="D970" s="19" t="s">
        <v>1862</v>
      </c>
      <c r="E970" s="19" t="s">
        <v>1858</v>
      </c>
      <c r="F970" s="19" t="s">
        <v>1868</v>
      </c>
      <c r="G970" s="19" t="s">
        <v>1899</v>
      </c>
      <c r="H970" s="19">
        <v>7</v>
      </c>
      <c r="I970" s="19">
        <v>3168.77</v>
      </c>
      <c r="J970" s="19">
        <v>22181.39</v>
      </c>
    </row>
    <row r="971" ht="15.25" spans="1:10">
      <c r="A971" s="18" t="s">
        <v>2017</v>
      </c>
      <c r="B971" s="19" t="s">
        <v>1871</v>
      </c>
      <c r="C971" s="19" t="s">
        <v>1894</v>
      </c>
      <c r="D971" s="19" t="s">
        <v>1884</v>
      </c>
      <c r="E971" s="19" t="s">
        <v>1895</v>
      </c>
      <c r="F971" s="19" t="s">
        <v>1859</v>
      </c>
      <c r="G971" s="19" t="s">
        <v>1872</v>
      </c>
      <c r="H971" s="19">
        <v>19</v>
      </c>
      <c r="I971" s="19">
        <v>4528.95</v>
      </c>
      <c r="J971" s="19">
        <v>86050.05</v>
      </c>
    </row>
    <row r="972" ht="15.25" spans="1:10">
      <c r="A972" s="18" t="s">
        <v>2052</v>
      </c>
      <c r="B972" s="19" t="s">
        <v>1861</v>
      </c>
      <c r="C972" s="19" t="s">
        <v>1906</v>
      </c>
      <c r="D972" s="19" t="s">
        <v>1862</v>
      </c>
      <c r="E972" s="19" t="s">
        <v>1858</v>
      </c>
      <c r="F972" s="19" t="s">
        <v>1876</v>
      </c>
      <c r="G972" s="19" t="s">
        <v>1883</v>
      </c>
      <c r="H972" s="19">
        <v>5</v>
      </c>
      <c r="I972" s="19">
        <v>2480.84</v>
      </c>
      <c r="J972" s="19">
        <v>12404.2</v>
      </c>
    </row>
    <row r="973" ht="15.25" spans="1:10">
      <c r="A973" s="18">
        <v>45051</v>
      </c>
      <c r="B973" s="19" t="s">
        <v>1889</v>
      </c>
      <c r="C973" s="19" t="s">
        <v>1589</v>
      </c>
      <c r="D973" s="19" t="s">
        <v>1884</v>
      </c>
      <c r="E973" s="19" t="s">
        <v>1895</v>
      </c>
      <c r="F973" s="19" t="s">
        <v>1865</v>
      </c>
      <c r="G973" s="19" t="s">
        <v>1920</v>
      </c>
      <c r="H973" s="19">
        <v>11</v>
      </c>
      <c r="I973" s="19">
        <v>4740.79</v>
      </c>
      <c r="J973" s="19">
        <v>52148.69</v>
      </c>
    </row>
    <row r="974" ht="15.25" spans="1:10">
      <c r="A974" s="18" t="s">
        <v>1955</v>
      </c>
      <c r="B974" s="19" t="s">
        <v>1874</v>
      </c>
      <c r="C974" s="19" t="s">
        <v>1589</v>
      </c>
      <c r="D974" s="19" t="s">
        <v>1884</v>
      </c>
      <c r="E974" s="19" t="s">
        <v>1895</v>
      </c>
      <c r="F974" s="19" t="s">
        <v>1868</v>
      </c>
      <c r="G974" s="19" t="s">
        <v>1869</v>
      </c>
      <c r="H974" s="19">
        <v>16</v>
      </c>
      <c r="I974" s="19">
        <v>2687.77</v>
      </c>
      <c r="J974" s="19">
        <v>43004.32</v>
      </c>
    </row>
    <row r="975" ht="15.25" spans="1:10">
      <c r="A975" s="18">
        <v>45024</v>
      </c>
      <c r="B975" s="19" t="s">
        <v>1871</v>
      </c>
      <c r="C975" s="19" t="s">
        <v>1864</v>
      </c>
      <c r="D975" s="19" t="s">
        <v>1857</v>
      </c>
      <c r="E975" s="19" t="s">
        <v>1858</v>
      </c>
      <c r="F975" s="19" t="s">
        <v>1868</v>
      </c>
      <c r="G975" s="19" t="s">
        <v>1899</v>
      </c>
      <c r="H975" s="19">
        <v>15</v>
      </c>
      <c r="I975" s="19">
        <v>2472.8</v>
      </c>
      <c r="J975" s="19">
        <v>37092</v>
      </c>
    </row>
    <row r="976" ht="15.25" spans="1:10">
      <c r="A976" s="18" t="s">
        <v>1882</v>
      </c>
      <c r="B976" s="19" t="s">
        <v>1902</v>
      </c>
      <c r="C976" s="19" t="s">
        <v>1589</v>
      </c>
      <c r="D976" s="19" t="s">
        <v>1884</v>
      </c>
      <c r="E976" s="19" t="s">
        <v>1895</v>
      </c>
      <c r="F976" s="19" t="s">
        <v>1852</v>
      </c>
      <c r="G976" s="19" t="s">
        <v>1853</v>
      </c>
      <c r="H976" s="19">
        <v>3</v>
      </c>
      <c r="I976" s="19">
        <v>3814.12</v>
      </c>
      <c r="J976" s="19">
        <v>11442.36</v>
      </c>
    </row>
    <row r="977" ht="15.25" spans="1:10">
      <c r="A977" s="18" t="s">
        <v>2070</v>
      </c>
      <c r="B977" s="19" t="s">
        <v>1902</v>
      </c>
      <c r="C977" s="19" t="s">
        <v>1610</v>
      </c>
      <c r="D977" s="19" t="s">
        <v>1879</v>
      </c>
      <c r="E977" s="19" t="s">
        <v>1851</v>
      </c>
      <c r="F977" s="19" t="s">
        <v>1852</v>
      </c>
      <c r="G977" s="19" t="s">
        <v>1910</v>
      </c>
      <c r="H977" s="19">
        <v>1</v>
      </c>
      <c r="I977" s="19">
        <v>2333.78</v>
      </c>
      <c r="J977" s="19">
        <v>2333.78</v>
      </c>
    </row>
    <row r="978" ht="26.75" spans="1:10">
      <c r="A978" s="18" t="s">
        <v>2034</v>
      </c>
      <c r="B978" s="19" t="s">
        <v>1867</v>
      </c>
      <c r="C978" s="19" t="s">
        <v>1849</v>
      </c>
      <c r="D978" s="19" t="s">
        <v>1850</v>
      </c>
      <c r="E978" s="19" t="s">
        <v>1851</v>
      </c>
      <c r="F978" s="19" t="s">
        <v>1868</v>
      </c>
      <c r="G978" s="19" t="s">
        <v>1869</v>
      </c>
      <c r="H978" s="19">
        <v>10</v>
      </c>
      <c r="I978" s="19">
        <v>2628.56</v>
      </c>
      <c r="J978" s="19">
        <v>26285.6</v>
      </c>
    </row>
    <row r="979" ht="15.25" spans="1:10">
      <c r="A979" s="18" t="s">
        <v>2098</v>
      </c>
      <c r="B979" s="19" t="s">
        <v>1861</v>
      </c>
      <c r="C979" s="19" t="s">
        <v>1864</v>
      </c>
      <c r="D979" s="19" t="s">
        <v>1857</v>
      </c>
      <c r="E979" s="19" t="s">
        <v>1858</v>
      </c>
      <c r="F979" s="19" t="s">
        <v>1876</v>
      </c>
      <c r="G979" s="19" t="s">
        <v>1877</v>
      </c>
      <c r="H979" s="19">
        <v>16</v>
      </c>
      <c r="I979" s="19">
        <v>284.02</v>
      </c>
      <c r="J979" s="19">
        <v>4544.32</v>
      </c>
    </row>
    <row r="980" ht="15.25" spans="1:10">
      <c r="A980" s="18" t="s">
        <v>1913</v>
      </c>
      <c r="B980" s="19" t="s">
        <v>1878</v>
      </c>
      <c r="C980" s="19" t="s">
        <v>1602</v>
      </c>
      <c r="D980" s="19" t="s">
        <v>1862</v>
      </c>
      <c r="E980" s="19" t="s">
        <v>1858</v>
      </c>
      <c r="F980" s="19" t="s">
        <v>1868</v>
      </c>
      <c r="G980" s="19" t="s">
        <v>1899</v>
      </c>
      <c r="H980" s="19">
        <v>8</v>
      </c>
      <c r="I980" s="19">
        <v>1011.67</v>
      </c>
      <c r="J980" s="19">
        <v>8093.36</v>
      </c>
    </row>
    <row r="981" ht="15.25" spans="1:10">
      <c r="A981" s="18">
        <v>45141</v>
      </c>
      <c r="B981" s="19" t="s">
        <v>1889</v>
      </c>
      <c r="C981" s="19" t="s">
        <v>1903</v>
      </c>
      <c r="D981" s="19" t="s">
        <v>1884</v>
      </c>
      <c r="E981" s="19" t="s">
        <v>1895</v>
      </c>
      <c r="F981" s="19" t="s">
        <v>1868</v>
      </c>
      <c r="G981" s="19" t="s">
        <v>1907</v>
      </c>
      <c r="H981" s="19">
        <v>6</v>
      </c>
      <c r="I981" s="19">
        <v>3918.07</v>
      </c>
      <c r="J981" s="19">
        <v>23508.42</v>
      </c>
    </row>
    <row r="982" ht="15.25" spans="1:10">
      <c r="A982" s="18" t="s">
        <v>2117</v>
      </c>
      <c r="B982" s="19" t="s">
        <v>1878</v>
      </c>
      <c r="C982" s="19" t="s">
        <v>1875</v>
      </c>
      <c r="D982" s="19" t="s">
        <v>1862</v>
      </c>
      <c r="E982" s="19" t="s">
        <v>1858</v>
      </c>
      <c r="F982" s="19" t="s">
        <v>1865</v>
      </c>
      <c r="G982" s="19" t="s">
        <v>1890</v>
      </c>
      <c r="H982" s="19">
        <v>2</v>
      </c>
      <c r="I982" s="19">
        <v>3313.63</v>
      </c>
      <c r="J982" s="19">
        <v>6627.26</v>
      </c>
    </row>
    <row r="983" ht="15.25" spans="1:10">
      <c r="A983" s="18" t="s">
        <v>2081</v>
      </c>
      <c r="B983" s="19" t="s">
        <v>1892</v>
      </c>
      <c r="C983" s="19" t="s">
        <v>1856</v>
      </c>
      <c r="D983" s="19" t="s">
        <v>1857</v>
      </c>
      <c r="E983" s="19" t="s">
        <v>1858</v>
      </c>
      <c r="F983" s="19" t="s">
        <v>1865</v>
      </c>
      <c r="G983" s="19" t="s">
        <v>1886</v>
      </c>
      <c r="H983" s="19">
        <v>18</v>
      </c>
      <c r="I983" s="19">
        <v>809.24</v>
      </c>
      <c r="J983" s="19">
        <v>14566.32</v>
      </c>
    </row>
    <row r="984" ht="15.25" spans="1:10">
      <c r="A984" s="18" t="s">
        <v>2069</v>
      </c>
      <c r="B984" s="19" t="s">
        <v>1861</v>
      </c>
      <c r="C984" s="19" t="s">
        <v>1894</v>
      </c>
      <c r="D984" s="19" t="s">
        <v>1884</v>
      </c>
      <c r="E984" s="19" t="s">
        <v>1895</v>
      </c>
      <c r="F984" s="19" t="s">
        <v>1868</v>
      </c>
      <c r="G984" s="19" t="s">
        <v>1917</v>
      </c>
      <c r="H984" s="19">
        <v>2</v>
      </c>
      <c r="I984" s="19">
        <v>2338.61</v>
      </c>
      <c r="J984" s="19">
        <v>4677.22</v>
      </c>
    </row>
    <row r="985" ht="15.25" spans="1:10">
      <c r="A985" s="18" t="s">
        <v>2122</v>
      </c>
      <c r="B985" s="19" t="s">
        <v>1902</v>
      </c>
      <c r="C985" s="19" t="s">
        <v>1906</v>
      </c>
      <c r="D985" s="19" t="s">
        <v>1862</v>
      </c>
      <c r="E985" s="19" t="s">
        <v>1858</v>
      </c>
      <c r="F985" s="19" t="s">
        <v>1868</v>
      </c>
      <c r="G985" s="19" t="s">
        <v>1917</v>
      </c>
      <c r="H985" s="19">
        <v>18</v>
      </c>
      <c r="I985" s="19">
        <v>2773.93</v>
      </c>
      <c r="J985" s="19">
        <v>49930.74</v>
      </c>
    </row>
    <row r="986" ht="26.75" spans="1:10">
      <c r="A986" s="18">
        <v>45172</v>
      </c>
      <c r="B986" s="19" t="s">
        <v>1867</v>
      </c>
      <c r="C986" s="19" t="s">
        <v>1598</v>
      </c>
      <c r="D986" s="19" t="s">
        <v>1850</v>
      </c>
      <c r="E986" s="19" t="s">
        <v>1851</v>
      </c>
      <c r="F986" s="19" t="s">
        <v>1868</v>
      </c>
      <c r="G986" s="19" t="s">
        <v>1907</v>
      </c>
      <c r="H986" s="19">
        <v>15</v>
      </c>
      <c r="I986" s="19">
        <v>2540.06</v>
      </c>
      <c r="J986" s="19">
        <v>38100.9</v>
      </c>
    </row>
    <row r="987" ht="15.25" spans="1:10">
      <c r="A987" s="18" t="s">
        <v>1943</v>
      </c>
      <c r="B987" s="19" t="s">
        <v>1848</v>
      </c>
      <c r="C987" s="19" t="s">
        <v>1903</v>
      </c>
      <c r="D987" s="19" t="s">
        <v>1884</v>
      </c>
      <c r="E987" s="19" t="s">
        <v>1895</v>
      </c>
      <c r="F987" s="19" t="s">
        <v>1865</v>
      </c>
      <c r="G987" s="19" t="s">
        <v>1866</v>
      </c>
      <c r="H987" s="19">
        <v>4</v>
      </c>
      <c r="I987" s="19">
        <v>1178.71</v>
      </c>
      <c r="J987" s="19">
        <v>4714.84</v>
      </c>
    </row>
    <row r="988" ht="15.25" spans="1:10">
      <c r="A988" s="18" t="s">
        <v>2091</v>
      </c>
      <c r="B988" s="19" t="s">
        <v>1889</v>
      </c>
      <c r="C988" s="19" t="s">
        <v>1856</v>
      </c>
      <c r="D988" s="19" t="s">
        <v>1857</v>
      </c>
      <c r="E988" s="19" t="s">
        <v>1858</v>
      </c>
      <c r="F988" s="19" t="s">
        <v>1868</v>
      </c>
      <c r="G988" s="19" t="s">
        <v>1869</v>
      </c>
      <c r="H988" s="19">
        <v>4</v>
      </c>
      <c r="I988" s="19">
        <v>4724.33</v>
      </c>
      <c r="J988" s="19">
        <v>18897.32</v>
      </c>
    </row>
    <row r="989" ht="15.25" spans="1:10">
      <c r="A989" s="18" t="s">
        <v>2108</v>
      </c>
      <c r="B989" s="19" t="s">
        <v>1889</v>
      </c>
      <c r="C989" s="19" t="s">
        <v>1589</v>
      </c>
      <c r="D989" s="19" t="s">
        <v>1884</v>
      </c>
      <c r="E989" s="19" t="s">
        <v>1895</v>
      </c>
      <c r="F989" s="19" t="s">
        <v>1876</v>
      </c>
      <c r="G989" s="19" t="s">
        <v>1926</v>
      </c>
      <c r="H989" s="19">
        <v>7</v>
      </c>
      <c r="I989" s="19">
        <v>3481</v>
      </c>
      <c r="J989" s="19">
        <v>24367</v>
      </c>
    </row>
    <row r="990" ht="15.25" spans="1:10">
      <c r="A990" s="18" t="s">
        <v>2056</v>
      </c>
      <c r="B990" s="19" t="s">
        <v>1902</v>
      </c>
      <c r="C990" s="19" t="s">
        <v>1610</v>
      </c>
      <c r="D990" s="19" t="s">
        <v>1879</v>
      </c>
      <c r="E990" s="19" t="s">
        <v>1851</v>
      </c>
      <c r="F990" s="19" t="s">
        <v>1852</v>
      </c>
      <c r="G990" s="19" t="s">
        <v>1853</v>
      </c>
      <c r="H990" s="19">
        <v>16</v>
      </c>
      <c r="I990" s="19">
        <v>4608.55</v>
      </c>
      <c r="J990" s="19">
        <v>73736.8</v>
      </c>
    </row>
    <row r="991" ht="26.75" spans="1:10">
      <c r="A991" s="18" t="s">
        <v>1991</v>
      </c>
      <c r="B991" s="19" t="s">
        <v>1892</v>
      </c>
      <c r="C991" s="19" t="s">
        <v>1598</v>
      </c>
      <c r="D991" s="19" t="s">
        <v>1850</v>
      </c>
      <c r="E991" s="19" t="s">
        <v>1851</v>
      </c>
      <c r="F991" s="19" t="s">
        <v>1876</v>
      </c>
      <c r="G991" s="19" t="s">
        <v>1930</v>
      </c>
      <c r="H991" s="19">
        <v>10</v>
      </c>
      <c r="I991" s="19">
        <v>2336.88</v>
      </c>
      <c r="J991" s="19">
        <v>23368.8</v>
      </c>
    </row>
    <row r="992" ht="15.25" spans="1:10">
      <c r="A992" s="18" t="s">
        <v>1939</v>
      </c>
      <c r="B992" s="19" t="s">
        <v>1848</v>
      </c>
      <c r="C992" s="19" t="s">
        <v>1626</v>
      </c>
      <c r="D992" s="19" t="s">
        <v>1857</v>
      </c>
      <c r="E992" s="19" t="s">
        <v>1858</v>
      </c>
      <c r="F992" s="19" t="s">
        <v>1859</v>
      </c>
      <c r="G992" s="19" t="s">
        <v>1947</v>
      </c>
      <c r="H992" s="19">
        <v>1</v>
      </c>
      <c r="I992" s="19">
        <v>2993.55</v>
      </c>
      <c r="J992" s="19">
        <v>2993.55</v>
      </c>
    </row>
    <row r="993" ht="15.25" spans="1:10">
      <c r="A993" s="18" t="s">
        <v>2041</v>
      </c>
      <c r="B993" s="19" t="s">
        <v>1878</v>
      </c>
      <c r="C993" s="19" t="s">
        <v>1864</v>
      </c>
      <c r="D993" s="19" t="s">
        <v>1857</v>
      </c>
      <c r="E993" s="19" t="s">
        <v>1858</v>
      </c>
      <c r="F993" s="19" t="s">
        <v>1865</v>
      </c>
      <c r="G993" s="19" t="s">
        <v>1890</v>
      </c>
      <c r="H993" s="19">
        <v>19</v>
      </c>
      <c r="I993" s="19">
        <v>4080.77</v>
      </c>
      <c r="J993" s="19">
        <v>77534.63</v>
      </c>
    </row>
    <row r="994" ht="15.25" spans="1:10">
      <c r="A994" s="18" t="s">
        <v>2104</v>
      </c>
      <c r="B994" s="19" t="s">
        <v>1855</v>
      </c>
      <c r="C994" s="19" t="s">
        <v>1906</v>
      </c>
      <c r="D994" s="19" t="s">
        <v>1862</v>
      </c>
      <c r="E994" s="19" t="s">
        <v>1858</v>
      </c>
      <c r="F994" s="19" t="s">
        <v>1865</v>
      </c>
      <c r="G994" s="19" t="s">
        <v>1920</v>
      </c>
      <c r="H994" s="19">
        <v>4</v>
      </c>
      <c r="I994" s="19">
        <v>3659.61</v>
      </c>
      <c r="J994" s="19">
        <v>14638.44</v>
      </c>
    </row>
    <row r="995" ht="15.25" spans="1:10">
      <c r="A995" s="18">
        <v>45109</v>
      </c>
      <c r="B995" s="19" t="s">
        <v>1871</v>
      </c>
      <c r="C995" s="19" t="s">
        <v>1589</v>
      </c>
      <c r="D995" s="19" t="s">
        <v>1884</v>
      </c>
      <c r="E995" s="19" t="s">
        <v>1895</v>
      </c>
      <c r="F995" s="19" t="s">
        <v>1865</v>
      </c>
      <c r="G995" s="19" t="s">
        <v>1920</v>
      </c>
      <c r="H995" s="19">
        <v>12</v>
      </c>
      <c r="I995" s="19">
        <v>1819.46</v>
      </c>
      <c r="J995" s="19">
        <v>21833.52</v>
      </c>
    </row>
    <row r="996" ht="15.25" spans="1:10">
      <c r="A996" s="18" t="s">
        <v>2080</v>
      </c>
      <c r="B996" s="19" t="s">
        <v>1867</v>
      </c>
      <c r="C996" s="19" t="s">
        <v>1626</v>
      </c>
      <c r="D996" s="19" t="s">
        <v>1857</v>
      </c>
      <c r="E996" s="19" t="s">
        <v>1858</v>
      </c>
      <c r="F996" s="19" t="s">
        <v>1876</v>
      </c>
      <c r="G996" s="19" t="s">
        <v>1926</v>
      </c>
      <c r="H996" s="19">
        <v>13</v>
      </c>
      <c r="I996" s="19">
        <v>3520.87</v>
      </c>
      <c r="J996" s="19">
        <v>45771.31</v>
      </c>
    </row>
    <row r="997" ht="15.25" spans="1:10">
      <c r="A997" s="18" t="s">
        <v>2046</v>
      </c>
      <c r="B997" s="19" t="s">
        <v>1878</v>
      </c>
      <c r="C997" s="19" t="s">
        <v>1856</v>
      </c>
      <c r="D997" s="19" t="s">
        <v>1857</v>
      </c>
      <c r="E997" s="19" t="s">
        <v>1858</v>
      </c>
      <c r="F997" s="19" t="s">
        <v>1868</v>
      </c>
      <c r="G997" s="19" t="s">
        <v>1917</v>
      </c>
      <c r="H997" s="19">
        <v>14</v>
      </c>
      <c r="I997" s="19">
        <v>4532.88</v>
      </c>
      <c r="J997" s="19">
        <v>63460.32</v>
      </c>
    </row>
    <row r="998" ht="26.75" spans="1:10">
      <c r="A998" s="18" t="s">
        <v>1888</v>
      </c>
      <c r="B998" s="19" t="s">
        <v>1871</v>
      </c>
      <c r="C998" s="19" t="s">
        <v>1849</v>
      </c>
      <c r="D998" s="19" t="s">
        <v>1850</v>
      </c>
      <c r="E998" s="19" t="s">
        <v>1851</v>
      </c>
      <c r="F998" s="19" t="s">
        <v>1852</v>
      </c>
      <c r="G998" s="19" t="s">
        <v>1910</v>
      </c>
      <c r="H998" s="19">
        <v>6</v>
      </c>
      <c r="I998" s="19">
        <v>1709.52</v>
      </c>
      <c r="J998" s="19">
        <v>10257.12</v>
      </c>
    </row>
    <row r="999" ht="15.25" spans="1:10">
      <c r="A999" s="18" t="s">
        <v>1960</v>
      </c>
      <c r="B999" s="19" t="s">
        <v>1902</v>
      </c>
      <c r="C999" s="19" t="s">
        <v>1602</v>
      </c>
      <c r="D999" s="19" t="s">
        <v>1862</v>
      </c>
      <c r="E999" s="19" t="s">
        <v>1858</v>
      </c>
      <c r="F999" s="19" t="s">
        <v>1865</v>
      </c>
      <c r="G999" s="19" t="s">
        <v>1866</v>
      </c>
      <c r="H999" s="19">
        <v>10</v>
      </c>
      <c r="I999" s="19">
        <v>3803.22</v>
      </c>
      <c r="J999" s="19">
        <v>38032.2</v>
      </c>
    </row>
    <row r="1000" ht="15.25" spans="1:10">
      <c r="A1000" s="18">
        <v>44958</v>
      </c>
      <c r="B1000" s="19" t="s">
        <v>1892</v>
      </c>
      <c r="C1000" s="19" t="s">
        <v>1602</v>
      </c>
      <c r="D1000" s="19" t="s">
        <v>1862</v>
      </c>
      <c r="E1000" s="19" t="s">
        <v>1858</v>
      </c>
      <c r="F1000" s="19" t="s">
        <v>1859</v>
      </c>
      <c r="G1000" s="19" t="s">
        <v>1947</v>
      </c>
      <c r="H1000" s="19">
        <v>15</v>
      </c>
      <c r="I1000" s="19">
        <v>1853</v>
      </c>
      <c r="J1000" s="19">
        <v>27795</v>
      </c>
    </row>
    <row r="1001" ht="26.75" spans="1:10">
      <c r="A1001" s="18">
        <v>45018</v>
      </c>
      <c r="B1001" s="19" t="s">
        <v>1902</v>
      </c>
      <c r="C1001" s="19" t="s">
        <v>1593</v>
      </c>
      <c r="D1001" s="19" t="s">
        <v>1850</v>
      </c>
      <c r="E1001" s="19" t="s">
        <v>1851</v>
      </c>
      <c r="F1001" s="19" t="s">
        <v>1865</v>
      </c>
      <c r="G1001" s="19" t="s">
        <v>1886</v>
      </c>
      <c r="H1001" s="19">
        <v>2</v>
      </c>
      <c r="I1001" s="19">
        <v>2623.43</v>
      </c>
      <c r="J1001" s="19">
        <v>5246.86</v>
      </c>
    </row>
  </sheetData>
  <pageMargins left="0.75" right="0.75" top="1" bottom="1" header="0.5" footer="0.5"/>
  <headerFooter/>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2"/>
  <sheetViews>
    <sheetView workbookViewId="0">
      <selection activeCell="F6" sqref="F6"/>
    </sheetView>
  </sheetViews>
  <sheetFormatPr defaultColWidth="8.75454545454545" defaultRowHeight="14.5"/>
  <cols>
    <col min="1" max="1" width="13.2545454545455" customWidth="1"/>
    <col min="2" max="2" width="18.5" customWidth="1"/>
    <col min="3" max="3" width="6.5" customWidth="1"/>
    <col min="4" max="4" width="6.12727272727273" customWidth="1"/>
    <col min="5" max="5" width="6.25454545454545" customWidth="1"/>
    <col min="6" max="6" width="6.5" customWidth="1"/>
    <col min="7" max="7" width="6" customWidth="1"/>
    <col min="8" max="8" width="6.12727272727273" customWidth="1"/>
    <col min="9" max="9" width="11.1272727272727" customWidth="1"/>
    <col min="10" max="10" width="8" customWidth="1"/>
    <col min="11" max="11" width="13.2545454545455" customWidth="1"/>
    <col min="12" max="12" width="19.8727272727273" customWidth="1"/>
  </cols>
  <sheetData>
    <row r="1" ht="15.25" spans="1:12">
      <c r="A1" s="9" t="s">
        <v>2133</v>
      </c>
      <c r="B1" s="10" t="s">
        <v>2134</v>
      </c>
      <c r="C1" s="10" t="s">
        <v>1841</v>
      </c>
      <c r="D1" s="10" t="s">
        <v>2135</v>
      </c>
      <c r="E1" s="10" t="s">
        <v>2136</v>
      </c>
      <c r="F1" s="10" t="s">
        <v>2137</v>
      </c>
      <c r="G1" s="10" t="s">
        <v>2138</v>
      </c>
      <c r="H1" s="10" t="s">
        <v>2139</v>
      </c>
      <c r="I1" s="10" t="s">
        <v>2140</v>
      </c>
      <c r="J1" s="10" t="s">
        <v>2141</v>
      </c>
      <c r="K1" s="10" t="s">
        <v>2142</v>
      </c>
      <c r="L1" s="10" t="s">
        <v>2143</v>
      </c>
    </row>
    <row r="2" ht="26.75" spans="1:12">
      <c r="A2" s="11" t="s">
        <v>2144</v>
      </c>
      <c r="B2" s="12" t="s">
        <v>2145</v>
      </c>
      <c r="C2" s="12" t="s">
        <v>1593</v>
      </c>
      <c r="D2" s="13">
        <v>49</v>
      </c>
      <c r="E2" s="13">
        <v>84</v>
      </c>
      <c r="F2" s="13">
        <v>98</v>
      </c>
      <c r="G2" s="13">
        <v>67</v>
      </c>
      <c r="H2" s="13">
        <v>41</v>
      </c>
      <c r="I2" s="13">
        <v>339</v>
      </c>
      <c r="J2" s="13">
        <v>500</v>
      </c>
      <c r="K2" s="14">
        <v>0.678</v>
      </c>
      <c r="L2" s="14">
        <v>0.322</v>
      </c>
    </row>
    <row r="3" ht="15.25" spans="1:12">
      <c r="A3" s="11" t="s">
        <v>2146</v>
      </c>
      <c r="B3" s="12" t="s">
        <v>2147</v>
      </c>
      <c r="C3" s="12" t="s">
        <v>1884</v>
      </c>
      <c r="D3" s="13">
        <v>44</v>
      </c>
      <c r="E3" s="13">
        <v>85</v>
      </c>
      <c r="F3" s="13">
        <v>47</v>
      </c>
      <c r="G3" s="13">
        <v>15</v>
      </c>
      <c r="H3" s="13">
        <v>48</v>
      </c>
      <c r="I3" s="13">
        <v>239</v>
      </c>
      <c r="J3" s="13">
        <v>500</v>
      </c>
      <c r="K3" s="14">
        <v>0.478</v>
      </c>
      <c r="L3" s="14">
        <v>0.522</v>
      </c>
    </row>
    <row r="4" ht="15.25" spans="1:12">
      <c r="A4" s="11" t="s">
        <v>2148</v>
      </c>
      <c r="B4" s="12" t="s">
        <v>2149</v>
      </c>
      <c r="C4" s="12" t="s">
        <v>1849</v>
      </c>
      <c r="D4" s="13">
        <v>45</v>
      </c>
      <c r="E4" s="13">
        <v>79</v>
      </c>
      <c r="F4" s="13">
        <v>88</v>
      </c>
      <c r="G4" s="13">
        <v>73</v>
      </c>
      <c r="H4" s="13">
        <v>94</v>
      </c>
      <c r="I4" s="13">
        <v>379</v>
      </c>
      <c r="J4" s="13">
        <v>500</v>
      </c>
      <c r="K4" s="14">
        <v>0.758</v>
      </c>
      <c r="L4" s="14">
        <v>0.242</v>
      </c>
    </row>
    <row r="5" ht="15.25" spans="1:12">
      <c r="A5" s="11" t="s">
        <v>2150</v>
      </c>
      <c r="B5" s="12" t="s">
        <v>2151</v>
      </c>
      <c r="C5" s="12" t="s">
        <v>1626</v>
      </c>
      <c r="D5" s="13">
        <v>52</v>
      </c>
      <c r="E5" s="13">
        <v>99</v>
      </c>
      <c r="F5" s="13">
        <v>13</v>
      </c>
      <c r="G5" s="13">
        <v>95</v>
      </c>
      <c r="H5" s="13">
        <v>29</v>
      </c>
      <c r="I5" s="13">
        <v>288</v>
      </c>
      <c r="J5" s="13">
        <v>500</v>
      </c>
      <c r="K5" s="14">
        <v>0.576</v>
      </c>
      <c r="L5" s="14">
        <v>0.424</v>
      </c>
    </row>
    <row r="6" ht="15.25" spans="1:12">
      <c r="A6" s="11" t="s">
        <v>2152</v>
      </c>
      <c r="B6" s="12" t="s">
        <v>2153</v>
      </c>
      <c r="C6" s="12" t="s">
        <v>1598</v>
      </c>
      <c r="D6" s="13">
        <v>35</v>
      </c>
      <c r="E6" s="13">
        <v>54</v>
      </c>
      <c r="F6" s="13">
        <v>49</v>
      </c>
      <c r="G6" s="13">
        <v>26</v>
      </c>
      <c r="H6" s="13">
        <v>49</v>
      </c>
      <c r="I6" s="13">
        <v>213</v>
      </c>
      <c r="J6" s="13">
        <v>500</v>
      </c>
      <c r="K6" s="14">
        <v>0.426</v>
      </c>
      <c r="L6" s="14">
        <v>0.574</v>
      </c>
    </row>
    <row r="7" ht="15.25" spans="1:12">
      <c r="A7" s="11" t="s">
        <v>2154</v>
      </c>
      <c r="B7" s="12" t="s">
        <v>2155</v>
      </c>
      <c r="C7" s="12" t="s">
        <v>2156</v>
      </c>
      <c r="D7" s="13">
        <v>86</v>
      </c>
      <c r="E7" s="13">
        <v>31</v>
      </c>
      <c r="F7" s="13">
        <v>23</v>
      </c>
      <c r="G7" s="13">
        <v>48</v>
      </c>
      <c r="H7" s="13">
        <v>77</v>
      </c>
      <c r="I7" s="13">
        <v>265</v>
      </c>
      <c r="J7" s="13">
        <v>500</v>
      </c>
      <c r="K7" s="14">
        <v>0.53</v>
      </c>
      <c r="L7" s="14">
        <v>0.47</v>
      </c>
    </row>
    <row r="8" ht="15.25" spans="1:12">
      <c r="A8" s="11" t="s">
        <v>2157</v>
      </c>
      <c r="B8" s="12" t="s">
        <v>2158</v>
      </c>
      <c r="C8" s="12" t="s">
        <v>2159</v>
      </c>
      <c r="D8" s="13">
        <v>84</v>
      </c>
      <c r="E8" s="13">
        <v>28</v>
      </c>
      <c r="F8" s="13">
        <v>98</v>
      </c>
      <c r="G8" s="13">
        <v>80</v>
      </c>
      <c r="H8" s="13">
        <v>79</v>
      </c>
      <c r="I8" s="13">
        <v>369</v>
      </c>
      <c r="J8" s="13">
        <v>500</v>
      </c>
      <c r="K8" s="14">
        <v>0.738</v>
      </c>
      <c r="L8" s="14">
        <v>0.262</v>
      </c>
    </row>
    <row r="9" ht="15.25" spans="1:12">
      <c r="A9" s="11" t="s">
        <v>2160</v>
      </c>
      <c r="B9" s="12" t="s">
        <v>2161</v>
      </c>
      <c r="C9" s="12" t="s">
        <v>1898</v>
      </c>
      <c r="D9" s="13">
        <v>73</v>
      </c>
      <c r="E9" s="13">
        <v>97</v>
      </c>
      <c r="F9" s="13">
        <v>38</v>
      </c>
      <c r="G9" s="13">
        <v>24</v>
      </c>
      <c r="H9" s="13">
        <v>53</v>
      </c>
      <c r="I9" s="13">
        <v>285</v>
      </c>
      <c r="J9" s="13">
        <v>500</v>
      </c>
      <c r="K9" s="14">
        <v>0.57</v>
      </c>
      <c r="L9" s="14">
        <v>0.43</v>
      </c>
    </row>
    <row r="10" ht="26.75" spans="1:12">
      <c r="A10" s="11" t="s">
        <v>2162</v>
      </c>
      <c r="B10" s="12" t="s">
        <v>2163</v>
      </c>
      <c r="C10" s="12" t="s">
        <v>1593</v>
      </c>
      <c r="D10" s="13">
        <v>54</v>
      </c>
      <c r="E10" s="13">
        <v>26</v>
      </c>
      <c r="F10" s="13">
        <v>53</v>
      </c>
      <c r="G10" s="13">
        <v>36</v>
      </c>
      <c r="H10" s="13">
        <v>20</v>
      </c>
      <c r="I10" s="13">
        <v>189</v>
      </c>
      <c r="J10" s="13">
        <v>500</v>
      </c>
      <c r="K10" s="14">
        <v>0.378</v>
      </c>
      <c r="L10" s="14">
        <v>0.622</v>
      </c>
    </row>
    <row r="11" ht="15.25" spans="1:12">
      <c r="A11" s="11" t="s">
        <v>2164</v>
      </c>
      <c r="B11" s="12" t="s">
        <v>2165</v>
      </c>
      <c r="C11" s="12" t="s">
        <v>1884</v>
      </c>
      <c r="D11" s="13">
        <v>52</v>
      </c>
      <c r="E11" s="13">
        <v>52</v>
      </c>
      <c r="F11" s="13">
        <v>19</v>
      </c>
      <c r="G11" s="13">
        <v>53</v>
      </c>
      <c r="H11" s="13">
        <v>37</v>
      </c>
      <c r="I11" s="13">
        <v>213</v>
      </c>
      <c r="J11" s="13">
        <v>500</v>
      </c>
      <c r="K11" s="14">
        <v>0.426</v>
      </c>
      <c r="L11" s="14">
        <v>0.574</v>
      </c>
    </row>
    <row r="12" ht="15.25" spans="1:12">
      <c r="A12" s="11" t="s">
        <v>2166</v>
      </c>
      <c r="B12" s="12" t="s">
        <v>2167</v>
      </c>
      <c r="C12" s="12" t="s">
        <v>1849</v>
      </c>
      <c r="D12" s="13">
        <v>63</v>
      </c>
      <c r="E12" s="13">
        <v>17</v>
      </c>
      <c r="F12" s="13">
        <v>40</v>
      </c>
      <c r="G12" s="13">
        <v>48</v>
      </c>
      <c r="H12" s="13">
        <v>51</v>
      </c>
      <c r="I12" s="13">
        <v>219</v>
      </c>
      <c r="J12" s="13">
        <v>500</v>
      </c>
      <c r="K12" s="14">
        <v>0.438</v>
      </c>
      <c r="L12" s="14">
        <v>0.562</v>
      </c>
    </row>
    <row r="13" ht="15.25" spans="1:12">
      <c r="A13" s="11" t="s">
        <v>2168</v>
      </c>
      <c r="B13" s="12" t="s">
        <v>2169</v>
      </c>
      <c r="C13" s="12" t="s">
        <v>1626</v>
      </c>
      <c r="D13" s="13">
        <v>79</v>
      </c>
      <c r="E13" s="13">
        <v>99</v>
      </c>
      <c r="F13" s="13">
        <v>95</v>
      </c>
      <c r="G13" s="13">
        <v>12</v>
      </c>
      <c r="H13" s="13">
        <v>91</v>
      </c>
      <c r="I13" s="13">
        <v>376</v>
      </c>
      <c r="J13" s="13">
        <v>500</v>
      </c>
      <c r="K13" s="14">
        <v>0.752</v>
      </c>
      <c r="L13" s="14">
        <v>0.248</v>
      </c>
    </row>
    <row r="14" ht="15.25" spans="1:12">
      <c r="A14" s="11" t="s">
        <v>2170</v>
      </c>
      <c r="B14" s="12" t="s">
        <v>2171</v>
      </c>
      <c r="C14" s="12" t="s">
        <v>1598</v>
      </c>
      <c r="D14" s="12">
        <v>95</v>
      </c>
      <c r="E14" s="13">
        <v>88</v>
      </c>
      <c r="F14" s="13">
        <v>11</v>
      </c>
      <c r="G14" s="13">
        <v>78</v>
      </c>
      <c r="H14" s="13">
        <v>60</v>
      </c>
      <c r="I14" s="13">
        <v>332</v>
      </c>
      <c r="J14" s="13">
        <v>500</v>
      </c>
      <c r="K14" s="14">
        <v>0.664</v>
      </c>
      <c r="L14" s="14">
        <v>0.336</v>
      </c>
    </row>
    <row r="15" ht="15.25" spans="1:12">
      <c r="A15" s="11" t="s">
        <v>2172</v>
      </c>
      <c r="B15" s="12" t="s">
        <v>2173</v>
      </c>
      <c r="C15" s="12" t="s">
        <v>2156</v>
      </c>
      <c r="D15" s="13">
        <v>83</v>
      </c>
      <c r="E15" s="13">
        <v>77</v>
      </c>
      <c r="F15" s="13">
        <v>66</v>
      </c>
      <c r="G15" s="13">
        <v>22</v>
      </c>
      <c r="H15" s="13">
        <v>40</v>
      </c>
      <c r="I15" s="13">
        <v>288</v>
      </c>
      <c r="J15" s="13">
        <v>500</v>
      </c>
      <c r="K15" s="14">
        <v>0.576</v>
      </c>
      <c r="L15" s="14">
        <v>0.424</v>
      </c>
    </row>
    <row r="16" ht="15.25" spans="1:12">
      <c r="A16" s="11" t="s">
        <v>2174</v>
      </c>
      <c r="B16" s="12" t="s">
        <v>2175</v>
      </c>
      <c r="C16" s="12" t="s">
        <v>2159</v>
      </c>
      <c r="D16" s="13">
        <v>78</v>
      </c>
      <c r="E16" s="13">
        <v>58</v>
      </c>
      <c r="F16" s="13">
        <v>34</v>
      </c>
      <c r="G16" s="13">
        <v>84</v>
      </c>
      <c r="H16" s="13">
        <v>31</v>
      </c>
      <c r="I16" s="13">
        <v>285</v>
      </c>
      <c r="J16" s="13">
        <v>500</v>
      </c>
      <c r="K16" s="14">
        <v>0.57</v>
      </c>
      <c r="L16" s="14">
        <v>0.43</v>
      </c>
    </row>
    <row r="17" ht="15.25" spans="1:12">
      <c r="A17" s="11" t="s">
        <v>2176</v>
      </c>
      <c r="B17" s="12" t="s">
        <v>2177</v>
      </c>
      <c r="C17" s="12" t="s">
        <v>1898</v>
      </c>
      <c r="D17" s="13">
        <v>14</v>
      </c>
      <c r="E17" s="13">
        <v>25</v>
      </c>
      <c r="F17" s="13">
        <v>45</v>
      </c>
      <c r="G17" s="13">
        <v>70</v>
      </c>
      <c r="H17" s="13">
        <v>45</v>
      </c>
      <c r="I17" s="13">
        <v>199</v>
      </c>
      <c r="J17" s="13">
        <v>500</v>
      </c>
      <c r="K17" s="14">
        <v>0.398</v>
      </c>
      <c r="L17" s="14">
        <v>0.602</v>
      </c>
    </row>
    <row r="18" ht="26.75" spans="1:12">
      <c r="A18" s="11" t="s">
        <v>2178</v>
      </c>
      <c r="B18" s="12" t="s">
        <v>2179</v>
      </c>
      <c r="C18" s="12" t="s">
        <v>1593</v>
      </c>
      <c r="D18" s="13">
        <v>37</v>
      </c>
      <c r="E18" s="13">
        <v>69</v>
      </c>
      <c r="F18" s="13">
        <v>96</v>
      </c>
      <c r="G18" s="13">
        <v>66</v>
      </c>
      <c r="H18" s="13">
        <v>38</v>
      </c>
      <c r="I18" s="13">
        <v>306</v>
      </c>
      <c r="J18" s="13">
        <v>500</v>
      </c>
      <c r="K18" s="14">
        <v>0.612</v>
      </c>
      <c r="L18" s="14">
        <v>0.388</v>
      </c>
    </row>
    <row r="19" ht="15.25" spans="1:12">
      <c r="A19" s="11" t="s">
        <v>2180</v>
      </c>
      <c r="B19" s="12" t="s">
        <v>2181</v>
      </c>
      <c r="C19" s="12" t="s">
        <v>1884</v>
      </c>
      <c r="D19" s="13">
        <v>11</v>
      </c>
      <c r="E19" s="13">
        <v>46</v>
      </c>
      <c r="F19" s="13">
        <v>91</v>
      </c>
      <c r="G19" s="13">
        <v>98</v>
      </c>
      <c r="H19" s="13">
        <v>45</v>
      </c>
      <c r="I19" s="13">
        <v>291</v>
      </c>
      <c r="J19" s="13">
        <v>500</v>
      </c>
      <c r="K19" s="14">
        <v>0.582</v>
      </c>
      <c r="L19" s="14">
        <v>0.418</v>
      </c>
    </row>
    <row r="20" ht="15.25" spans="1:12">
      <c r="A20" s="11" t="s">
        <v>2182</v>
      </c>
      <c r="B20" s="12" t="s">
        <v>2183</v>
      </c>
      <c r="C20" s="12" t="s">
        <v>1849</v>
      </c>
      <c r="D20" s="13">
        <v>19</v>
      </c>
      <c r="E20" s="13">
        <v>34</v>
      </c>
      <c r="F20" s="13">
        <v>64</v>
      </c>
      <c r="G20" s="13">
        <v>65</v>
      </c>
      <c r="H20" s="13">
        <v>70</v>
      </c>
      <c r="I20" s="13">
        <v>252</v>
      </c>
      <c r="J20" s="13">
        <v>500</v>
      </c>
      <c r="K20" s="14">
        <v>0.504</v>
      </c>
      <c r="L20" s="14">
        <v>0.496</v>
      </c>
    </row>
    <row r="21" ht="15.25" spans="1:12">
      <c r="A21" s="11" t="s">
        <v>2184</v>
      </c>
      <c r="B21" s="12" t="s">
        <v>2185</v>
      </c>
      <c r="C21" s="12" t="s">
        <v>1626</v>
      </c>
      <c r="D21" s="13">
        <v>93</v>
      </c>
      <c r="E21" s="13">
        <v>84</v>
      </c>
      <c r="F21" s="13">
        <v>13</v>
      </c>
      <c r="G21" s="13">
        <v>45</v>
      </c>
      <c r="H21" s="13">
        <v>18</v>
      </c>
      <c r="I21" s="13">
        <v>253</v>
      </c>
      <c r="J21" s="13">
        <v>500</v>
      </c>
      <c r="K21" s="14">
        <v>0.506</v>
      </c>
      <c r="L21" s="14">
        <v>0.494</v>
      </c>
    </row>
    <row r="22" ht="15.25" spans="1:12">
      <c r="A22" s="11" t="s">
        <v>2186</v>
      </c>
      <c r="B22" s="12" t="s">
        <v>2187</v>
      </c>
      <c r="C22" s="12" t="s">
        <v>1598</v>
      </c>
      <c r="D22" s="13">
        <v>68</v>
      </c>
      <c r="E22" s="13">
        <v>73</v>
      </c>
      <c r="F22" s="13">
        <v>97</v>
      </c>
      <c r="G22" s="13">
        <v>76</v>
      </c>
      <c r="H22" s="13">
        <v>53</v>
      </c>
      <c r="I22" s="13">
        <v>367</v>
      </c>
      <c r="J22" s="13">
        <v>500</v>
      </c>
      <c r="K22" s="14">
        <v>0.734</v>
      </c>
      <c r="L22" s="14">
        <v>0.266</v>
      </c>
    </row>
    <row r="23" ht="15.25" spans="1:12">
      <c r="A23" s="11" t="s">
        <v>2188</v>
      </c>
      <c r="B23" s="12" t="s">
        <v>2189</v>
      </c>
      <c r="C23" s="12" t="s">
        <v>2156</v>
      </c>
      <c r="D23" s="13">
        <v>99</v>
      </c>
      <c r="E23" s="13">
        <v>17</v>
      </c>
      <c r="F23" s="13">
        <v>48</v>
      </c>
      <c r="G23" s="13">
        <v>44</v>
      </c>
      <c r="H23" s="13">
        <v>93</v>
      </c>
      <c r="I23" s="13">
        <v>301</v>
      </c>
      <c r="J23" s="13">
        <v>500</v>
      </c>
      <c r="K23" s="14">
        <v>0.602</v>
      </c>
      <c r="L23" s="14">
        <v>0.398</v>
      </c>
    </row>
    <row r="24" ht="15.25" spans="1:12">
      <c r="A24" s="11" t="s">
        <v>2190</v>
      </c>
      <c r="B24" s="12" t="s">
        <v>2191</v>
      </c>
      <c r="C24" s="12" t="s">
        <v>2159</v>
      </c>
      <c r="D24" s="13">
        <v>57</v>
      </c>
      <c r="E24" s="13">
        <v>28</v>
      </c>
      <c r="F24" s="13">
        <v>31</v>
      </c>
      <c r="G24" s="13">
        <v>34</v>
      </c>
      <c r="H24" s="13">
        <v>52</v>
      </c>
      <c r="I24" s="13">
        <v>202</v>
      </c>
      <c r="J24" s="13">
        <v>500</v>
      </c>
      <c r="K24" s="14">
        <v>0.404</v>
      </c>
      <c r="L24" s="14">
        <v>0.596</v>
      </c>
    </row>
    <row r="25" ht="15.25" spans="1:12">
      <c r="A25" s="11" t="s">
        <v>2192</v>
      </c>
      <c r="B25" s="12" t="s">
        <v>2193</v>
      </c>
      <c r="C25" s="12" t="s">
        <v>1898</v>
      </c>
      <c r="D25" s="13">
        <v>40</v>
      </c>
      <c r="E25" s="13">
        <v>22</v>
      </c>
      <c r="F25" s="13">
        <v>18</v>
      </c>
      <c r="G25" s="13">
        <v>11</v>
      </c>
      <c r="H25" s="13">
        <v>92</v>
      </c>
      <c r="I25" s="13">
        <v>183</v>
      </c>
      <c r="J25" s="13">
        <v>500</v>
      </c>
      <c r="K25" s="14">
        <v>0.366</v>
      </c>
      <c r="L25" s="14">
        <v>0.634</v>
      </c>
    </row>
    <row r="26" ht="26.75" spans="1:12">
      <c r="A26" s="11" t="s">
        <v>2194</v>
      </c>
      <c r="B26" s="12" t="s">
        <v>2195</v>
      </c>
      <c r="C26" s="12" t="s">
        <v>1593</v>
      </c>
      <c r="D26" s="13">
        <v>47</v>
      </c>
      <c r="E26" s="13">
        <v>99</v>
      </c>
      <c r="F26" s="13">
        <v>94</v>
      </c>
      <c r="G26" s="13">
        <v>75</v>
      </c>
      <c r="H26" s="13">
        <v>29</v>
      </c>
      <c r="I26" s="13">
        <v>344</v>
      </c>
      <c r="J26" s="13">
        <v>500</v>
      </c>
      <c r="K26" s="14">
        <v>0.688</v>
      </c>
      <c r="L26" s="14">
        <v>0.312</v>
      </c>
    </row>
    <row r="27" ht="15.25" spans="1:12">
      <c r="A27" s="11" t="s">
        <v>2196</v>
      </c>
      <c r="B27" s="12" t="s">
        <v>2197</v>
      </c>
      <c r="C27" s="12" t="s">
        <v>1884</v>
      </c>
      <c r="D27" s="13">
        <v>16</v>
      </c>
      <c r="E27" s="13">
        <v>71</v>
      </c>
      <c r="F27" s="13">
        <v>80</v>
      </c>
      <c r="G27" s="13">
        <v>76</v>
      </c>
      <c r="H27" s="13">
        <v>33</v>
      </c>
      <c r="I27" s="13">
        <v>276</v>
      </c>
      <c r="J27" s="13">
        <v>500</v>
      </c>
      <c r="K27" s="14">
        <v>0.552</v>
      </c>
      <c r="L27" s="14">
        <v>0.448</v>
      </c>
    </row>
    <row r="28" ht="15.25" spans="1:12">
      <c r="A28" s="11" t="s">
        <v>2198</v>
      </c>
      <c r="B28" s="12" t="s">
        <v>2199</v>
      </c>
      <c r="C28" s="12" t="s">
        <v>1849</v>
      </c>
      <c r="D28" s="13">
        <v>72</v>
      </c>
      <c r="E28" s="13">
        <v>87</v>
      </c>
      <c r="F28" s="13">
        <v>92</v>
      </c>
      <c r="G28" s="13">
        <v>72</v>
      </c>
      <c r="H28" s="13">
        <v>34</v>
      </c>
      <c r="I28" s="13">
        <v>357</v>
      </c>
      <c r="J28" s="13">
        <v>500</v>
      </c>
      <c r="K28" s="14">
        <v>0.714</v>
      </c>
      <c r="L28" s="14">
        <v>0.286</v>
      </c>
    </row>
    <row r="29" ht="15.25" spans="1:12">
      <c r="A29" s="11" t="s">
        <v>2200</v>
      </c>
      <c r="B29" s="12" t="s">
        <v>2201</v>
      </c>
      <c r="C29" s="12" t="s">
        <v>1626</v>
      </c>
      <c r="D29" s="13">
        <v>30</v>
      </c>
      <c r="E29" s="13">
        <v>38</v>
      </c>
      <c r="F29" s="13">
        <v>70</v>
      </c>
      <c r="G29" s="13">
        <v>89</v>
      </c>
      <c r="H29" s="13">
        <v>97</v>
      </c>
      <c r="I29" s="13">
        <v>324</v>
      </c>
      <c r="J29" s="13">
        <v>500</v>
      </c>
      <c r="K29" s="14">
        <v>0.648</v>
      </c>
      <c r="L29" s="14">
        <v>0.352</v>
      </c>
    </row>
    <row r="30" ht="15.25" spans="1:12">
      <c r="A30" s="11" t="s">
        <v>2202</v>
      </c>
      <c r="B30" s="12" t="s">
        <v>2203</v>
      </c>
      <c r="C30" s="12" t="s">
        <v>1598</v>
      </c>
      <c r="D30" s="13">
        <v>65</v>
      </c>
      <c r="E30" s="13">
        <v>90</v>
      </c>
      <c r="F30" s="13">
        <v>91</v>
      </c>
      <c r="G30" s="13">
        <v>85</v>
      </c>
      <c r="H30" s="13">
        <v>10</v>
      </c>
      <c r="I30" s="13">
        <v>341</v>
      </c>
      <c r="J30" s="13">
        <v>500</v>
      </c>
      <c r="K30" s="14">
        <v>0.682</v>
      </c>
      <c r="L30" s="14">
        <v>0.318</v>
      </c>
    </row>
    <row r="31" ht="15.25" spans="1:12">
      <c r="A31" s="11" t="s">
        <v>2204</v>
      </c>
      <c r="B31" s="12" t="s">
        <v>2205</v>
      </c>
      <c r="C31" s="12" t="s">
        <v>2156</v>
      </c>
      <c r="D31" s="13">
        <v>83</v>
      </c>
      <c r="E31" s="13">
        <v>46</v>
      </c>
      <c r="F31" s="13">
        <v>99</v>
      </c>
      <c r="G31" s="13">
        <v>36</v>
      </c>
      <c r="H31" s="13">
        <v>89</v>
      </c>
      <c r="I31" s="13">
        <v>353</v>
      </c>
      <c r="J31" s="13">
        <v>500</v>
      </c>
      <c r="K31" s="14">
        <v>0.706</v>
      </c>
      <c r="L31" s="14">
        <v>0.294</v>
      </c>
    </row>
    <row r="32" ht="15.25" spans="1:12">
      <c r="A32" s="11" t="s">
        <v>2206</v>
      </c>
      <c r="B32" s="12" t="s">
        <v>2207</v>
      </c>
      <c r="C32" s="12" t="s">
        <v>2159</v>
      </c>
      <c r="D32" s="13">
        <v>10</v>
      </c>
      <c r="E32" s="13">
        <v>66</v>
      </c>
      <c r="F32" s="13">
        <v>40</v>
      </c>
      <c r="G32" s="13">
        <v>22</v>
      </c>
      <c r="H32" s="13">
        <v>38</v>
      </c>
      <c r="I32" s="13">
        <v>176</v>
      </c>
      <c r="J32" s="13">
        <v>500</v>
      </c>
      <c r="K32" s="14">
        <v>0.352</v>
      </c>
      <c r="L32" s="14">
        <v>0.648</v>
      </c>
    </row>
    <row r="33" ht="15.25" spans="1:12">
      <c r="A33" s="11" t="s">
        <v>2208</v>
      </c>
      <c r="B33" s="12" t="s">
        <v>2209</v>
      </c>
      <c r="C33" s="12" t="s">
        <v>1898</v>
      </c>
      <c r="D33" s="13">
        <v>37</v>
      </c>
      <c r="E33" s="13">
        <v>30</v>
      </c>
      <c r="F33" s="13">
        <v>19</v>
      </c>
      <c r="G33" s="13">
        <v>77</v>
      </c>
      <c r="H33" s="13">
        <v>67</v>
      </c>
      <c r="I33" s="13">
        <v>230</v>
      </c>
      <c r="J33" s="13">
        <v>500</v>
      </c>
      <c r="K33" s="14">
        <v>0.46</v>
      </c>
      <c r="L33" s="14">
        <v>0.54</v>
      </c>
    </row>
    <row r="34" ht="26.75" spans="1:12">
      <c r="A34" s="11" t="s">
        <v>2210</v>
      </c>
      <c r="B34" s="12" t="s">
        <v>2211</v>
      </c>
      <c r="C34" s="12" t="s">
        <v>1593</v>
      </c>
      <c r="D34" s="13">
        <v>83</v>
      </c>
      <c r="E34" s="13">
        <v>46</v>
      </c>
      <c r="F34" s="13">
        <v>17</v>
      </c>
      <c r="G34" s="13">
        <v>94</v>
      </c>
      <c r="H34" s="13">
        <v>92</v>
      </c>
      <c r="I34" s="13">
        <v>332</v>
      </c>
      <c r="J34" s="13">
        <v>500</v>
      </c>
      <c r="K34" s="14">
        <v>0.664</v>
      </c>
      <c r="L34" s="14">
        <v>0.336</v>
      </c>
    </row>
    <row r="35" ht="15.25" spans="1:12">
      <c r="A35" s="11" t="s">
        <v>2212</v>
      </c>
      <c r="B35" s="12" t="s">
        <v>2213</v>
      </c>
      <c r="C35" s="12" t="s">
        <v>1884</v>
      </c>
      <c r="D35" s="13">
        <v>84</v>
      </c>
      <c r="E35" s="13">
        <v>59</v>
      </c>
      <c r="F35" s="13">
        <v>41</v>
      </c>
      <c r="G35" s="13">
        <v>17</v>
      </c>
      <c r="H35" s="13">
        <v>22</v>
      </c>
      <c r="I35" s="13">
        <v>223</v>
      </c>
      <c r="J35" s="13">
        <v>500</v>
      </c>
      <c r="K35" s="14">
        <v>0.446</v>
      </c>
      <c r="L35" s="14">
        <v>0.554</v>
      </c>
    </row>
    <row r="36" ht="15.25" spans="1:12">
      <c r="A36" s="11" t="s">
        <v>2214</v>
      </c>
      <c r="B36" s="12" t="s">
        <v>2215</v>
      </c>
      <c r="C36" s="12" t="s">
        <v>1849</v>
      </c>
      <c r="D36" s="13">
        <v>82</v>
      </c>
      <c r="E36" s="13">
        <v>54</v>
      </c>
      <c r="F36" s="13">
        <v>79</v>
      </c>
      <c r="G36" s="13">
        <v>61</v>
      </c>
      <c r="H36" s="13">
        <v>47</v>
      </c>
      <c r="I36" s="13">
        <v>323</v>
      </c>
      <c r="J36" s="13">
        <v>500</v>
      </c>
      <c r="K36" s="14">
        <v>0.646</v>
      </c>
      <c r="L36" s="14">
        <v>0.354</v>
      </c>
    </row>
    <row r="37" ht="15.25" spans="1:12">
      <c r="A37" s="11" t="s">
        <v>2216</v>
      </c>
      <c r="B37" s="12" t="s">
        <v>2217</v>
      </c>
      <c r="C37" s="12" t="s">
        <v>1626</v>
      </c>
      <c r="D37" s="13">
        <v>47</v>
      </c>
      <c r="E37" s="13">
        <v>23</v>
      </c>
      <c r="F37" s="13">
        <v>19</v>
      </c>
      <c r="G37" s="13">
        <v>64</v>
      </c>
      <c r="H37" s="13">
        <v>61</v>
      </c>
      <c r="I37" s="13">
        <v>214</v>
      </c>
      <c r="J37" s="13">
        <v>500</v>
      </c>
      <c r="K37" s="14">
        <v>0.428</v>
      </c>
      <c r="L37" s="14">
        <v>0.572</v>
      </c>
    </row>
    <row r="38" ht="15.25" spans="1:12">
      <c r="A38" s="11" t="s">
        <v>2218</v>
      </c>
      <c r="B38" s="12" t="s">
        <v>2219</v>
      </c>
      <c r="C38" s="12" t="s">
        <v>1598</v>
      </c>
      <c r="D38" s="13">
        <v>91</v>
      </c>
      <c r="E38" s="13">
        <v>13</v>
      </c>
      <c r="F38" s="13">
        <v>79</v>
      </c>
      <c r="G38" s="13">
        <v>85</v>
      </c>
      <c r="H38" s="13">
        <v>67</v>
      </c>
      <c r="I38" s="13">
        <v>335</v>
      </c>
      <c r="J38" s="13">
        <v>500</v>
      </c>
      <c r="K38" s="14">
        <v>0.67</v>
      </c>
      <c r="L38" s="14">
        <v>0.33</v>
      </c>
    </row>
    <row r="39" ht="15.25" spans="1:12">
      <c r="A39" s="11" t="s">
        <v>2220</v>
      </c>
      <c r="B39" s="12" t="s">
        <v>2221</v>
      </c>
      <c r="C39" s="12" t="s">
        <v>2156</v>
      </c>
      <c r="D39" s="13">
        <v>66</v>
      </c>
      <c r="E39" s="13">
        <v>59</v>
      </c>
      <c r="F39" s="13">
        <v>25</v>
      </c>
      <c r="G39" s="13">
        <v>55</v>
      </c>
      <c r="H39" s="13">
        <v>59</v>
      </c>
      <c r="I39" s="13">
        <v>264</v>
      </c>
      <c r="J39" s="13">
        <v>500</v>
      </c>
      <c r="K39" s="14">
        <v>0.528</v>
      </c>
      <c r="L39" s="14">
        <v>0.472</v>
      </c>
    </row>
    <row r="40" ht="15.25" spans="1:12">
      <c r="A40" s="11" t="s">
        <v>2222</v>
      </c>
      <c r="B40" s="12" t="s">
        <v>2223</v>
      </c>
      <c r="C40" s="12" t="s">
        <v>2159</v>
      </c>
      <c r="D40" s="13">
        <v>70</v>
      </c>
      <c r="E40" s="13">
        <v>18</v>
      </c>
      <c r="F40" s="13">
        <v>88</v>
      </c>
      <c r="G40" s="13">
        <v>46</v>
      </c>
      <c r="H40" s="13">
        <v>52</v>
      </c>
      <c r="I40" s="13">
        <v>274</v>
      </c>
      <c r="J40" s="13">
        <v>500</v>
      </c>
      <c r="K40" s="14">
        <v>0.548</v>
      </c>
      <c r="L40" s="14">
        <v>0.452</v>
      </c>
    </row>
    <row r="41" ht="15.25" spans="1:12">
      <c r="A41" s="11" t="s">
        <v>2224</v>
      </c>
      <c r="B41" s="12" t="s">
        <v>2225</v>
      </c>
      <c r="C41" s="12" t="s">
        <v>1898</v>
      </c>
      <c r="D41" s="13">
        <v>37</v>
      </c>
      <c r="E41" s="13">
        <v>60</v>
      </c>
      <c r="F41" s="13">
        <v>44</v>
      </c>
      <c r="G41" s="13">
        <v>61</v>
      </c>
      <c r="H41" s="13">
        <v>30</v>
      </c>
      <c r="I41" s="13">
        <v>232</v>
      </c>
      <c r="J41" s="13">
        <v>500</v>
      </c>
      <c r="K41" s="14">
        <v>0.464</v>
      </c>
      <c r="L41" s="14">
        <v>0.536</v>
      </c>
    </row>
    <row r="42" ht="26.75" spans="1:12">
      <c r="A42" s="11" t="s">
        <v>2226</v>
      </c>
      <c r="B42" s="12" t="s">
        <v>2227</v>
      </c>
      <c r="C42" s="12" t="s">
        <v>1593</v>
      </c>
      <c r="D42" s="13">
        <v>16</v>
      </c>
      <c r="E42" s="13">
        <v>46</v>
      </c>
      <c r="F42" s="13">
        <v>33</v>
      </c>
      <c r="G42" s="13">
        <v>54</v>
      </c>
      <c r="H42" s="13">
        <v>58</v>
      </c>
      <c r="I42" s="13">
        <v>207</v>
      </c>
      <c r="J42" s="13">
        <v>500</v>
      </c>
      <c r="K42" s="14">
        <v>0.414</v>
      </c>
      <c r="L42" s="14">
        <v>0.586</v>
      </c>
    </row>
    <row r="43" ht="15.25" spans="1:12">
      <c r="A43" s="11" t="s">
        <v>2228</v>
      </c>
      <c r="B43" s="12" t="s">
        <v>2229</v>
      </c>
      <c r="C43" s="12" t="s">
        <v>1884</v>
      </c>
      <c r="D43" s="13">
        <v>47</v>
      </c>
      <c r="E43" s="13">
        <v>97</v>
      </c>
      <c r="F43" s="13">
        <v>74</v>
      </c>
      <c r="G43" s="13">
        <v>97</v>
      </c>
      <c r="H43" s="13">
        <v>56</v>
      </c>
      <c r="I43" s="13">
        <v>371</v>
      </c>
      <c r="J43" s="13">
        <v>500</v>
      </c>
      <c r="K43" s="14">
        <v>0.742</v>
      </c>
      <c r="L43" s="14">
        <v>0.258</v>
      </c>
    </row>
    <row r="44" ht="15.25" spans="1:12">
      <c r="A44" s="11" t="s">
        <v>2230</v>
      </c>
      <c r="B44" s="12" t="s">
        <v>2231</v>
      </c>
      <c r="C44" s="12" t="s">
        <v>1849</v>
      </c>
      <c r="D44" s="13">
        <v>86</v>
      </c>
      <c r="E44" s="13">
        <v>22</v>
      </c>
      <c r="F44" s="13">
        <v>10</v>
      </c>
      <c r="G44" s="13">
        <v>60</v>
      </c>
      <c r="H44" s="13">
        <v>28</v>
      </c>
      <c r="I44" s="13">
        <v>206</v>
      </c>
      <c r="J44" s="13">
        <v>500</v>
      </c>
      <c r="K44" s="14">
        <v>0.412</v>
      </c>
      <c r="L44" s="14">
        <v>0.588</v>
      </c>
    </row>
    <row r="45" ht="15.25" spans="1:12">
      <c r="A45" s="11" t="s">
        <v>2232</v>
      </c>
      <c r="B45" s="12" t="s">
        <v>2233</v>
      </c>
      <c r="C45" s="12" t="s">
        <v>1626</v>
      </c>
      <c r="D45" s="13">
        <v>74</v>
      </c>
      <c r="E45" s="13">
        <v>17</v>
      </c>
      <c r="F45" s="13">
        <v>45</v>
      </c>
      <c r="G45" s="13">
        <v>64</v>
      </c>
      <c r="H45" s="13">
        <v>13</v>
      </c>
      <c r="I45" s="13">
        <v>213</v>
      </c>
      <c r="J45" s="13">
        <v>500</v>
      </c>
      <c r="K45" s="14">
        <v>0.426</v>
      </c>
      <c r="L45" s="14">
        <v>0.574</v>
      </c>
    </row>
    <row r="46" ht="15.25" spans="1:12">
      <c r="A46" s="11" t="s">
        <v>2234</v>
      </c>
      <c r="B46" s="12" t="s">
        <v>2235</v>
      </c>
      <c r="C46" s="12" t="s">
        <v>1598</v>
      </c>
      <c r="D46" s="13">
        <v>80</v>
      </c>
      <c r="E46" s="13">
        <v>51</v>
      </c>
      <c r="F46" s="13">
        <v>15</v>
      </c>
      <c r="G46" s="13">
        <v>97</v>
      </c>
      <c r="H46" s="13">
        <v>42</v>
      </c>
      <c r="I46" s="13">
        <v>285</v>
      </c>
      <c r="J46" s="13">
        <v>500</v>
      </c>
      <c r="K46" s="14">
        <v>0.57</v>
      </c>
      <c r="L46" s="14">
        <v>0.43</v>
      </c>
    </row>
    <row r="47" ht="15.25" spans="1:12">
      <c r="A47" s="11" t="s">
        <v>2236</v>
      </c>
      <c r="B47" s="12" t="s">
        <v>2237</v>
      </c>
      <c r="C47" s="12" t="s">
        <v>2156</v>
      </c>
      <c r="D47" s="13">
        <v>49</v>
      </c>
      <c r="E47" s="13">
        <v>82</v>
      </c>
      <c r="F47" s="13">
        <v>95</v>
      </c>
      <c r="G47" s="13">
        <v>46</v>
      </c>
      <c r="H47" s="13">
        <v>78</v>
      </c>
      <c r="I47" s="13">
        <v>350</v>
      </c>
      <c r="J47" s="13">
        <v>500</v>
      </c>
      <c r="K47" s="14">
        <v>0.7</v>
      </c>
      <c r="L47" s="14">
        <v>0.3</v>
      </c>
    </row>
    <row r="48" ht="15.25" spans="1:12">
      <c r="A48" s="11" t="s">
        <v>2238</v>
      </c>
      <c r="B48" s="12" t="s">
        <v>2239</v>
      </c>
      <c r="C48" s="12" t="s">
        <v>2159</v>
      </c>
      <c r="D48" s="13">
        <v>17</v>
      </c>
      <c r="E48" s="13">
        <v>88</v>
      </c>
      <c r="F48" s="13">
        <v>12</v>
      </c>
      <c r="G48" s="13">
        <v>54</v>
      </c>
      <c r="H48" s="13">
        <v>21</v>
      </c>
      <c r="I48" s="13">
        <v>192</v>
      </c>
      <c r="J48" s="13">
        <v>500</v>
      </c>
      <c r="K48" s="14">
        <v>0.384</v>
      </c>
      <c r="L48" s="14">
        <v>0.616</v>
      </c>
    </row>
    <row r="49" ht="15.25" spans="1:12">
      <c r="A49" s="11" t="s">
        <v>2240</v>
      </c>
      <c r="B49" s="12" t="s">
        <v>2241</v>
      </c>
      <c r="C49" s="12" t="s">
        <v>1898</v>
      </c>
      <c r="D49" s="13">
        <v>74</v>
      </c>
      <c r="E49" s="13">
        <v>16</v>
      </c>
      <c r="F49" s="13">
        <v>74</v>
      </c>
      <c r="G49" s="13">
        <v>36</v>
      </c>
      <c r="H49" s="13">
        <v>33</v>
      </c>
      <c r="I49" s="13">
        <v>233</v>
      </c>
      <c r="J49" s="13">
        <v>500</v>
      </c>
      <c r="K49" s="14">
        <v>0.466</v>
      </c>
      <c r="L49" s="14">
        <v>0.534</v>
      </c>
    </row>
    <row r="50" ht="26.75" spans="1:12">
      <c r="A50" s="11" t="s">
        <v>2242</v>
      </c>
      <c r="B50" s="12" t="s">
        <v>2243</v>
      </c>
      <c r="C50" s="12" t="s">
        <v>1593</v>
      </c>
      <c r="D50" s="13">
        <v>73</v>
      </c>
      <c r="E50" s="13">
        <v>72</v>
      </c>
      <c r="F50" s="13">
        <v>38</v>
      </c>
      <c r="G50" s="13">
        <v>19</v>
      </c>
      <c r="H50" s="13">
        <v>90</v>
      </c>
      <c r="I50" s="13">
        <v>292</v>
      </c>
      <c r="J50" s="13">
        <v>500</v>
      </c>
      <c r="K50" s="14">
        <v>0.584</v>
      </c>
      <c r="L50" s="14">
        <v>0.416</v>
      </c>
    </row>
    <row r="51" ht="15.25" spans="1:12">
      <c r="A51" s="11" t="s">
        <v>2244</v>
      </c>
      <c r="B51" s="12" t="s">
        <v>2245</v>
      </c>
      <c r="C51" s="12" t="s">
        <v>1884</v>
      </c>
      <c r="D51" s="13">
        <v>17</v>
      </c>
      <c r="E51" s="13">
        <v>84</v>
      </c>
      <c r="F51" s="13">
        <v>90</v>
      </c>
      <c r="G51" s="13">
        <v>77</v>
      </c>
      <c r="H51" s="13">
        <v>72</v>
      </c>
      <c r="I51" s="13">
        <v>340</v>
      </c>
      <c r="J51" s="13">
        <v>500</v>
      </c>
      <c r="K51" s="14">
        <v>0.68</v>
      </c>
      <c r="L51" s="14">
        <v>0.32</v>
      </c>
    </row>
    <row r="52" ht="15.25" spans="1:12">
      <c r="A52" s="11" t="s">
        <v>2246</v>
      </c>
      <c r="B52" s="12" t="s">
        <v>2247</v>
      </c>
      <c r="C52" s="12" t="s">
        <v>1849</v>
      </c>
      <c r="D52" s="13">
        <v>52</v>
      </c>
      <c r="E52" s="13">
        <v>36</v>
      </c>
      <c r="F52" s="13">
        <v>84</v>
      </c>
      <c r="G52" s="13">
        <v>41</v>
      </c>
      <c r="H52" s="13">
        <v>57</v>
      </c>
      <c r="I52" s="13">
        <v>270</v>
      </c>
      <c r="J52" s="13">
        <v>500</v>
      </c>
      <c r="K52" s="14">
        <v>0.54</v>
      </c>
      <c r="L52" s="14">
        <v>0.46</v>
      </c>
    </row>
    <row r="53" ht="15.25" spans="1:12">
      <c r="A53" s="11" t="s">
        <v>2248</v>
      </c>
      <c r="B53" s="12" t="s">
        <v>2249</v>
      </c>
      <c r="C53" s="12" t="s">
        <v>1626</v>
      </c>
      <c r="D53" s="13">
        <v>65</v>
      </c>
      <c r="E53" s="13">
        <v>67</v>
      </c>
      <c r="F53" s="13">
        <v>72</v>
      </c>
      <c r="G53" s="13">
        <v>22</v>
      </c>
      <c r="H53" s="13">
        <v>23</v>
      </c>
      <c r="I53" s="13">
        <v>249</v>
      </c>
      <c r="J53" s="13">
        <v>500</v>
      </c>
      <c r="K53" s="14">
        <v>0.498</v>
      </c>
      <c r="L53" s="14">
        <v>0.502</v>
      </c>
    </row>
    <row r="54" ht="15.25" spans="1:12">
      <c r="A54" s="11" t="s">
        <v>2250</v>
      </c>
      <c r="B54" s="12" t="s">
        <v>2251</v>
      </c>
      <c r="C54" s="12" t="s">
        <v>1598</v>
      </c>
      <c r="D54" s="13">
        <v>88</v>
      </c>
      <c r="E54" s="13">
        <v>39</v>
      </c>
      <c r="F54" s="13">
        <v>25</v>
      </c>
      <c r="G54" s="13">
        <v>99</v>
      </c>
      <c r="H54" s="13">
        <v>71</v>
      </c>
      <c r="I54" s="13">
        <v>322</v>
      </c>
      <c r="J54" s="13">
        <v>500</v>
      </c>
      <c r="K54" s="14">
        <v>0.644</v>
      </c>
      <c r="L54" s="14">
        <v>0.356</v>
      </c>
    </row>
    <row r="55" ht="15.25" spans="1:12">
      <c r="A55" s="11" t="s">
        <v>2252</v>
      </c>
      <c r="B55" s="12" t="s">
        <v>2253</v>
      </c>
      <c r="C55" s="12" t="s">
        <v>2156</v>
      </c>
      <c r="D55" s="13">
        <v>23</v>
      </c>
      <c r="E55" s="13">
        <v>14</v>
      </c>
      <c r="F55" s="13">
        <v>15</v>
      </c>
      <c r="G55" s="13">
        <v>58</v>
      </c>
      <c r="H55" s="13">
        <v>79</v>
      </c>
      <c r="I55" s="13">
        <v>189</v>
      </c>
      <c r="J55" s="13">
        <v>500</v>
      </c>
      <c r="K55" s="14">
        <v>0.378</v>
      </c>
      <c r="L55" s="14">
        <v>0.622</v>
      </c>
    </row>
    <row r="56" ht="15.25" spans="1:12">
      <c r="A56" s="11" t="s">
        <v>2254</v>
      </c>
      <c r="B56" s="12" t="s">
        <v>2255</v>
      </c>
      <c r="C56" s="12" t="s">
        <v>2159</v>
      </c>
      <c r="D56" s="13">
        <v>15</v>
      </c>
      <c r="E56" s="13">
        <v>67</v>
      </c>
      <c r="F56" s="13">
        <v>48</v>
      </c>
      <c r="G56" s="13">
        <v>95</v>
      </c>
      <c r="H56" s="13">
        <v>35</v>
      </c>
      <c r="I56" s="13">
        <v>260</v>
      </c>
      <c r="J56" s="13">
        <v>500</v>
      </c>
      <c r="K56" s="14">
        <v>0.52</v>
      </c>
      <c r="L56" s="14">
        <v>0.48</v>
      </c>
    </row>
    <row r="57" ht="15.25" spans="1:12">
      <c r="A57" s="11" t="s">
        <v>2256</v>
      </c>
      <c r="B57" s="12" t="s">
        <v>2257</v>
      </c>
      <c r="C57" s="12" t="s">
        <v>1898</v>
      </c>
      <c r="D57" s="13">
        <v>18</v>
      </c>
      <c r="E57" s="13">
        <v>35</v>
      </c>
      <c r="F57" s="13">
        <v>82</v>
      </c>
      <c r="G57" s="13">
        <v>31</v>
      </c>
      <c r="H57" s="13">
        <v>26</v>
      </c>
      <c r="I57" s="13">
        <v>192</v>
      </c>
      <c r="J57" s="13">
        <v>500</v>
      </c>
      <c r="K57" s="14">
        <v>0.384</v>
      </c>
      <c r="L57" s="14">
        <v>0.616</v>
      </c>
    </row>
    <row r="58" ht="26.75" spans="1:12">
      <c r="A58" s="11" t="s">
        <v>2258</v>
      </c>
      <c r="B58" s="12" t="s">
        <v>2259</v>
      </c>
      <c r="C58" s="12" t="s">
        <v>1593</v>
      </c>
      <c r="D58" s="13">
        <v>57</v>
      </c>
      <c r="E58" s="13">
        <v>60</v>
      </c>
      <c r="F58" s="13">
        <v>42</v>
      </c>
      <c r="G58" s="13">
        <v>81</v>
      </c>
      <c r="H58" s="13">
        <v>44</v>
      </c>
      <c r="I58" s="13">
        <v>284</v>
      </c>
      <c r="J58" s="13">
        <v>500</v>
      </c>
      <c r="K58" s="14">
        <v>0.568</v>
      </c>
      <c r="L58" s="14">
        <v>0.432</v>
      </c>
    </row>
    <row r="59" ht="15.25" spans="1:12">
      <c r="A59" s="11" t="s">
        <v>2260</v>
      </c>
      <c r="B59" s="12" t="s">
        <v>2261</v>
      </c>
      <c r="C59" s="12" t="s">
        <v>1884</v>
      </c>
      <c r="D59" s="13">
        <v>34</v>
      </c>
      <c r="E59" s="13">
        <v>97</v>
      </c>
      <c r="F59" s="13">
        <v>66</v>
      </c>
      <c r="G59" s="13">
        <v>45</v>
      </c>
      <c r="H59" s="13">
        <v>50</v>
      </c>
      <c r="I59" s="13">
        <v>292</v>
      </c>
      <c r="J59" s="13">
        <v>500</v>
      </c>
      <c r="K59" s="14">
        <v>0.584</v>
      </c>
      <c r="L59" s="14">
        <v>0.416</v>
      </c>
    </row>
    <row r="60" ht="15.25" spans="1:12">
      <c r="A60" s="11" t="s">
        <v>2262</v>
      </c>
      <c r="B60" s="12" t="s">
        <v>2263</v>
      </c>
      <c r="C60" s="12" t="s">
        <v>1849</v>
      </c>
      <c r="D60" s="13">
        <v>83</v>
      </c>
      <c r="E60" s="13">
        <v>12</v>
      </c>
      <c r="F60" s="13">
        <v>70</v>
      </c>
      <c r="G60" s="13">
        <v>83</v>
      </c>
      <c r="H60" s="13">
        <v>52</v>
      </c>
      <c r="I60" s="13">
        <v>300</v>
      </c>
      <c r="J60" s="13">
        <v>500</v>
      </c>
      <c r="K60" s="14">
        <v>0.6</v>
      </c>
      <c r="L60" s="14">
        <v>0.4</v>
      </c>
    </row>
    <row r="61" ht="15.25" spans="1:12">
      <c r="A61" s="11" t="s">
        <v>2264</v>
      </c>
      <c r="B61" s="12" t="s">
        <v>2265</v>
      </c>
      <c r="C61" s="12" t="s">
        <v>1626</v>
      </c>
      <c r="D61" s="13">
        <v>76</v>
      </c>
      <c r="E61" s="13">
        <v>55</v>
      </c>
      <c r="F61" s="13">
        <v>56</v>
      </c>
      <c r="G61" s="13">
        <v>16</v>
      </c>
      <c r="H61" s="13">
        <v>61</v>
      </c>
      <c r="I61" s="13">
        <v>264</v>
      </c>
      <c r="J61" s="13">
        <v>500</v>
      </c>
      <c r="K61" s="14">
        <v>0.528</v>
      </c>
      <c r="L61" s="14">
        <v>0.472</v>
      </c>
    </row>
    <row r="62" ht="15.25" spans="1:12">
      <c r="A62" s="11" t="s">
        <v>2266</v>
      </c>
      <c r="B62" s="12" t="s">
        <v>2267</v>
      </c>
      <c r="C62" s="12" t="s">
        <v>1598</v>
      </c>
      <c r="D62" s="13">
        <v>40</v>
      </c>
      <c r="E62" s="13">
        <v>70</v>
      </c>
      <c r="F62" s="13">
        <v>19</v>
      </c>
      <c r="G62" s="13">
        <v>36</v>
      </c>
      <c r="H62" s="13">
        <v>52</v>
      </c>
      <c r="I62" s="13">
        <v>217</v>
      </c>
      <c r="J62" s="13">
        <v>500</v>
      </c>
      <c r="K62" s="14">
        <v>0.434</v>
      </c>
      <c r="L62" s="14">
        <v>0.566</v>
      </c>
    </row>
    <row r="63" ht="15.25" spans="1:12">
      <c r="A63" s="11" t="s">
        <v>2268</v>
      </c>
      <c r="B63" s="12" t="s">
        <v>2269</v>
      </c>
      <c r="C63" s="12" t="s">
        <v>2156</v>
      </c>
      <c r="D63" s="13">
        <v>44</v>
      </c>
      <c r="E63" s="13">
        <v>60</v>
      </c>
      <c r="F63" s="13">
        <v>71</v>
      </c>
      <c r="G63" s="13">
        <v>34</v>
      </c>
      <c r="H63" s="13">
        <v>37</v>
      </c>
      <c r="I63" s="13">
        <v>246</v>
      </c>
      <c r="J63" s="13">
        <v>500</v>
      </c>
      <c r="K63" s="14">
        <v>0.492</v>
      </c>
      <c r="L63" s="14">
        <v>0.508</v>
      </c>
    </row>
    <row r="64" ht="15.25" spans="1:12">
      <c r="A64" s="11" t="s">
        <v>2270</v>
      </c>
      <c r="B64" s="12" t="s">
        <v>2271</v>
      </c>
      <c r="C64" s="12" t="s">
        <v>2159</v>
      </c>
      <c r="D64" s="13">
        <v>43</v>
      </c>
      <c r="E64" s="13">
        <v>78</v>
      </c>
      <c r="F64" s="13">
        <v>15</v>
      </c>
      <c r="G64" s="13">
        <v>98</v>
      </c>
      <c r="H64" s="13">
        <v>33</v>
      </c>
      <c r="I64" s="13">
        <v>267</v>
      </c>
      <c r="J64" s="13">
        <v>500</v>
      </c>
      <c r="K64" s="14">
        <v>0.534</v>
      </c>
      <c r="L64" s="14">
        <v>0.466</v>
      </c>
    </row>
    <row r="65" ht="15.25" spans="1:12">
      <c r="A65" s="11" t="s">
        <v>2272</v>
      </c>
      <c r="B65" s="12" t="s">
        <v>2273</v>
      </c>
      <c r="C65" s="12" t="s">
        <v>1898</v>
      </c>
      <c r="D65" s="13">
        <v>75</v>
      </c>
      <c r="E65" s="13">
        <v>75</v>
      </c>
      <c r="F65" s="13">
        <v>89</v>
      </c>
      <c r="G65" s="13">
        <v>97</v>
      </c>
      <c r="H65" s="13">
        <v>49</v>
      </c>
      <c r="I65" s="13">
        <v>385</v>
      </c>
      <c r="J65" s="13">
        <v>500</v>
      </c>
      <c r="K65" s="14">
        <v>0.77</v>
      </c>
      <c r="L65" s="14">
        <v>0.23</v>
      </c>
    </row>
    <row r="66" ht="26.75" spans="1:12">
      <c r="A66" s="11" t="s">
        <v>2274</v>
      </c>
      <c r="B66" s="12" t="s">
        <v>2275</v>
      </c>
      <c r="C66" s="12" t="s">
        <v>1593</v>
      </c>
      <c r="D66" s="13">
        <v>74</v>
      </c>
      <c r="E66" s="13">
        <v>51</v>
      </c>
      <c r="F66" s="13">
        <v>97</v>
      </c>
      <c r="G66" s="13">
        <v>73</v>
      </c>
      <c r="H66" s="13">
        <v>33</v>
      </c>
      <c r="I66" s="13">
        <v>328</v>
      </c>
      <c r="J66" s="13">
        <v>500</v>
      </c>
      <c r="K66" s="14">
        <v>0.656</v>
      </c>
      <c r="L66" s="14">
        <v>0.344</v>
      </c>
    </row>
    <row r="67" ht="15.25" spans="1:12">
      <c r="A67" s="11" t="s">
        <v>2276</v>
      </c>
      <c r="B67" s="12" t="s">
        <v>2277</v>
      </c>
      <c r="C67" s="12" t="s">
        <v>1884</v>
      </c>
      <c r="D67" s="13">
        <v>44</v>
      </c>
      <c r="E67" s="13">
        <v>36</v>
      </c>
      <c r="F67" s="13">
        <v>11</v>
      </c>
      <c r="G67" s="13">
        <v>45</v>
      </c>
      <c r="H67" s="13">
        <v>30</v>
      </c>
      <c r="I67" s="13">
        <v>166</v>
      </c>
      <c r="J67" s="13">
        <v>500</v>
      </c>
      <c r="K67" s="14">
        <v>0.332</v>
      </c>
      <c r="L67" s="14">
        <v>0.668</v>
      </c>
    </row>
    <row r="68" ht="15.25" spans="1:12">
      <c r="A68" s="11" t="s">
        <v>2278</v>
      </c>
      <c r="B68" s="12" t="s">
        <v>2279</v>
      </c>
      <c r="C68" s="12" t="s">
        <v>1849</v>
      </c>
      <c r="D68" s="13">
        <v>87</v>
      </c>
      <c r="E68" s="13">
        <v>79</v>
      </c>
      <c r="F68" s="13">
        <v>46</v>
      </c>
      <c r="G68" s="13">
        <v>65</v>
      </c>
      <c r="H68" s="13">
        <v>65</v>
      </c>
      <c r="I68" s="13">
        <v>342</v>
      </c>
      <c r="J68" s="13">
        <v>500</v>
      </c>
      <c r="K68" s="14">
        <v>0.684</v>
      </c>
      <c r="L68" s="14">
        <v>0.316</v>
      </c>
    </row>
    <row r="69" ht="15.25" spans="1:12">
      <c r="A69" s="11" t="s">
        <v>2280</v>
      </c>
      <c r="B69" s="12" t="s">
        <v>2281</v>
      </c>
      <c r="C69" s="12" t="s">
        <v>1626</v>
      </c>
      <c r="D69" s="13">
        <v>70</v>
      </c>
      <c r="E69" s="13">
        <v>52</v>
      </c>
      <c r="F69" s="13">
        <v>80</v>
      </c>
      <c r="G69" s="13">
        <v>43</v>
      </c>
      <c r="H69" s="13">
        <v>48</v>
      </c>
      <c r="I69" s="13">
        <v>293</v>
      </c>
      <c r="J69" s="13">
        <v>500</v>
      </c>
      <c r="K69" s="14">
        <v>0.586</v>
      </c>
      <c r="L69" s="14">
        <v>0.414</v>
      </c>
    </row>
    <row r="70" ht="15.25" spans="1:12">
      <c r="A70" s="11" t="s">
        <v>2282</v>
      </c>
      <c r="B70" s="12" t="s">
        <v>2283</v>
      </c>
      <c r="C70" s="12" t="s">
        <v>1598</v>
      </c>
      <c r="D70" s="13">
        <v>45</v>
      </c>
      <c r="E70" s="13">
        <v>26</v>
      </c>
      <c r="F70" s="13">
        <v>27</v>
      </c>
      <c r="G70" s="13">
        <v>14</v>
      </c>
      <c r="H70" s="13">
        <v>59</v>
      </c>
      <c r="I70" s="13">
        <v>171</v>
      </c>
      <c r="J70" s="13">
        <v>500</v>
      </c>
      <c r="K70" s="14">
        <v>0.342</v>
      </c>
      <c r="L70" s="14">
        <v>0.658</v>
      </c>
    </row>
    <row r="71" ht="15.25" spans="1:12">
      <c r="A71" s="11" t="s">
        <v>2284</v>
      </c>
      <c r="B71" s="12" t="s">
        <v>2285</v>
      </c>
      <c r="C71" s="12" t="s">
        <v>2156</v>
      </c>
      <c r="D71" s="13">
        <v>51</v>
      </c>
      <c r="E71" s="13">
        <v>26</v>
      </c>
      <c r="F71" s="13">
        <v>58</v>
      </c>
      <c r="G71" s="13">
        <v>83</v>
      </c>
      <c r="H71" s="13">
        <v>11</v>
      </c>
      <c r="I71" s="13">
        <v>229</v>
      </c>
      <c r="J71" s="13">
        <v>500</v>
      </c>
      <c r="K71" s="14">
        <v>0.458</v>
      </c>
      <c r="L71" s="14">
        <v>0.542</v>
      </c>
    </row>
    <row r="72" ht="15.25" spans="1:12">
      <c r="A72" s="11" t="s">
        <v>2286</v>
      </c>
      <c r="B72" s="12" t="s">
        <v>2287</v>
      </c>
      <c r="C72" s="12" t="s">
        <v>2159</v>
      </c>
      <c r="D72" s="13">
        <v>68</v>
      </c>
      <c r="E72" s="13">
        <v>36</v>
      </c>
      <c r="F72" s="13">
        <v>15</v>
      </c>
      <c r="G72" s="13">
        <v>20</v>
      </c>
      <c r="H72" s="13">
        <v>17</v>
      </c>
      <c r="I72" s="13">
        <v>156</v>
      </c>
      <c r="J72" s="13">
        <v>500</v>
      </c>
      <c r="K72" s="14">
        <v>0.312</v>
      </c>
      <c r="L72" s="14">
        <v>0.688</v>
      </c>
    </row>
    <row r="73" ht="15.25" spans="1:12">
      <c r="A73" s="11" t="s">
        <v>2288</v>
      </c>
      <c r="B73" s="12" t="s">
        <v>2289</v>
      </c>
      <c r="C73" s="12" t="s">
        <v>1898</v>
      </c>
      <c r="D73" s="13">
        <v>32</v>
      </c>
      <c r="E73" s="13">
        <v>74</v>
      </c>
      <c r="F73" s="13">
        <v>18</v>
      </c>
      <c r="G73" s="13">
        <v>33</v>
      </c>
      <c r="H73" s="13">
        <v>51</v>
      </c>
      <c r="I73" s="13">
        <v>208</v>
      </c>
      <c r="J73" s="13">
        <v>500</v>
      </c>
      <c r="K73" s="14">
        <v>0.416</v>
      </c>
      <c r="L73" s="14">
        <v>0.584</v>
      </c>
    </row>
    <row r="74" ht="26.75" spans="1:12">
      <c r="A74" s="11" t="s">
        <v>2290</v>
      </c>
      <c r="B74" s="12" t="s">
        <v>2291</v>
      </c>
      <c r="C74" s="12" t="s">
        <v>1593</v>
      </c>
      <c r="D74" s="13">
        <v>41</v>
      </c>
      <c r="E74" s="13">
        <v>11</v>
      </c>
      <c r="F74" s="13">
        <v>46</v>
      </c>
      <c r="G74" s="13">
        <v>35</v>
      </c>
      <c r="H74" s="13">
        <v>10</v>
      </c>
      <c r="I74" s="13">
        <v>143</v>
      </c>
      <c r="J74" s="13">
        <v>500</v>
      </c>
      <c r="K74" s="14">
        <v>0.286</v>
      </c>
      <c r="L74" s="14">
        <v>0.714</v>
      </c>
    </row>
    <row r="75" ht="15.25" spans="1:12">
      <c r="A75" s="11" t="s">
        <v>2292</v>
      </c>
      <c r="B75" s="12" t="s">
        <v>2293</v>
      </c>
      <c r="C75" s="12" t="s">
        <v>1884</v>
      </c>
      <c r="D75" s="13">
        <v>41</v>
      </c>
      <c r="E75" s="13">
        <v>17</v>
      </c>
      <c r="F75" s="13">
        <v>82</v>
      </c>
      <c r="G75" s="13">
        <v>75</v>
      </c>
      <c r="H75" s="13">
        <v>39</v>
      </c>
      <c r="I75" s="13">
        <v>254</v>
      </c>
      <c r="J75" s="13">
        <v>500</v>
      </c>
      <c r="K75" s="14">
        <v>0.508</v>
      </c>
      <c r="L75" s="14">
        <v>0.492</v>
      </c>
    </row>
    <row r="76" ht="15.25" spans="1:12">
      <c r="A76" s="11" t="s">
        <v>2294</v>
      </c>
      <c r="B76" s="12" t="s">
        <v>2295</v>
      </c>
      <c r="C76" s="12" t="s">
        <v>1849</v>
      </c>
      <c r="D76" s="13">
        <v>12</v>
      </c>
      <c r="E76" s="13">
        <v>97</v>
      </c>
      <c r="F76" s="13">
        <v>45</v>
      </c>
      <c r="G76" s="13">
        <v>29</v>
      </c>
      <c r="H76" s="13">
        <v>41</v>
      </c>
      <c r="I76" s="13">
        <v>224</v>
      </c>
      <c r="J76" s="13">
        <v>500</v>
      </c>
      <c r="K76" s="14">
        <v>0.448</v>
      </c>
      <c r="L76" s="14">
        <v>0.552</v>
      </c>
    </row>
    <row r="77" ht="15.25" spans="1:12">
      <c r="A77" s="11" t="s">
        <v>2296</v>
      </c>
      <c r="B77" s="12" t="s">
        <v>2297</v>
      </c>
      <c r="C77" s="12" t="s">
        <v>1626</v>
      </c>
      <c r="D77" s="13">
        <v>19</v>
      </c>
      <c r="E77" s="13">
        <v>72</v>
      </c>
      <c r="F77" s="13">
        <v>87</v>
      </c>
      <c r="G77" s="13">
        <v>82</v>
      </c>
      <c r="H77" s="13">
        <v>27</v>
      </c>
      <c r="I77" s="13">
        <v>287</v>
      </c>
      <c r="J77" s="13">
        <v>500</v>
      </c>
      <c r="K77" s="14">
        <v>0.574</v>
      </c>
      <c r="L77" s="14">
        <v>0.426</v>
      </c>
    </row>
    <row r="78" ht="15.25" spans="1:12">
      <c r="A78" s="11" t="s">
        <v>2298</v>
      </c>
      <c r="B78" s="12" t="s">
        <v>2299</v>
      </c>
      <c r="C78" s="12" t="s">
        <v>1598</v>
      </c>
      <c r="D78" s="13">
        <v>98</v>
      </c>
      <c r="E78" s="13">
        <v>15</v>
      </c>
      <c r="F78" s="13">
        <v>72</v>
      </c>
      <c r="G78" s="13">
        <v>67</v>
      </c>
      <c r="H78" s="13">
        <v>34</v>
      </c>
      <c r="I78" s="13">
        <v>286</v>
      </c>
      <c r="J78" s="13">
        <v>500</v>
      </c>
      <c r="K78" s="14">
        <v>0.572</v>
      </c>
      <c r="L78" s="14">
        <v>0.428</v>
      </c>
    </row>
    <row r="79" ht="15.25" spans="1:12">
      <c r="A79" s="11" t="s">
        <v>2300</v>
      </c>
      <c r="B79" s="12" t="s">
        <v>2301</v>
      </c>
      <c r="C79" s="12" t="s">
        <v>2156</v>
      </c>
      <c r="D79" s="13">
        <v>50</v>
      </c>
      <c r="E79" s="13">
        <v>44</v>
      </c>
      <c r="F79" s="13">
        <v>46</v>
      </c>
      <c r="G79" s="13">
        <v>13</v>
      </c>
      <c r="H79" s="13">
        <v>92</v>
      </c>
      <c r="I79" s="13">
        <v>245</v>
      </c>
      <c r="J79" s="13">
        <v>500</v>
      </c>
      <c r="K79" s="14">
        <v>0.49</v>
      </c>
      <c r="L79" s="14">
        <v>0.51</v>
      </c>
    </row>
    <row r="80" ht="15.25" spans="1:12">
      <c r="A80" s="11" t="s">
        <v>2302</v>
      </c>
      <c r="B80" s="12" t="s">
        <v>2303</v>
      </c>
      <c r="C80" s="12" t="s">
        <v>2159</v>
      </c>
      <c r="D80" s="13">
        <v>40</v>
      </c>
      <c r="E80" s="13">
        <v>82</v>
      </c>
      <c r="F80" s="13">
        <v>72</v>
      </c>
      <c r="G80" s="13">
        <v>42</v>
      </c>
      <c r="H80" s="13">
        <v>45</v>
      </c>
      <c r="I80" s="13">
        <v>281</v>
      </c>
      <c r="J80" s="13">
        <v>500</v>
      </c>
      <c r="K80" s="14">
        <v>0.562</v>
      </c>
      <c r="L80" s="14">
        <v>0.438</v>
      </c>
    </row>
    <row r="81" ht="15.25" spans="1:12">
      <c r="A81" s="11" t="s">
        <v>2304</v>
      </c>
      <c r="B81" s="12" t="s">
        <v>2305</v>
      </c>
      <c r="C81" s="12" t="s">
        <v>1898</v>
      </c>
      <c r="D81" s="13">
        <v>23</v>
      </c>
      <c r="E81" s="13">
        <v>83</v>
      </c>
      <c r="F81" s="13">
        <v>63</v>
      </c>
      <c r="G81" s="13">
        <v>65</v>
      </c>
      <c r="H81" s="13">
        <v>83</v>
      </c>
      <c r="I81" s="13">
        <v>317</v>
      </c>
      <c r="J81" s="13">
        <v>500</v>
      </c>
      <c r="K81" s="14">
        <v>0.634</v>
      </c>
      <c r="L81" s="14">
        <v>0.366</v>
      </c>
    </row>
    <row r="82" ht="26.75" spans="1:12">
      <c r="A82" s="11" t="s">
        <v>2306</v>
      </c>
      <c r="B82" s="12" t="s">
        <v>2307</v>
      </c>
      <c r="C82" s="12" t="s">
        <v>1593</v>
      </c>
      <c r="D82" s="13">
        <v>71</v>
      </c>
      <c r="E82" s="13">
        <v>94</v>
      </c>
      <c r="F82" s="13">
        <v>45</v>
      </c>
      <c r="G82" s="13">
        <v>95</v>
      </c>
      <c r="H82" s="13">
        <v>46</v>
      </c>
      <c r="I82" s="13">
        <v>351</v>
      </c>
      <c r="J82" s="13">
        <v>500</v>
      </c>
      <c r="K82" s="14">
        <v>0.702</v>
      </c>
      <c r="L82" s="14">
        <v>0.298</v>
      </c>
    </row>
    <row r="83" ht="15.25" spans="1:12">
      <c r="A83" s="11" t="s">
        <v>2308</v>
      </c>
      <c r="B83" s="12" t="s">
        <v>2309</v>
      </c>
      <c r="C83" s="12" t="s">
        <v>1884</v>
      </c>
      <c r="D83" s="13">
        <v>48</v>
      </c>
      <c r="E83" s="13">
        <v>49</v>
      </c>
      <c r="F83" s="13">
        <v>68</v>
      </c>
      <c r="G83" s="13">
        <v>23</v>
      </c>
      <c r="H83" s="13">
        <v>21</v>
      </c>
      <c r="I83" s="13">
        <v>209</v>
      </c>
      <c r="J83" s="13">
        <v>500</v>
      </c>
      <c r="K83" s="14">
        <v>0.418</v>
      </c>
      <c r="L83" s="14">
        <v>0.582</v>
      </c>
    </row>
    <row r="84" ht="15.25" spans="1:12">
      <c r="A84" s="11" t="s">
        <v>2310</v>
      </c>
      <c r="B84" s="12" t="s">
        <v>2311</v>
      </c>
      <c r="C84" s="12" t="s">
        <v>1849</v>
      </c>
      <c r="D84" s="13">
        <v>77</v>
      </c>
      <c r="E84" s="13">
        <v>83</v>
      </c>
      <c r="F84" s="13">
        <v>64</v>
      </c>
      <c r="G84" s="13">
        <v>53</v>
      </c>
      <c r="H84" s="13">
        <v>13</v>
      </c>
      <c r="I84" s="13">
        <v>290</v>
      </c>
      <c r="J84" s="13">
        <v>500</v>
      </c>
      <c r="K84" s="14">
        <v>0.58</v>
      </c>
      <c r="L84" s="14">
        <v>0.42</v>
      </c>
    </row>
    <row r="85" ht="15.25" spans="1:12">
      <c r="A85" s="11" t="s">
        <v>2312</v>
      </c>
      <c r="B85" s="12" t="s">
        <v>2313</v>
      </c>
      <c r="C85" s="12" t="s">
        <v>1626</v>
      </c>
      <c r="D85" s="13">
        <v>81</v>
      </c>
      <c r="E85" s="13">
        <v>63</v>
      </c>
      <c r="F85" s="13">
        <v>88</v>
      </c>
      <c r="G85" s="13">
        <v>89</v>
      </c>
      <c r="H85" s="13">
        <v>63</v>
      </c>
      <c r="I85" s="13">
        <v>384</v>
      </c>
      <c r="J85" s="13">
        <v>500</v>
      </c>
      <c r="K85" s="14">
        <v>0.768</v>
      </c>
      <c r="L85" s="14">
        <v>0.232</v>
      </c>
    </row>
    <row r="86" ht="15.25" spans="1:12">
      <c r="A86" s="11" t="s">
        <v>2314</v>
      </c>
      <c r="B86" s="12" t="s">
        <v>2315</v>
      </c>
      <c r="C86" s="12" t="s">
        <v>1598</v>
      </c>
      <c r="D86" s="13">
        <v>39</v>
      </c>
      <c r="E86" s="13">
        <v>87</v>
      </c>
      <c r="F86" s="13">
        <v>62</v>
      </c>
      <c r="G86" s="13">
        <v>80</v>
      </c>
      <c r="H86" s="13">
        <v>81</v>
      </c>
      <c r="I86" s="13">
        <v>349</v>
      </c>
      <c r="J86" s="13">
        <v>500</v>
      </c>
      <c r="K86" s="14">
        <v>0.698</v>
      </c>
      <c r="L86" s="14">
        <v>0.302</v>
      </c>
    </row>
    <row r="87" ht="15.25" spans="1:12">
      <c r="A87" s="11" t="s">
        <v>2316</v>
      </c>
      <c r="B87" s="12" t="s">
        <v>2317</v>
      </c>
      <c r="C87" s="12" t="s">
        <v>2156</v>
      </c>
      <c r="D87" s="13">
        <v>46</v>
      </c>
      <c r="E87" s="13">
        <v>19</v>
      </c>
      <c r="F87" s="13">
        <v>59</v>
      </c>
      <c r="G87" s="13">
        <v>58</v>
      </c>
      <c r="H87" s="13">
        <v>33</v>
      </c>
      <c r="I87" s="13">
        <v>215</v>
      </c>
      <c r="J87" s="13">
        <v>500</v>
      </c>
      <c r="K87" s="14">
        <v>0.43</v>
      </c>
      <c r="L87" s="14">
        <v>0.57</v>
      </c>
    </row>
    <row r="88" ht="15.25" spans="1:12">
      <c r="A88" s="11" t="s">
        <v>2318</v>
      </c>
      <c r="B88" s="12" t="s">
        <v>2319</v>
      </c>
      <c r="C88" s="12" t="s">
        <v>2159</v>
      </c>
      <c r="D88" s="13">
        <v>34</v>
      </c>
      <c r="E88" s="13">
        <v>15</v>
      </c>
      <c r="F88" s="13">
        <v>43</v>
      </c>
      <c r="G88" s="13">
        <v>63</v>
      </c>
      <c r="H88" s="13">
        <v>54</v>
      </c>
      <c r="I88" s="13">
        <v>209</v>
      </c>
      <c r="J88" s="13">
        <v>500</v>
      </c>
      <c r="K88" s="14">
        <v>0.418</v>
      </c>
      <c r="L88" s="14">
        <v>0.582</v>
      </c>
    </row>
    <row r="89" ht="15.25" spans="1:12">
      <c r="A89" s="11" t="s">
        <v>2320</v>
      </c>
      <c r="B89" s="12" t="s">
        <v>2321</v>
      </c>
      <c r="C89" s="12" t="s">
        <v>1898</v>
      </c>
      <c r="D89" s="13">
        <v>32</v>
      </c>
      <c r="E89" s="13">
        <v>79</v>
      </c>
      <c r="F89" s="13">
        <v>65</v>
      </c>
      <c r="G89" s="13">
        <v>57</v>
      </c>
      <c r="H89" s="13">
        <v>73</v>
      </c>
      <c r="I89" s="13">
        <v>306</v>
      </c>
      <c r="J89" s="13">
        <v>500</v>
      </c>
      <c r="K89" s="14">
        <v>0.612</v>
      </c>
      <c r="L89" s="14">
        <v>0.388</v>
      </c>
    </row>
    <row r="90" ht="26.75" spans="1:12">
      <c r="A90" s="11" t="s">
        <v>2322</v>
      </c>
      <c r="B90" s="12" t="s">
        <v>2323</v>
      </c>
      <c r="C90" s="12" t="s">
        <v>1593</v>
      </c>
      <c r="D90" s="13">
        <v>72</v>
      </c>
      <c r="E90" s="13">
        <v>82</v>
      </c>
      <c r="F90" s="13">
        <v>58</v>
      </c>
      <c r="G90" s="13">
        <v>36</v>
      </c>
      <c r="H90" s="13">
        <v>33</v>
      </c>
      <c r="I90" s="13">
        <v>281</v>
      </c>
      <c r="J90" s="13">
        <v>500</v>
      </c>
      <c r="K90" s="14">
        <v>0.562</v>
      </c>
      <c r="L90" s="14">
        <v>0.438</v>
      </c>
    </row>
    <row r="91" ht="15.25" spans="1:12">
      <c r="A91" s="11" t="s">
        <v>2324</v>
      </c>
      <c r="B91" s="12" t="s">
        <v>2325</v>
      </c>
      <c r="C91" s="12" t="s">
        <v>1884</v>
      </c>
      <c r="D91" s="13">
        <v>11</v>
      </c>
      <c r="E91" s="13">
        <v>69</v>
      </c>
      <c r="F91" s="13">
        <v>49</v>
      </c>
      <c r="G91" s="13">
        <v>90</v>
      </c>
      <c r="H91" s="13">
        <v>99</v>
      </c>
      <c r="I91" s="13">
        <v>318</v>
      </c>
      <c r="J91" s="13">
        <v>500</v>
      </c>
      <c r="K91" s="14">
        <v>0.636</v>
      </c>
      <c r="L91" s="14">
        <v>0.364</v>
      </c>
    </row>
    <row r="92" ht="15.25" spans="1:12">
      <c r="A92" s="11" t="s">
        <v>2326</v>
      </c>
      <c r="B92" s="12" t="s">
        <v>2327</v>
      </c>
      <c r="C92" s="12" t="s">
        <v>1849</v>
      </c>
      <c r="D92" s="13">
        <v>80</v>
      </c>
      <c r="E92" s="13">
        <v>73</v>
      </c>
      <c r="F92" s="13">
        <v>21</v>
      </c>
      <c r="G92" s="13">
        <v>72</v>
      </c>
      <c r="H92" s="13">
        <v>54</v>
      </c>
      <c r="I92" s="13">
        <v>300</v>
      </c>
      <c r="J92" s="13">
        <v>500</v>
      </c>
      <c r="K92" s="14">
        <v>0.6</v>
      </c>
      <c r="L92" s="14">
        <v>0.4</v>
      </c>
    </row>
    <row r="93" ht="15.25" spans="1:12">
      <c r="A93" s="11" t="s">
        <v>2328</v>
      </c>
      <c r="B93" s="12" t="s">
        <v>2329</v>
      </c>
      <c r="C93" s="12" t="s">
        <v>1626</v>
      </c>
      <c r="D93" s="13">
        <v>93</v>
      </c>
      <c r="E93" s="13">
        <v>42</v>
      </c>
      <c r="F93" s="13">
        <v>38</v>
      </c>
      <c r="G93" s="13">
        <v>98</v>
      </c>
      <c r="H93" s="13">
        <v>10</v>
      </c>
      <c r="I93" s="13">
        <v>281</v>
      </c>
      <c r="J93" s="13">
        <v>500</v>
      </c>
      <c r="K93" s="14">
        <v>0.562</v>
      </c>
      <c r="L93" s="14">
        <v>0.438</v>
      </c>
    </row>
    <row r="94" ht="15.25" spans="1:12">
      <c r="A94" s="11" t="s">
        <v>2330</v>
      </c>
      <c r="B94" s="12" t="s">
        <v>2331</v>
      </c>
      <c r="C94" s="12" t="s">
        <v>1598</v>
      </c>
      <c r="D94" s="13">
        <v>18</v>
      </c>
      <c r="E94" s="13">
        <v>80</v>
      </c>
      <c r="F94" s="13">
        <v>20</v>
      </c>
      <c r="G94" s="13">
        <v>32</v>
      </c>
      <c r="H94" s="13">
        <v>95</v>
      </c>
      <c r="I94" s="13">
        <v>245</v>
      </c>
      <c r="J94" s="13">
        <v>500</v>
      </c>
      <c r="K94" s="14">
        <v>0.49</v>
      </c>
      <c r="L94" s="14">
        <v>0.51</v>
      </c>
    </row>
    <row r="95" ht="15.25" spans="1:12">
      <c r="A95" s="11" t="s">
        <v>2332</v>
      </c>
      <c r="B95" s="12" t="s">
        <v>2333</v>
      </c>
      <c r="C95" s="12" t="s">
        <v>2156</v>
      </c>
      <c r="D95" s="13">
        <v>96</v>
      </c>
      <c r="E95" s="13">
        <v>14</v>
      </c>
      <c r="F95" s="13">
        <v>20</v>
      </c>
      <c r="G95" s="13">
        <v>31</v>
      </c>
      <c r="H95" s="13">
        <v>44</v>
      </c>
      <c r="I95" s="13">
        <v>205</v>
      </c>
      <c r="J95" s="13">
        <v>500</v>
      </c>
      <c r="K95" s="14">
        <v>0.41</v>
      </c>
      <c r="L95" s="14">
        <v>0.59</v>
      </c>
    </row>
    <row r="96" ht="15.25" spans="1:12">
      <c r="A96" s="11" t="s">
        <v>2334</v>
      </c>
      <c r="B96" s="12" t="s">
        <v>2335</v>
      </c>
      <c r="C96" s="12" t="s">
        <v>2159</v>
      </c>
      <c r="D96" s="13">
        <v>37</v>
      </c>
      <c r="E96" s="13">
        <v>60</v>
      </c>
      <c r="F96" s="13">
        <v>50</v>
      </c>
      <c r="G96" s="13">
        <v>68</v>
      </c>
      <c r="H96" s="13">
        <v>19</v>
      </c>
      <c r="I96" s="13">
        <v>234</v>
      </c>
      <c r="J96" s="13">
        <v>500</v>
      </c>
      <c r="K96" s="14">
        <v>0.468</v>
      </c>
      <c r="L96" s="14">
        <v>0.532</v>
      </c>
    </row>
    <row r="97" ht="15.25" spans="1:12">
      <c r="A97" s="11" t="s">
        <v>2336</v>
      </c>
      <c r="B97" s="12" t="s">
        <v>2337</v>
      </c>
      <c r="C97" s="12" t="s">
        <v>1898</v>
      </c>
      <c r="D97" s="13">
        <v>35</v>
      </c>
      <c r="E97" s="13">
        <v>79</v>
      </c>
      <c r="F97" s="13">
        <v>17</v>
      </c>
      <c r="G97" s="13">
        <v>85</v>
      </c>
      <c r="H97" s="13">
        <v>16</v>
      </c>
      <c r="I97" s="13">
        <v>232</v>
      </c>
      <c r="J97" s="13">
        <v>500</v>
      </c>
      <c r="K97" s="14">
        <v>0.464</v>
      </c>
      <c r="L97" s="14">
        <v>0.536</v>
      </c>
    </row>
    <row r="98" ht="26.75" spans="1:12">
      <c r="A98" s="11" t="s">
        <v>2338</v>
      </c>
      <c r="B98" s="12" t="s">
        <v>2339</v>
      </c>
      <c r="C98" s="12" t="s">
        <v>1593</v>
      </c>
      <c r="D98" s="13">
        <v>31</v>
      </c>
      <c r="E98" s="13">
        <v>48</v>
      </c>
      <c r="F98" s="13">
        <v>56</v>
      </c>
      <c r="G98" s="13">
        <v>85</v>
      </c>
      <c r="H98" s="13">
        <v>25</v>
      </c>
      <c r="I98" s="13">
        <v>245</v>
      </c>
      <c r="J98" s="13">
        <v>500</v>
      </c>
      <c r="K98" s="14">
        <v>0.49</v>
      </c>
      <c r="L98" s="14">
        <v>0.51</v>
      </c>
    </row>
    <row r="99" ht="15.25" spans="1:12">
      <c r="A99" s="11" t="s">
        <v>2340</v>
      </c>
      <c r="B99" s="12" t="s">
        <v>2341</v>
      </c>
      <c r="C99" s="12" t="s">
        <v>1884</v>
      </c>
      <c r="D99" s="13">
        <v>23</v>
      </c>
      <c r="E99" s="13">
        <v>83</v>
      </c>
      <c r="F99" s="13">
        <v>86</v>
      </c>
      <c r="G99" s="13">
        <v>69</v>
      </c>
      <c r="H99" s="13">
        <v>25</v>
      </c>
      <c r="I99" s="13">
        <v>286</v>
      </c>
      <c r="J99" s="13">
        <v>500</v>
      </c>
      <c r="K99" s="14">
        <v>0.572</v>
      </c>
      <c r="L99" s="14">
        <v>0.428</v>
      </c>
    </row>
    <row r="100" ht="15.25" spans="1:12">
      <c r="A100" s="11" t="s">
        <v>2342</v>
      </c>
      <c r="B100" s="12" t="s">
        <v>2343</v>
      </c>
      <c r="C100" s="12" t="s">
        <v>1849</v>
      </c>
      <c r="D100" s="13">
        <v>17</v>
      </c>
      <c r="E100" s="13">
        <v>97</v>
      </c>
      <c r="F100" s="13">
        <v>81</v>
      </c>
      <c r="G100" s="13">
        <v>32</v>
      </c>
      <c r="H100" s="13">
        <v>76</v>
      </c>
      <c r="I100" s="13">
        <v>303</v>
      </c>
      <c r="J100" s="13">
        <v>500</v>
      </c>
      <c r="K100" s="14">
        <v>0.606</v>
      </c>
      <c r="L100" s="14">
        <v>0.394</v>
      </c>
    </row>
    <row r="101" ht="15.25" spans="1:12">
      <c r="A101" s="11" t="s">
        <v>2344</v>
      </c>
      <c r="B101" s="12" t="s">
        <v>2345</v>
      </c>
      <c r="C101" s="12" t="s">
        <v>1626</v>
      </c>
      <c r="D101" s="13">
        <v>92</v>
      </c>
      <c r="E101" s="13">
        <v>45</v>
      </c>
      <c r="F101" s="13">
        <v>43</v>
      </c>
      <c r="G101" s="13">
        <v>91</v>
      </c>
      <c r="H101" s="13">
        <v>47</v>
      </c>
      <c r="I101" s="13">
        <v>318</v>
      </c>
      <c r="J101" s="13">
        <v>500</v>
      </c>
      <c r="K101" s="14">
        <v>0.636</v>
      </c>
      <c r="L101" s="14">
        <v>0.364</v>
      </c>
    </row>
    <row r="102" ht="15.25" spans="1:12">
      <c r="A102" s="11" t="s">
        <v>2346</v>
      </c>
      <c r="B102" s="12" t="s">
        <v>2347</v>
      </c>
      <c r="C102" s="12" t="s">
        <v>1598</v>
      </c>
      <c r="D102" s="13">
        <v>49</v>
      </c>
      <c r="E102" s="13">
        <v>77</v>
      </c>
      <c r="F102" s="13">
        <v>18</v>
      </c>
      <c r="G102" s="13">
        <v>69</v>
      </c>
      <c r="H102" s="13">
        <v>55</v>
      </c>
      <c r="I102" s="13">
        <v>268</v>
      </c>
      <c r="J102" s="13">
        <v>500</v>
      </c>
      <c r="K102" s="14">
        <v>0.536</v>
      </c>
      <c r="L102" s="14">
        <v>0.464</v>
      </c>
    </row>
    <row r="103" ht="15.25" spans="1:12">
      <c r="A103" s="11" t="s">
        <v>2348</v>
      </c>
      <c r="B103" s="12" t="s">
        <v>2349</v>
      </c>
      <c r="C103" s="12" t="s">
        <v>2156</v>
      </c>
      <c r="D103" s="13">
        <v>81</v>
      </c>
      <c r="E103" s="13">
        <v>88</v>
      </c>
      <c r="F103" s="13">
        <v>19</v>
      </c>
      <c r="G103" s="13">
        <v>95</v>
      </c>
      <c r="H103" s="13">
        <v>39</v>
      </c>
      <c r="I103" s="13">
        <v>322</v>
      </c>
      <c r="J103" s="13">
        <v>500</v>
      </c>
      <c r="K103" s="14">
        <v>0.644</v>
      </c>
      <c r="L103" s="14">
        <v>0.356</v>
      </c>
    </row>
    <row r="104" ht="15.25" spans="1:12">
      <c r="A104" s="11" t="s">
        <v>2350</v>
      </c>
      <c r="B104" s="12" t="s">
        <v>2351</v>
      </c>
      <c r="C104" s="12" t="s">
        <v>2159</v>
      </c>
      <c r="D104" s="13">
        <v>55</v>
      </c>
      <c r="E104" s="13">
        <v>14</v>
      </c>
      <c r="F104" s="13">
        <v>41</v>
      </c>
      <c r="G104" s="13">
        <v>40</v>
      </c>
      <c r="H104" s="13">
        <v>70</v>
      </c>
      <c r="I104" s="13">
        <v>220</v>
      </c>
      <c r="J104" s="13">
        <v>500</v>
      </c>
      <c r="K104" s="14">
        <v>0.44</v>
      </c>
      <c r="L104" s="14">
        <v>0.56</v>
      </c>
    </row>
    <row r="105" ht="15.25" spans="1:12">
      <c r="A105" s="11" t="s">
        <v>2352</v>
      </c>
      <c r="B105" s="12" t="s">
        <v>2353</v>
      </c>
      <c r="C105" s="12" t="s">
        <v>1898</v>
      </c>
      <c r="D105" s="13">
        <v>86</v>
      </c>
      <c r="E105" s="13">
        <v>13</v>
      </c>
      <c r="F105" s="13">
        <v>99</v>
      </c>
      <c r="G105" s="13">
        <v>25</v>
      </c>
      <c r="H105" s="13">
        <v>83</v>
      </c>
      <c r="I105" s="13">
        <v>306</v>
      </c>
      <c r="J105" s="13">
        <v>500</v>
      </c>
      <c r="K105" s="14">
        <v>0.612</v>
      </c>
      <c r="L105" s="14">
        <v>0.388</v>
      </c>
    </row>
    <row r="106" ht="26.75" spans="1:12">
      <c r="A106" s="11" t="s">
        <v>2354</v>
      </c>
      <c r="B106" s="12" t="s">
        <v>2355</v>
      </c>
      <c r="C106" s="12" t="s">
        <v>1593</v>
      </c>
      <c r="D106" s="13">
        <v>88</v>
      </c>
      <c r="E106" s="13">
        <v>96</v>
      </c>
      <c r="F106" s="13">
        <v>16</v>
      </c>
      <c r="G106" s="13">
        <v>65</v>
      </c>
      <c r="H106" s="13">
        <v>86</v>
      </c>
      <c r="I106" s="13">
        <v>351</v>
      </c>
      <c r="J106" s="13">
        <v>500</v>
      </c>
      <c r="K106" s="14">
        <v>0.702</v>
      </c>
      <c r="L106" s="14">
        <v>0.298</v>
      </c>
    </row>
    <row r="107" ht="15.25" spans="1:12">
      <c r="A107" s="11" t="s">
        <v>2356</v>
      </c>
      <c r="B107" s="12" t="s">
        <v>2357</v>
      </c>
      <c r="C107" s="12" t="s">
        <v>1884</v>
      </c>
      <c r="D107" s="13">
        <v>61</v>
      </c>
      <c r="E107" s="13">
        <v>73</v>
      </c>
      <c r="F107" s="13">
        <v>34</v>
      </c>
      <c r="G107" s="13">
        <v>30</v>
      </c>
      <c r="H107" s="13">
        <v>30</v>
      </c>
      <c r="I107" s="13">
        <v>228</v>
      </c>
      <c r="J107" s="13">
        <v>500</v>
      </c>
      <c r="K107" s="14">
        <v>0.456</v>
      </c>
      <c r="L107" s="14">
        <v>0.544</v>
      </c>
    </row>
    <row r="108" ht="15.25" spans="1:12">
      <c r="A108" s="11" t="s">
        <v>2358</v>
      </c>
      <c r="B108" s="12" t="s">
        <v>2359</v>
      </c>
      <c r="C108" s="12" t="s">
        <v>1849</v>
      </c>
      <c r="D108" s="13">
        <v>61</v>
      </c>
      <c r="E108" s="13">
        <v>91</v>
      </c>
      <c r="F108" s="13">
        <v>53</v>
      </c>
      <c r="G108" s="13">
        <v>78</v>
      </c>
      <c r="H108" s="13">
        <v>91</v>
      </c>
      <c r="I108" s="13">
        <v>374</v>
      </c>
      <c r="J108" s="13">
        <v>500</v>
      </c>
      <c r="K108" s="14">
        <v>0.748</v>
      </c>
      <c r="L108" s="14">
        <v>0.252</v>
      </c>
    </row>
    <row r="109" ht="15.25" spans="1:12">
      <c r="A109" s="11" t="s">
        <v>2360</v>
      </c>
      <c r="B109" s="12" t="s">
        <v>2361</v>
      </c>
      <c r="C109" s="12" t="s">
        <v>1626</v>
      </c>
      <c r="D109" s="13">
        <v>75</v>
      </c>
      <c r="E109" s="13">
        <v>53</v>
      </c>
      <c r="F109" s="13">
        <v>27</v>
      </c>
      <c r="G109" s="13">
        <v>26</v>
      </c>
      <c r="H109" s="13">
        <v>30</v>
      </c>
      <c r="I109" s="13">
        <v>211</v>
      </c>
      <c r="J109" s="13">
        <v>500</v>
      </c>
      <c r="K109" s="14">
        <v>0.422</v>
      </c>
      <c r="L109" s="14">
        <v>0.578</v>
      </c>
    </row>
    <row r="110" ht="15.25" spans="1:12">
      <c r="A110" s="11" t="s">
        <v>2362</v>
      </c>
      <c r="B110" s="12" t="s">
        <v>2363</v>
      </c>
      <c r="C110" s="12" t="s">
        <v>1598</v>
      </c>
      <c r="D110" s="13">
        <v>24</v>
      </c>
      <c r="E110" s="13">
        <v>31</v>
      </c>
      <c r="F110" s="13">
        <v>41</v>
      </c>
      <c r="G110" s="13">
        <v>57</v>
      </c>
      <c r="H110" s="13">
        <v>83</v>
      </c>
      <c r="I110" s="13">
        <v>236</v>
      </c>
      <c r="J110" s="13">
        <v>500</v>
      </c>
      <c r="K110" s="14">
        <v>0.472</v>
      </c>
      <c r="L110" s="14">
        <v>0.528</v>
      </c>
    </row>
    <row r="111" ht="15.25" spans="1:12">
      <c r="A111" s="11" t="s">
        <v>2364</v>
      </c>
      <c r="B111" s="12" t="s">
        <v>2365</v>
      </c>
      <c r="C111" s="12" t="s">
        <v>2156</v>
      </c>
      <c r="D111" s="13">
        <v>83</v>
      </c>
      <c r="E111" s="13">
        <v>62</v>
      </c>
      <c r="F111" s="13">
        <v>32</v>
      </c>
      <c r="G111" s="13">
        <v>83</v>
      </c>
      <c r="H111" s="13">
        <v>95</v>
      </c>
      <c r="I111" s="13">
        <v>355</v>
      </c>
      <c r="J111" s="13">
        <v>500</v>
      </c>
      <c r="K111" s="14">
        <v>0.71</v>
      </c>
      <c r="L111" s="14">
        <v>0.29</v>
      </c>
    </row>
    <row r="112" ht="15.25" spans="1:12">
      <c r="A112" s="11" t="s">
        <v>2366</v>
      </c>
      <c r="B112" s="12" t="s">
        <v>2367</v>
      </c>
      <c r="C112" s="12" t="s">
        <v>2159</v>
      </c>
      <c r="D112" s="13">
        <v>39</v>
      </c>
      <c r="E112" s="13">
        <v>52</v>
      </c>
      <c r="F112" s="13">
        <v>72</v>
      </c>
      <c r="G112" s="13">
        <v>99</v>
      </c>
      <c r="H112" s="13">
        <v>58</v>
      </c>
      <c r="I112" s="13">
        <v>320</v>
      </c>
      <c r="J112" s="13">
        <v>500</v>
      </c>
      <c r="K112" s="14">
        <v>0.64</v>
      </c>
      <c r="L112" s="14">
        <v>0.36</v>
      </c>
    </row>
    <row r="113" ht="15.25" spans="1:12">
      <c r="A113" s="11" t="s">
        <v>2368</v>
      </c>
      <c r="B113" s="12" t="s">
        <v>2369</v>
      </c>
      <c r="C113" s="12" t="s">
        <v>1898</v>
      </c>
      <c r="D113" s="13">
        <v>93</v>
      </c>
      <c r="E113" s="13">
        <v>74</v>
      </c>
      <c r="F113" s="13">
        <v>85</v>
      </c>
      <c r="G113" s="13">
        <v>47</v>
      </c>
      <c r="H113" s="13">
        <v>90</v>
      </c>
      <c r="I113" s="13">
        <v>389</v>
      </c>
      <c r="J113" s="13">
        <v>500</v>
      </c>
      <c r="K113" s="14">
        <v>0.778</v>
      </c>
      <c r="L113" s="14">
        <v>0.222</v>
      </c>
    </row>
    <row r="114" ht="26.75" spans="1:12">
      <c r="A114" s="11" t="s">
        <v>2370</v>
      </c>
      <c r="B114" s="12" t="s">
        <v>2371</v>
      </c>
      <c r="C114" s="12" t="s">
        <v>1593</v>
      </c>
      <c r="D114" s="13">
        <v>43</v>
      </c>
      <c r="E114" s="13">
        <v>88</v>
      </c>
      <c r="F114" s="13">
        <v>35</v>
      </c>
      <c r="G114" s="13">
        <v>54</v>
      </c>
      <c r="H114" s="13">
        <v>91</v>
      </c>
      <c r="I114" s="13">
        <v>311</v>
      </c>
      <c r="J114" s="13">
        <v>500</v>
      </c>
      <c r="K114" s="14">
        <v>0.622</v>
      </c>
      <c r="L114" s="14">
        <v>0.378</v>
      </c>
    </row>
    <row r="115" ht="15.25" spans="1:12">
      <c r="A115" s="11" t="s">
        <v>2372</v>
      </c>
      <c r="B115" s="12" t="s">
        <v>2373</v>
      </c>
      <c r="C115" s="12" t="s">
        <v>1884</v>
      </c>
      <c r="D115" s="13">
        <v>87</v>
      </c>
      <c r="E115" s="13">
        <v>15</v>
      </c>
      <c r="F115" s="13">
        <v>11</v>
      </c>
      <c r="G115" s="13">
        <v>42</v>
      </c>
      <c r="H115" s="13">
        <v>88</v>
      </c>
      <c r="I115" s="13">
        <v>243</v>
      </c>
      <c r="J115" s="13">
        <v>500</v>
      </c>
      <c r="K115" s="14">
        <v>0.486</v>
      </c>
      <c r="L115" s="14">
        <v>0.514</v>
      </c>
    </row>
    <row r="116" ht="15.25" spans="1:12">
      <c r="A116" s="11" t="s">
        <v>2374</v>
      </c>
      <c r="B116" s="12" t="s">
        <v>2375</v>
      </c>
      <c r="C116" s="12" t="s">
        <v>1849</v>
      </c>
      <c r="D116" s="13">
        <v>45</v>
      </c>
      <c r="E116" s="13">
        <v>45</v>
      </c>
      <c r="F116" s="13">
        <v>61</v>
      </c>
      <c r="G116" s="13">
        <v>11</v>
      </c>
      <c r="H116" s="13">
        <v>52</v>
      </c>
      <c r="I116" s="13">
        <v>214</v>
      </c>
      <c r="J116" s="13">
        <v>500</v>
      </c>
      <c r="K116" s="14">
        <v>0.428</v>
      </c>
      <c r="L116" s="14">
        <v>0.572</v>
      </c>
    </row>
    <row r="117" ht="15.25" spans="1:12">
      <c r="A117" s="11" t="s">
        <v>2376</v>
      </c>
      <c r="B117" s="12" t="s">
        <v>2377</v>
      </c>
      <c r="C117" s="12" t="s">
        <v>1626</v>
      </c>
      <c r="D117" s="13">
        <v>71</v>
      </c>
      <c r="E117" s="13">
        <v>42</v>
      </c>
      <c r="F117" s="13">
        <v>17</v>
      </c>
      <c r="G117" s="13">
        <v>57</v>
      </c>
      <c r="H117" s="13">
        <v>96</v>
      </c>
      <c r="I117" s="13">
        <v>283</v>
      </c>
      <c r="J117" s="13">
        <v>500</v>
      </c>
      <c r="K117" s="14">
        <v>0.566</v>
      </c>
      <c r="L117" s="14">
        <v>0.434</v>
      </c>
    </row>
    <row r="118" ht="15.25" spans="1:12">
      <c r="A118" s="11" t="s">
        <v>2378</v>
      </c>
      <c r="B118" s="12" t="s">
        <v>2379</v>
      </c>
      <c r="C118" s="12" t="s">
        <v>1598</v>
      </c>
      <c r="D118" s="13">
        <v>26</v>
      </c>
      <c r="E118" s="13">
        <v>65</v>
      </c>
      <c r="F118" s="13">
        <v>17</v>
      </c>
      <c r="G118" s="13">
        <v>28</v>
      </c>
      <c r="H118" s="13">
        <v>30</v>
      </c>
      <c r="I118" s="13">
        <v>166</v>
      </c>
      <c r="J118" s="13">
        <v>500</v>
      </c>
      <c r="K118" s="14">
        <v>0.332</v>
      </c>
      <c r="L118" s="14">
        <v>0.668</v>
      </c>
    </row>
    <row r="119" ht="15.25" spans="1:12">
      <c r="A119" s="11" t="s">
        <v>2380</v>
      </c>
      <c r="B119" s="12" t="s">
        <v>2381</v>
      </c>
      <c r="C119" s="12" t="s">
        <v>2156</v>
      </c>
      <c r="D119" s="13">
        <v>26</v>
      </c>
      <c r="E119" s="13">
        <v>61</v>
      </c>
      <c r="F119" s="13">
        <v>89</v>
      </c>
      <c r="G119" s="13">
        <v>71</v>
      </c>
      <c r="H119" s="13">
        <v>33</v>
      </c>
      <c r="I119" s="13">
        <v>280</v>
      </c>
      <c r="J119" s="13">
        <v>500</v>
      </c>
      <c r="K119" s="14">
        <v>0.56</v>
      </c>
      <c r="L119" s="14">
        <v>0.44</v>
      </c>
    </row>
    <row r="120" ht="15.25" spans="1:12">
      <c r="A120" s="11" t="s">
        <v>2382</v>
      </c>
      <c r="B120" s="12" t="s">
        <v>2383</v>
      </c>
      <c r="C120" s="12" t="s">
        <v>2159</v>
      </c>
      <c r="D120" s="13">
        <v>93</v>
      </c>
      <c r="E120" s="13">
        <v>11</v>
      </c>
      <c r="F120" s="13">
        <v>93</v>
      </c>
      <c r="G120" s="13">
        <v>31</v>
      </c>
      <c r="H120" s="13">
        <v>30</v>
      </c>
      <c r="I120" s="13">
        <v>258</v>
      </c>
      <c r="J120" s="13">
        <v>500</v>
      </c>
      <c r="K120" s="14">
        <v>0.516</v>
      </c>
      <c r="L120" s="14">
        <v>0.484</v>
      </c>
    </row>
    <row r="121" ht="15.25" spans="1:12">
      <c r="A121" s="11" t="s">
        <v>2384</v>
      </c>
      <c r="B121" s="12" t="s">
        <v>2385</v>
      </c>
      <c r="C121" s="12" t="s">
        <v>1898</v>
      </c>
      <c r="D121" s="13">
        <v>65</v>
      </c>
      <c r="E121" s="13">
        <v>92</v>
      </c>
      <c r="F121" s="13">
        <v>48</v>
      </c>
      <c r="G121" s="13">
        <v>96</v>
      </c>
      <c r="H121" s="13">
        <v>15</v>
      </c>
      <c r="I121" s="13">
        <v>316</v>
      </c>
      <c r="J121" s="13">
        <v>500</v>
      </c>
      <c r="K121" s="14">
        <v>0.632</v>
      </c>
      <c r="L121" s="14">
        <v>0.368</v>
      </c>
    </row>
    <row r="122" ht="26.75" spans="1:12">
      <c r="A122" s="11" t="s">
        <v>2386</v>
      </c>
      <c r="B122" s="12" t="s">
        <v>2387</v>
      </c>
      <c r="C122" s="12" t="s">
        <v>1593</v>
      </c>
      <c r="D122" s="13">
        <v>91</v>
      </c>
      <c r="E122" s="13">
        <v>38</v>
      </c>
      <c r="F122" s="13">
        <v>33</v>
      </c>
      <c r="G122" s="13">
        <v>55</v>
      </c>
      <c r="H122" s="13">
        <v>83</v>
      </c>
      <c r="I122" s="13">
        <v>300</v>
      </c>
      <c r="J122" s="13">
        <v>500</v>
      </c>
      <c r="K122" s="14">
        <v>0.6</v>
      </c>
      <c r="L122" s="14">
        <v>0.4</v>
      </c>
    </row>
    <row r="123" ht="15.25" spans="1:12">
      <c r="A123" s="11" t="s">
        <v>2388</v>
      </c>
      <c r="B123" s="12" t="s">
        <v>2389</v>
      </c>
      <c r="C123" s="12" t="s">
        <v>1884</v>
      </c>
      <c r="D123" s="13">
        <v>20</v>
      </c>
      <c r="E123" s="13">
        <v>94</v>
      </c>
      <c r="F123" s="13">
        <v>45</v>
      </c>
      <c r="G123" s="13">
        <v>70</v>
      </c>
      <c r="H123" s="13">
        <v>98</v>
      </c>
      <c r="I123" s="13">
        <v>327</v>
      </c>
      <c r="J123" s="13">
        <v>500</v>
      </c>
      <c r="K123" s="14">
        <v>0.654</v>
      </c>
      <c r="L123" s="14">
        <v>0.346</v>
      </c>
    </row>
    <row r="124" ht="15.25" spans="1:12">
      <c r="A124" s="11" t="s">
        <v>2390</v>
      </c>
      <c r="B124" s="12" t="s">
        <v>2391</v>
      </c>
      <c r="C124" s="12" t="s">
        <v>1849</v>
      </c>
      <c r="D124" s="13">
        <v>25</v>
      </c>
      <c r="E124" s="13">
        <v>83</v>
      </c>
      <c r="F124" s="13">
        <v>26</v>
      </c>
      <c r="G124" s="13">
        <v>68</v>
      </c>
      <c r="H124" s="13">
        <v>22</v>
      </c>
      <c r="I124" s="13">
        <v>224</v>
      </c>
      <c r="J124" s="13">
        <v>500</v>
      </c>
      <c r="K124" s="14">
        <v>0.448</v>
      </c>
      <c r="L124" s="14">
        <v>0.552</v>
      </c>
    </row>
    <row r="125" ht="15.25" spans="1:12">
      <c r="A125" s="11" t="s">
        <v>2392</v>
      </c>
      <c r="B125" s="12" t="s">
        <v>2393</v>
      </c>
      <c r="C125" s="12" t="s">
        <v>1626</v>
      </c>
      <c r="D125" s="13">
        <v>26</v>
      </c>
      <c r="E125" s="13">
        <v>16</v>
      </c>
      <c r="F125" s="13">
        <v>61</v>
      </c>
      <c r="G125" s="13">
        <v>92</v>
      </c>
      <c r="H125" s="13">
        <v>50</v>
      </c>
      <c r="I125" s="13">
        <v>245</v>
      </c>
      <c r="J125" s="13">
        <v>500</v>
      </c>
      <c r="K125" s="14">
        <v>0.49</v>
      </c>
      <c r="L125" s="14">
        <v>0.51</v>
      </c>
    </row>
    <row r="126" ht="15.25" spans="1:12">
      <c r="A126" s="11" t="s">
        <v>2394</v>
      </c>
      <c r="B126" s="12" t="s">
        <v>2395</v>
      </c>
      <c r="C126" s="12" t="s">
        <v>1598</v>
      </c>
      <c r="D126" s="13">
        <v>31</v>
      </c>
      <c r="E126" s="13">
        <v>55</v>
      </c>
      <c r="F126" s="13">
        <v>75</v>
      </c>
      <c r="G126" s="13">
        <v>66</v>
      </c>
      <c r="H126" s="13">
        <v>75</v>
      </c>
      <c r="I126" s="13">
        <v>302</v>
      </c>
      <c r="J126" s="13">
        <v>500</v>
      </c>
      <c r="K126" s="14">
        <v>0.604</v>
      </c>
      <c r="L126" s="14">
        <v>0.396</v>
      </c>
    </row>
    <row r="127" ht="15.25" spans="1:12">
      <c r="A127" s="11" t="s">
        <v>2396</v>
      </c>
      <c r="B127" s="12" t="s">
        <v>2397</v>
      </c>
      <c r="C127" s="12" t="s">
        <v>2156</v>
      </c>
      <c r="D127" s="13">
        <v>41</v>
      </c>
      <c r="E127" s="13">
        <v>66</v>
      </c>
      <c r="F127" s="13">
        <v>48</v>
      </c>
      <c r="G127" s="13">
        <v>70</v>
      </c>
      <c r="H127" s="13">
        <v>48</v>
      </c>
      <c r="I127" s="13">
        <v>273</v>
      </c>
      <c r="J127" s="13">
        <v>500</v>
      </c>
      <c r="K127" s="14">
        <v>0.546</v>
      </c>
      <c r="L127" s="14">
        <v>0.454</v>
      </c>
    </row>
    <row r="128" ht="15.25" spans="1:12">
      <c r="A128" s="11" t="s">
        <v>2398</v>
      </c>
      <c r="B128" s="12" t="s">
        <v>2399</v>
      </c>
      <c r="C128" s="12" t="s">
        <v>2159</v>
      </c>
      <c r="D128" s="13">
        <v>60</v>
      </c>
      <c r="E128" s="13">
        <v>92</v>
      </c>
      <c r="F128" s="13">
        <v>32</v>
      </c>
      <c r="G128" s="13">
        <v>60</v>
      </c>
      <c r="H128" s="13">
        <v>78</v>
      </c>
      <c r="I128" s="13">
        <v>322</v>
      </c>
      <c r="J128" s="13">
        <v>500</v>
      </c>
      <c r="K128" s="14">
        <v>0.644</v>
      </c>
      <c r="L128" s="14">
        <v>0.356</v>
      </c>
    </row>
    <row r="129" ht="15.25" spans="1:12">
      <c r="A129" s="11" t="s">
        <v>2400</v>
      </c>
      <c r="B129" s="12" t="s">
        <v>2401</v>
      </c>
      <c r="C129" s="12" t="s">
        <v>1898</v>
      </c>
      <c r="D129" s="13">
        <v>42</v>
      </c>
      <c r="E129" s="13">
        <v>24</v>
      </c>
      <c r="F129" s="13">
        <v>19</v>
      </c>
      <c r="G129" s="13">
        <v>82</v>
      </c>
      <c r="H129" s="13">
        <v>16</v>
      </c>
      <c r="I129" s="13">
        <v>183</v>
      </c>
      <c r="J129" s="13">
        <v>500</v>
      </c>
      <c r="K129" s="14">
        <v>0.366</v>
      </c>
      <c r="L129" s="14">
        <v>0.634</v>
      </c>
    </row>
    <row r="130" ht="26.75" spans="1:12">
      <c r="A130" s="11" t="s">
        <v>2402</v>
      </c>
      <c r="B130" s="12" t="s">
        <v>2403</v>
      </c>
      <c r="C130" s="12" t="s">
        <v>1593</v>
      </c>
      <c r="D130" s="13">
        <v>26</v>
      </c>
      <c r="E130" s="13">
        <v>85</v>
      </c>
      <c r="F130" s="13">
        <v>75</v>
      </c>
      <c r="G130" s="13">
        <v>83</v>
      </c>
      <c r="H130" s="13">
        <v>37</v>
      </c>
      <c r="I130" s="13">
        <v>306</v>
      </c>
      <c r="J130" s="13">
        <v>500</v>
      </c>
      <c r="K130" s="14">
        <v>0.612</v>
      </c>
      <c r="L130" s="14">
        <v>0.388</v>
      </c>
    </row>
    <row r="131" ht="15.25" spans="1:12">
      <c r="A131" s="11" t="s">
        <v>2404</v>
      </c>
      <c r="B131" s="12" t="s">
        <v>2405</v>
      </c>
      <c r="C131" s="12" t="s">
        <v>1884</v>
      </c>
      <c r="D131" s="13">
        <v>81</v>
      </c>
      <c r="E131" s="13">
        <v>68</v>
      </c>
      <c r="F131" s="13">
        <v>74</v>
      </c>
      <c r="G131" s="13">
        <v>72</v>
      </c>
      <c r="H131" s="13">
        <v>12</v>
      </c>
      <c r="I131" s="13">
        <v>307</v>
      </c>
      <c r="J131" s="13">
        <v>500</v>
      </c>
      <c r="K131" s="14">
        <v>0.614</v>
      </c>
      <c r="L131" s="14">
        <v>0.386</v>
      </c>
    </row>
    <row r="132" ht="15.25" spans="1:12">
      <c r="A132" s="11" t="s">
        <v>2406</v>
      </c>
      <c r="B132" s="12" t="s">
        <v>2407</v>
      </c>
      <c r="C132" s="12" t="s">
        <v>1849</v>
      </c>
      <c r="D132" s="13">
        <v>90</v>
      </c>
      <c r="E132" s="13">
        <v>79</v>
      </c>
      <c r="F132" s="13">
        <v>99</v>
      </c>
      <c r="G132" s="13">
        <v>60</v>
      </c>
      <c r="H132" s="13">
        <v>27</v>
      </c>
      <c r="I132" s="13">
        <v>355</v>
      </c>
      <c r="J132" s="13">
        <v>500</v>
      </c>
      <c r="K132" s="14">
        <v>0.71</v>
      </c>
      <c r="L132" s="14">
        <v>0.29</v>
      </c>
    </row>
    <row r="133" ht="15.25" spans="1:12">
      <c r="A133" s="11" t="s">
        <v>2408</v>
      </c>
      <c r="B133" s="12" t="s">
        <v>2409</v>
      </c>
      <c r="C133" s="12" t="s">
        <v>1626</v>
      </c>
      <c r="D133" s="13">
        <v>71</v>
      </c>
      <c r="E133" s="13">
        <v>21</v>
      </c>
      <c r="F133" s="13">
        <v>70</v>
      </c>
      <c r="G133" s="13">
        <v>53</v>
      </c>
      <c r="H133" s="13">
        <v>49</v>
      </c>
      <c r="I133" s="13">
        <v>264</v>
      </c>
      <c r="J133" s="13">
        <v>500</v>
      </c>
      <c r="K133" s="14">
        <v>0.528</v>
      </c>
      <c r="L133" s="14">
        <v>0.472</v>
      </c>
    </row>
    <row r="134" ht="15.25" spans="1:12">
      <c r="A134" s="11" t="s">
        <v>2410</v>
      </c>
      <c r="B134" s="12" t="s">
        <v>2411</v>
      </c>
      <c r="C134" s="12" t="s">
        <v>1598</v>
      </c>
      <c r="D134" s="13">
        <v>86</v>
      </c>
      <c r="E134" s="13">
        <v>60</v>
      </c>
      <c r="F134" s="13">
        <v>59</v>
      </c>
      <c r="G134" s="13">
        <v>51</v>
      </c>
      <c r="H134" s="13">
        <v>90</v>
      </c>
      <c r="I134" s="13">
        <v>346</v>
      </c>
      <c r="J134" s="13">
        <v>500</v>
      </c>
      <c r="K134" s="14">
        <v>0.692</v>
      </c>
      <c r="L134" s="14">
        <v>0.308</v>
      </c>
    </row>
    <row r="135" ht="15.25" spans="1:12">
      <c r="A135" s="11" t="s">
        <v>2412</v>
      </c>
      <c r="B135" s="12" t="s">
        <v>2413</v>
      </c>
      <c r="C135" s="12" t="s">
        <v>2156</v>
      </c>
      <c r="D135" s="13">
        <v>68</v>
      </c>
      <c r="E135" s="13">
        <v>61</v>
      </c>
      <c r="F135" s="13">
        <v>12</v>
      </c>
      <c r="G135" s="13">
        <v>41</v>
      </c>
      <c r="H135" s="13">
        <v>35</v>
      </c>
      <c r="I135" s="13">
        <v>217</v>
      </c>
      <c r="J135" s="13">
        <v>500</v>
      </c>
      <c r="K135" s="14">
        <v>0.434</v>
      </c>
      <c r="L135" s="14">
        <v>0.566</v>
      </c>
    </row>
    <row r="136" ht="15.25" spans="1:12">
      <c r="A136" s="11" t="s">
        <v>2414</v>
      </c>
      <c r="B136" s="12" t="s">
        <v>2415</v>
      </c>
      <c r="C136" s="12" t="s">
        <v>2159</v>
      </c>
      <c r="D136" s="13">
        <v>65</v>
      </c>
      <c r="E136" s="13">
        <v>34</v>
      </c>
      <c r="F136" s="13">
        <v>15</v>
      </c>
      <c r="G136" s="13">
        <v>86</v>
      </c>
      <c r="H136" s="13">
        <v>71</v>
      </c>
      <c r="I136" s="13">
        <v>271</v>
      </c>
      <c r="J136" s="13">
        <v>500</v>
      </c>
      <c r="K136" s="14">
        <v>0.542</v>
      </c>
      <c r="L136" s="14">
        <v>0.458</v>
      </c>
    </row>
    <row r="137" ht="15.25" spans="1:12">
      <c r="A137" s="11" t="s">
        <v>2416</v>
      </c>
      <c r="B137" s="12" t="s">
        <v>2417</v>
      </c>
      <c r="C137" s="12" t="s">
        <v>1898</v>
      </c>
      <c r="D137" s="13">
        <v>91</v>
      </c>
      <c r="E137" s="13">
        <v>21</v>
      </c>
      <c r="F137" s="13">
        <v>59</v>
      </c>
      <c r="G137" s="13">
        <v>85</v>
      </c>
      <c r="H137" s="13">
        <v>60</v>
      </c>
      <c r="I137" s="13">
        <v>316</v>
      </c>
      <c r="J137" s="13">
        <v>500</v>
      </c>
      <c r="K137" s="14">
        <v>0.632</v>
      </c>
      <c r="L137" s="14">
        <v>0.368</v>
      </c>
    </row>
    <row r="138" ht="26.75" spans="1:12">
      <c r="A138" s="11" t="s">
        <v>2418</v>
      </c>
      <c r="B138" s="12" t="s">
        <v>2419</v>
      </c>
      <c r="C138" s="12" t="s">
        <v>1593</v>
      </c>
      <c r="D138" s="13">
        <v>73</v>
      </c>
      <c r="E138" s="13">
        <v>67</v>
      </c>
      <c r="F138" s="13">
        <v>49</v>
      </c>
      <c r="G138" s="13">
        <v>56</v>
      </c>
      <c r="H138" s="13">
        <v>43</v>
      </c>
      <c r="I138" s="13">
        <v>288</v>
      </c>
      <c r="J138" s="13">
        <v>500</v>
      </c>
      <c r="K138" s="14">
        <v>0.576</v>
      </c>
      <c r="L138" s="14">
        <v>0.424</v>
      </c>
    </row>
    <row r="139" ht="15.25" spans="1:12">
      <c r="A139" s="11" t="s">
        <v>2420</v>
      </c>
      <c r="B139" s="12" t="s">
        <v>2421</v>
      </c>
      <c r="C139" s="12" t="s">
        <v>1884</v>
      </c>
      <c r="D139" s="13">
        <v>72</v>
      </c>
      <c r="E139" s="13">
        <v>49</v>
      </c>
      <c r="F139" s="13">
        <v>93</v>
      </c>
      <c r="G139" s="13">
        <v>95</v>
      </c>
      <c r="H139" s="13">
        <v>73</v>
      </c>
      <c r="I139" s="13">
        <v>382</v>
      </c>
      <c r="J139" s="13">
        <v>500</v>
      </c>
      <c r="K139" s="14">
        <v>0.764</v>
      </c>
      <c r="L139" s="14">
        <v>0.236</v>
      </c>
    </row>
    <row r="140" ht="15.25" spans="1:12">
      <c r="A140" s="11" t="s">
        <v>2422</v>
      </c>
      <c r="B140" s="12" t="s">
        <v>2423</v>
      </c>
      <c r="C140" s="12" t="s">
        <v>1849</v>
      </c>
      <c r="D140" s="13">
        <v>85</v>
      </c>
      <c r="E140" s="13">
        <v>43</v>
      </c>
      <c r="F140" s="13">
        <v>74</v>
      </c>
      <c r="G140" s="13">
        <v>26</v>
      </c>
      <c r="H140" s="13">
        <v>88</v>
      </c>
      <c r="I140" s="13">
        <v>316</v>
      </c>
      <c r="J140" s="13">
        <v>500</v>
      </c>
      <c r="K140" s="14">
        <v>0.632</v>
      </c>
      <c r="L140" s="14">
        <v>0.368</v>
      </c>
    </row>
    <row r="141" ht="15.25" spans="1:12">
      <c r="A141" s="11" t="s">
        <v>2424</v>
      </c>
      <c r="B141" s="12" t="s">
        <v>2425</v>
      </c>
      <c r="C141" s="12" t="s">
        <v>1626</v>
      </c>
      <c r="D141" s="13">
        <v>77</v>
      </c>
      <c r="E141" s="13">
        <v>81</v>
      </c>
      <c r="F141" s="13">
        <v>10</v>
      </c>
      <c r="G141" s="13">
        <v>65</v>
      </c>
      <c r="H141" s="13">
        <v>83</v>
      </c>
      <c r="I141" s="13">
        <v>316</v>
      </c>
      <c r="J141" s="13">
        <v>500</v>
      </c>
      <c r="K141" s="14">
        <v>0.632</v>
      </c>
      <c r="L141" s="14">
        <v>0.368</v>
      </c>
    </row>
    <row r="142" ht="15.25" spans="1:12">
      <c r="A142" s="11" t="s">
        <v>2426</v>
      </c>
      <c r="B142" s="12" t="s">
        <v>2427</v>
      </c>
      <c r="C142" s="12" t="s">
        <v>1598</v>
      </c>
      <c r="D142" s="13">
        <v>46</v>
      </c>
      <c r="E142" s="13">
        <v>52</v>
      </c>
      <c r="F142" s="13">
        <v>57</v>
      </c>
      <c r="G142" s="13">
        <v>67</v>
      </c>
      <c r="H142" s="13">
        <v>64</v>
      </c>
      <c r="I142" s="13">
        <v>286</v>
      </c>
      <c r="J142" s="13">
        <v>500</v>
      </c>
      <c r="K142" s="14">
        <v>0.572</v>
      </c>
      <c r="L142" s="14">
        <v>0.428</v>
      </c>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6"/>
  <sheetViews>
    <sheetView tabSelected="1" zoomScale="72" zoomScaleNormal="72" workbookViewId="0">
      <selection activeCell="K26" sqref="K26"/>
    </sheetView>
  </sheetViews>
  <sheetFormatPr defaultColWidth="8.75454545454545" defaultRowHeight="14.5"/>
  <cols>
    <col min="1" max="1" width="18.6272727272727" customWidth="1"/>
    <col min="2" max="2" width="11.1272727272727" customWidth="1"/>
    <col min="3" max="3" width="3.37272727272727" customWidth="1"/>
    <col min="4" max="4" width="20.1272727272727" customWidth="1"/>
    <col min="5" max="5" width="11.1272727272727" customWidth="1"/>
    <col min="6" max="6" width="3.5" customWidth="1"/>
    <col min="7" max="7" width="18.6272727272727" customWidth="1"/>
    <col min="8" max="8" width="12.5" customWidth="1"/>
    <col min="9" max="9" width="4.37272727272727" customWidth="1"/>
    <col min="10" max="10" width="18.6272727272727" customWidth="1"/>
    <col min="11" max="11" width="20.2545454545455" customWidth="1"/>
    <col min="12" max="12" width="4.12727272727273" customWidth="1"/>
    <col min="13" max="13" width="18.6272727272727" customWidth="1"/>
    <col min="14" max="14" width="12.5" customWidth="1"/>
    <col min="15" max="15" width="5.5" customWidth="1"/>
    <col min="16" max="16" width="18.6272727272727" customWidth="1"/>
    <col min="17" max="17" width="18.7545454545455" customWidth="1"/>
  </cols>
  <sheetData>
    <row r="1" ht="24.95" customHeight="1" spans="1:18">
      <c r="A1" s="1"/>
      <c r="B1" s="1"/>
      <c r="C1" s="1"/>
      <c r="D1" s="1"/>
      <c r="E1" s="1"/>
      <c r="F1" s="1"/>
      <c r="G1" s="1"/>
      <c r="H1" s="1"/>
      <c r="I1" s="1"/>
      <c r="J1" s="1"/>
      <c r="K1" s="1"/>
      <c r="L1" s="1"/>
      <c r="M1" s="1"/>
      <c r="N1" s="1"/>
      <c r="O1" s="1"/>
      <c r="P1" s="1"/>
      <c r="Q1" s="1"/>
      <c r="R1" s="1"/>
    </row>
    <row r="2" ht="51.95" customHeight="1" spans="1:18">
      <c r="A2" s="1"/>
      <c r="B2" s="1"/>
      <c r="C2" s="1"/>
      <c r="D2" s="1"/>
      <c r="E2" s="1"/>
      <c r="F2" s="1"/>
      <c r="G2" s="1"/>
      <c r="H2" s="1"/>
      <c r="I2" s="1"/>
      <c r="J2" s="1"/>
      <c r="K2" s="1"/>
      <c r="L2" s="1"/>
      <c r="M2" s="1"/>
      <c r="N2" s="1"/>
      <c r="O2" s="1"/>
      <c r="P2" s="1"/>
      <c r="Q2" s="1"/>
      <c r="R2" s="1"/>
    </row>
    <row r="3" ht="15.25" spans="1:18">
      <c r="A3" s="2" t="s">
        <v>2134</v>
      </c>
      <c r="B3" s="2" t="s">
        <v>2428</v>
      </c>
      <c r="C3" s="3"/>
      <c r="D3" s="2" t="s">
        <v>2134</v>
      </c>
      <c r="E3" s="2" t="s">
        <v>2428</v>
      </c>
      <c r="F3" s="3"/>
      <c r="G3" s="2" t="s">
        <v>2134</v>
      </c>
      <c r="H3" s="2" t="s">
        <v>2429</v>
      </c>
      <c r="I3" s="3"/>
      <c r="J3" s="2" t="s">
        <v>2134</v>
      </c>
      <c r="K3" s="2" t="s">
        <v>2430</v>
      </c>
      <c r="L3" s="3"/>
      <c r="M3" s="2" t="s">
        <v>2134</v>
      </c>
      <c r="N3" s="2" t="s">
        <v>2429</v>
      </c>
      <c r="O3" s="3"/>
      <c r="P3" s="4" t="s">
        <v>2134</v>
      </c>
      <c r="Q3" s="4" t="s">
        <v>2430</v>
      </c>
      <c r="R3" s="5"/>
    </row>
    <row r="4" ht="15.25" spans="1:18">
      <c r="A4" s="2" t="s">
        <v>2365</v>
      </c>
      <c r="B4" s="6">
        <v>355</v>
      </c>
      <c r="C4" s="3"/>
      <c r="D4" s="2" t="s">
        <v>2413</v>
      </c>
      <c r="E4" s="6">
        <v>217</v>
      </c>
      <c r="F4" s="3"/>
      <c r="G4" s="2" t="s">
        <v>2365</v>
      </c>
      <c r="H4" s="7">
        <v>0.71</v>
      </c>
      <c r="I4" s="3"/>
      <c r="J4" s="2" t="s">
        <v>2365</v>
      </c>
      <c r="K4" s="8">
        <v>0.29</v>
      </c>
      <c r="L4" s="3"/>
      <c r="M4" s="2" t="s">
        <v>2413</v>
      </c>
      <c r="N4" s="7">
        <v>0.434</v>
      </c>
      <c r="O4" s="3"/>
      <c r="P4" s="4" t="s">
        <v>2413</v>
      </c>
      <c r="Q4" s="8">
        <v>0.566</v>
      </c>
      <c r="R4" s="1"/>
    </row>
    <row r="5" ht="15.25" spans="1:18">
      <c r="A5" s="2" t="s">
        <v>2349</v>
      </c>
      <c r="B5" s="6">
        <v>322</v>
      </c>
      <c r="C5" s="3"/>
      <c r="D5" s="2" t="s">
        <v>2333</v>
      </c>
      <c r="E5" s="6">
        <v>205</v>
      </c>
      <c r="F5" s="3"/>
      <c r="G5" s="2" t="s">
        <v>2349</v>
      </c>
      <c r="H5" s="7">
        <v>0.644</v>
      </c>
      <c r="I5" s="3"/>
      <c r="J5" s="2" t="s">
        <v>2349</v>
      </c>
      <c r="K5" s="8">
        <v>0.356</v>
      </c>
      <c r="L5" s="3"/>
      <c r="M5" s="2" t="s">
        <v>2333</v>
      </c>
      <c r="N5" s="7">
        <v>0.41</v>
      </c>
      <c r="O5" s="3"/>
      <c r="P5" s="4" t="s">
        <v>2333</v>
      </c>
      <c r="Q5" s="8">
        <v>0.59</v>
      </c>
      <c r="R5" s="1"/>
    </row>
    <row r="6" ht="15.25" spans="1:18">
      <c r="A6" s="2" t="s">
        <v>2237</v>
      </c>
      <c r="B6" s="6">
        <v>350</v>
      </c>
      <c r="C6" s="3"/>
      <c r="D6" s="2" t="s">
        <v>2317</v>
      </c>
      <c r="E6" s="6">
        <v>215</v>
      </c>
      <c r="F6" s="3"/>
      <c r="G6" s="2" t="s">
        <v>2237</v>
      </c>
      <c r="H6" s="7">
        <v>0.7</v>
      </c>
      <c r="I6" s="3"/>
      <c r="J6" s="2" t="s">
        <v>2237</v>
      </c>
      <c r="K6" s="8">
        <v>0.3</v>
      </c>
      <c r="L6" s="3"/>
      <c r="M6" s="2" t="s">
        <v>2317</v>
      </c>
      <c r="N6" s="7">
        <v>0.43</v>
      </c>
      <c r="O6" s="3"/>
      <c r="P6" s="4" t="s">
        <v>2317</v>
      </c>
      <c r="Q6" s="8">
        <v>0.57</v>
      </c>
      <c r="R6" s="1"/>
    </row>
    <row r="7" ht="15.25" spans="1:18">
      <c r="A7" s="2" t="s">
        <v>2205</v>
      </c>
      <c r="B7" s="6">
        <v>353</v>
      </c>
      <c r="C7" s="3"/>
      <c r="D7" s="2" t="s">
        <v>2285</v>
      </c>
      <c r="E7" s="6">
        <v>229</v>
      </c>
      <c r="F7" s="3"/>
      <c r="G7" s="2" t="s">
        <v>2205</v>
      </c>
      <c r="H7" s="7">
        <v>0.706</v>
      </c>
      <c r="I7" s="3"/>
      <c r="J7" s="2" t="s">
        <v>2205</v>
      </c>
      <c r="K7" s="8">
        <v>0.294</v>
      </c>
      <c r="L7" s="3"/>
      <c r="M7" s="2" t="s">
        <v>2285</v>
      </c>
      <c r="N7" s="7">
        <v>0.458</v>
      </c>
      <c r="O7" s="3"/>
      <c r="P7" s="4" t="s">
        <v>2285</v>
      </c>
      <c r="Q7" s="8">
        <v>0.542</v>
      </c>
      <c r="R7" s="1"/>
    </row>
    <row r="8" ht="15.25" spans="1:18">
      <c r="A8" s="2" t="s">
        <v>2189</v>
      </c>
      <c r="B8" s="6">
        <v>301</v>
      </c>
      <c r="C8" s="3"/>
      <c r="D8" s="2" t="s">
        <v>2253</v>
      </c>
      <c r="E8" s="6">
        <v>189</v>
      </c>
      <c r="F8" s="3"/>
      <c r="G8" s="2" t="s">
        <v>2189</v>
      </c>
      <c r="H8" s="7">
        <v>0.602</v>
      </c>
      <c r="I8" s="3"/>
      <c r="J8" s="2" t="s">
        <v>2189</v>
      </c>
      <c r="K8" s="8">
        <v>0.398</v>
      </c>
      <c r="L8" s="3"/>
      <c r="M8" s="2" t="s">
        <v>2253</v>
      </c>
      <c r="N8" s="7">
        <v>0.378</v>
      </c>
      <c r="O8" s="3"/>
      <c r="P8" s="4" t="s">
        <v>2253</v>
      </c>
      <c r="Q8" s="8">
        <v>0.622</v>
      </c>
      <c r="R8" s="1"/>
    </row>
    <row r="9" spans="1:18">
      <c r="A9" s="1"/>
      <c r="B9" s="1"/>
      <c r="C9" s="1"/>
      <c r="D9" s="1"/>
      <c r="E9" s="1"/>
      <c r="F9" s="1"/>
      <c r="G9" s="1"/>
      <c r="H9" s="1"/>
      <c r="I9" s="1"/>
      <c r="J9" s="1"/>
      <c r="K9" s="1"/>
      <c r="L9" s="1"/>
      <c r="M9" s="1"/>
      <c r="N9" s="1"/>
      <c r="O9" s="1"/>
      <c r="P9" s="1"/>
      <c r="Q9" s="1"/>
      <c r="R9" s="1"/>
    </row>
    <row r="10" spans="1:18">
      <c r="A10" s="1"/>
      <c r="B10" s="1"/>
      <c r="C10" s="1"/>
      <c r="D10" s="1"/>
      <c r="E10" s="1"/>
      <c r="F10" s="1"/>
      <c r="G10" s="1"/>
      <c r="H10" s="1"/>
      <c r="I10" s="1"/>
      <c r="J10" s="1"/>
      <c r="K10" s="1"/>
      <c r="L10" s="1"/>
      <c r="M10" s="1"/>
      <c r="N10" s="1"/>
      <c r="O10" s="1"/>
      <c r="P10" s="1"/>
      <c r="Q10" s="1"/>
      <c r="R10" s="1"/>
    </row>
    <row r="11" spans="1:18">
      <c r="A11" s="1"/>
      <c r="B11" s="1"/>
      <c r="C11" s="1"/>
      <c r="D11" s="1"/>
      <c r="E11" s="1"/>
      <c r="F11" s="1"/>
      <c r="G11" s="1"/>
      <c r="H11" s="1"/>
      <c r="I11" s="1"/>
      <c r="J11" s="1"/>
      <c r="K11" s="1"/>
      <c r="L11" s="1"/>
      <c r="M11" s="1"/>
      <c r="N11" s="1"/>
      <c r="O11" s="1"/>
      <c r="P11" s="1"/>
      <c r="Q11" s="1"/>
      <c r="R11" s="1"/>
    </row>
    <row r="12" spans="1:18">
      <c r="A12" s="1"/>
      <c r="B12" s="1"/>
      <c r="C12" s="1"/>
      <c r="D12" s="1"/>
      <c r="E12" s="1"/>
      <c r="F12" s="1"/>
      <c r="G12" s="1"/>
      <c r="H12" s="1"/>
      <c r="I12" s="1"/>
      <c r="J12" s="1"/>
      <c r="K12" s="1"/>
      <c r="L12" s="1"/>
      <c r="M12" s="1"/>
      <c r="N12" s="1"/>
      <c r="O12" s="1"/>
      <c r="P12" s="1"/>
      <c r="Q12" s="1"/>
      <c r="R12" s="1"/>
    </row>
    <row r="13" spans="1:18">
      <c r="A13" s="1"/>
      <c r="B13" s="1"/>
      <c r="C13" s="1"/>
      <c r="D13" s="1"/>
      <c r="E13" s="1"/>
      <c r="F13" s="1"/>
      <c r="G13" s="1"/>
      <c r="H13" s="1"/>
      <c r="I13" s="1"/>
      <c r="J13" s="1"/>
      <c r="K13" s="1"/>
      <c r="L13" s="1"/>
      <c r="M13" s="1"/>
      <c r="N13" s="1"/>
      <c r="O13" s="1"/>
      <c r="P13" s="1"/>
      <c r="Q13" s="1"/>
      <c r="R13" s="1"/>
    </row>
    <row r="14" spans="1:18">
      <c r="A14" s="1"/>
      <c r="B14" s="1"/>
      <c r="C14" s="1"/>
      <c r="D14" s="1"/>
      <c r="E14" s="1"/>
      <c r="F14" s="1"/>
      <c r="G14" s="1"/>
      <c r="H14" s="1"/>
      <c r="I14" s="1"/>
      <c r="J14" s="1"/>
      <c r="K14" s="1"/>
      <c r="L14" s="1"/>
      <c r="M14" s="1"/>
      <c r="N14" s="1"/>
      <c r="O14" s="1"/>
      <c r="P14" s="1"/>
      <c r="Q14" s="1"/>
      <c r="R14" s="1"/>
    </row>
    <row r="15" spans="1:18">
      <c r="A15" s="1"/>
      <c r="B15" s="1"/>
      <c r="C15" s="1"/>
      <c r="D15" s="1"/>
      <c r="E15" s="1"/>
      <c r="F15" s="1"/>
      <c r="G15" s="1"/>
      <c r="H15" s="1"/>
      <c r="I15" s="1"/>
      <c r="J15" s="1"/>
      <c r="K15" s="1"/>
      <c r="L15" s="1"/>
      <c r="M15" s="1"/>
      <c r="N15" s="1"/>
      <c r="O15" s="1"/>
      <c r="P15" s="1"/>
      <c r="Q15" s="1"/>
      <c r="R15" s="1"/>
    </row>
    <row r="16" spans="1:18">
      <c r="A16" s="1"/>
      <c r="B16" s="1"/>
      <c r="C16" s="1"/>
      <c r="D16" s="1"/>
      <c r="E16" s="1"/>
      <c r="F16" s="1"/>
      <c r="G16" s="1"/>
      <c r="H16" s="1"/>
      <c r="I16" s="1"/>
      <c r="J16" s="1"/>
      <c r="K16" s="1"/>
      <c r="L16" s="1"/>
      <c r="M16" s="1"/>
      <c r="N16" s="1"/>
      <c r="O16" s="1"/>
      <c r="P16" s="1"/>
      <c r="Q16" s="1"/>
      <c r="R16" s="1"/>
    </row>
    <row r="17" spans="1:18">
      <c r="A17" s="1"/>
      <c r="B17" s="1"/>
      <c r="C17" s="1"/>
      <c r="D17" s="1"/>
      <c r="E17" s="1"/>
      <c r="F17" s="1"/>
      <c r="G17" s="1"/>
      <c r="H17" s="1"/>
      <c r="I17" s="1"/>
      <c r="J17" s="1"/>
      <c r="K17" s="1"/>
      <c r="L17" s="1"/>
      <c r="M17" s="1"/>
      <c r="N17" s="1"/>
      <c r="O17" s="1"/>
      <c r="P17" s="1"/>
      <c r="Q17" s="1"/>
      <c r="R17" s="1"/>
    </row>
    <row r="18" spans="1:18">
      <c r="A18" s="1"/>
      <c r="B18" s="1"/>
      <c r="C18" s="1"/>
      <c r="D18" s="1"/>
      <c r="E18" s="1"/>
      <c r="F18" s="1"/>
      <c r="G18" s="1"/>
      <c r="H18" s="1"/>
      <c r="I18" s="1"/>
      <c r="J18" s="1"/>
      <c r="K18" s="1"/>
      <c r="L18" s="1"/>
      <c r="M18" s="1"/>
      <c r="N18" s="1"/>
      <c r="O18" s="1"/>
      <c r="P18" s="1"/>
      <c r="Q18" s="1"/>
      <c r="R18" s="1"/>
    </row>
    <row r="19" spans="1:18">
      <c r="A19" s="1"/>
      <c r="B19" s="1"/>
      <c r="C19" s="1"/>
      <c r="D19" s="1"/>
      <c r="E19" s="1"/>
      <c r="F19" s="1"/>
      <c r="G19" s="1"/>
      <c r="H19" s="1"/>
      <c r="I19" s="1"/>
      <c r="J19" s="1"/>
      <c r="K19" s="1"/>
      <c r="L19" s="1"/>
      <c r="M19" s="1"/>
      <c r="N19" s="1"/>
      <c r="O19" s="1"/>
      <c r="P19" s="1"/>
      <c r="Q19" s="1"/>
      <c r="R19" s="1"/>
    </row>
    <row r="20" spans="1:18">
      <c r="A20" s="1"/>
      <c r="B20" s="1"/>
      <c r="C20" s="1"/>
      <c r="D20" s="1"/>
      <c r="E20" s="1"/>
      <c r="F20" s="1"/>
      <c r="G20" s="1"/>
      <c r="H20" s="1"/>
      <c r="I20" s="1"/>
      <c r="J20" s="1"/>
      <c r="K20" s="1"/>
      <c r="L20" s="1"/>
      <c r="M20" s="1"/>
      <c r="N20" s="1"/>
      <c r="O20" s="1"/>
      <c r="P20" s="1"/>
      <c r="Q20" s="1"/>
      <c r="R20" s="1"/>
    </row>
    <row r="21" spans="1:18">
      <c r="A21" s="1"/>
      <c r="B21" s="1"/>
      <c r="C21" s="1"/>
      <c r="D21" s="1"/>
      <c r="E21" s="1"/>
      <c r="F21" s="1"/>
      <c r="G21" s="1"/>
      <c r="H21" s="1"/>
      <c r="I21" s="1"/>
      <c r="J21" s="1"/>
      <c r="K21" s="1"/>
      <c r="L21" s="1"/>
      <c r="M21" s="1"/>
      <c r="N21" s="1"/>
      <c r="O21" s="1"/>
      <c r="P21" s="1"/>
      <c r="Q21" s="1"/>
      <c r="R21" s="1"/>
    </row>
    <row r="22" spans="1:18">
      <c r="A22" s="1"/>
      <c r="B22" s="1"/>
      <c r="C22" s="1"/>
      <c r="D22" s="1"/>
      <c r="E22" s="1"/>
      <c r="F22" s="1"/>
      <c r="G22" s="1"/>
      <c r="H22" s="1"/>
      <c r="I22" s="1"/>
      <c r="J22" s="1"/>
      <c r="K22" s="1"/>
      <c r="L22" s="1"/>
      <c r="M22" s="1"/>
      <c r="N22" s="1"/>
      <c r="O22" s="1"/>
      <c r="P22" s="1"/>
      <c r="Q22" s="1"/>
      <c r="R22" s="1"/>
    </row>
    <row r="23" spans="1:18">
      <c r="A23" s="1"/>
      <c r="B23" s="1"/>
      <c r="C23" s="1"/>
      <c r="D23" s="1"/>
      <c r="E23" s="1"/>
      <c r="F23" s="1"/>
      <c r="G23" s="1"/>
      <c r="H23" s="1"/>
      <c r="I23" s="1"/>
      <c r="J23" s="1"/>
      <c r="K23" s="1"/>
      <c r="L23" s="1"/>
      <c r="M23" s="1"/>
      <c r="N23" s="1"/>
      <c r="O23" s="1"/>
      <c r="P23" s="1"/>
      <c r="Q23" s="1"/>
      <c r="R23" s="1"/>
    </row>
    <row r="24" spans="1:18">
      <c r="A24" s="1"/>
      <c r="B24" s="1"/>
      <c r="C24" s="1"/>
      <c r="D24" s="1"/>
      <c r="E24" s="1"/>
      <c r="F24" s="1"/>
      <c r="G24" s="1"/>
      <c r="H24" s="1"/>
      <c r="I24" s="1"/>
      <c r="J24" s="1"/>
      <c r="K24" s="1"/>
      <c r="L24" s="1"/>
      <c r="M24" s="1"/>
      <c r="N24" s="1"/>
      <c r="O24" s="1"/>
      <c r="P24" s="1"/>
      <c r="Q24" s="1"/>
      <c r="R24" s="1"/>
    </row>
    <row r="25" spans="1:18">
      <c r="A25" s="1"/>
      <c r="B25" s="1"/>
      <c r="C25" s="1"/>
      <c r="D25" s="1"/>
      <c r="E25" s="1"/>
      <c r="F25" s="1"/>
      <c r="G25" s="1"/>
      <c r="H25" s="1"/>
      <c r="I25" s="1"/>
      <c r="J25" s="1"/>
      <c r="K25" s="1"/>
      <c r="L25" s="1"/>
      <c r="M25" s="1"/>
      <c r="N25" s="1"/>
      <c r="O25" s="1"/>
      <c r="P25" s="1"/>
      <c r="Q25" s="1"/>
      <c r="R25" s="1"/>
    </row>
    <row r="26" spans="1:18">
      <c r="A26" s="1"/>
      <c r="B26" s="1"/>
      <c r="C26" s="1"/>
      <c r="D26" s="1"/>
      <c r="E26" s="1"/>
      <c r="F26" s="1"/>
      <c r="G26" s="1"/>
      <c r="H26" s="1"/>
      <c r="I26" s="1"/>
      <c r="J26" s="1"/>
      <c r="K26" s="1"/>
      <c r="L26" s="1"/>
      <c r="M26" s="1"/>
      <c r="N26" s="1"/>
      <c r="O26" s="1"/>
      <c r="P26" s="1"/>
      <c r="Q26" s="1"/>
      <c r="R26" s="1"/>
    </row>
  </sheetData>
  <pageMargins left="0.75" right="0.75" top="1" bottom="1" header="0.5" footer="0.5"/>
  <headerFooter/>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16</vt:i4>
      </vt:variant>
    </vt:vector>
  </HeadingPairs>
  <TitlesOfParts>
    <vt:vector size="16" baseType="lpstr">
      <vt:lpstr>DAY1-Data Formating</vt:lpstr>
      <vt:lpstr>DAY2-Conditional Formating </vt:lpstr>
      <vt:lpstr>DAY3-Conditional Formating</vt:lpstr>
      <vt:lpstr>DAY4-Data Cleaning</vt:lpstr>
      <vt:lpstr>DAY5-Basic Formulas</vt:lpstr>
      <vt:lpstr>DAY6-Logical Formulas </vt:lpstr>
      <vt:lpstr>DAY7-Conditional Formulas </vt:lpstr>
      <vt:lpstr>DAY8-Text Formulas</vt:lpstr>
      <vt:lpstr>DAY9-Date Formulas</vt:lpstr>
      <vt:lpstr>DAY10-Dynamic Array Formulas</vt:lpstr>
      <vt:lpstr>DAY11-LOOKUP-Reference Formulas</vt:lpstr>
      <vt:lpstr>DAY12-Statistical Formulas</vt:lpstr>
      <vt:lpstr>DAY13-Pivot Table</vt:lpstr>
      <vt:lpstr>DAY14-Pivot Charts</vt:lpstr>
      <vt:lpstr>DAY15-Project</vt:lpstr>
      <vt:lpstr>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2026-07-15T07:19:00Z</dcterms:created>
  <dcterms:modified xsi:type="dcterms:W3CDTF">2026-07-22T08:33:55Z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867D2D7C387043989291DAEFDE1A1F68_13</vt:lpwstr>
  </property>
  <property fmtid="{D5CDD505-2E9C-101B-9397-08002B2CF9AE}" pid="3" name="KSOProductBuildVer">
    <vt:lpwstr>1033-12.1.0.27458</vt:lpwstr>
  </property>
  <property fmtid="{D5CDD505-2E9C-101B-9397-08002B2CF9AE}" pid="4" name="CalculationRule">
    <vt:i4>1</vt:i4>
  </property>
</Properties>
</file>